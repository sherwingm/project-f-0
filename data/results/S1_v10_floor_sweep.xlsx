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w\project-f-0\data\results\"/>
    </mc:Choice>
  </mc:AlternateContent>
  <xr:revisionPtr revIDLastSave="0" documentId="13_ncr:1_{9E2F5171-DA5E-4AA2-B5D2-55E894D02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rades" sheetId="2" r:id="rId2"/>
    <sheet name="Added under Rs 2" sheetId="3" r:id="rId3"/>
  </sheets>
  <definedNames>
    <definedName name="_xlnm._FilterDatabase" localSheetId="1" hidden="1">Trades!$A$1:$AE$494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94" i="2" l="1"/>
  <c r="X494" i="2"/>
  <c r="W494" i="2"/>
  <c r="T494" i="2"/>
  <c r="V494" i="2" s="1"/>
  <c r="AD493" i="2"/>
  <c r="X493" i="2"/>
  <c r="W493" i="2"/>
  <c r="T493" i="2"/>
  <c r="V493" i="2" s="1"/>
  <c r="AD492" i="2"/>
  <c r="X492" i="2"/>
  <c r="W492" i="2"/>
  <c r="T492" i="2"/>
  <c r="V492" i="2" s="1"/>
  <c r="AD491" i="2"/>
  <c r="X491" i="2"/>
  <c r="W491" i="2"/>
  <c r="T491" i="2"/>
  <c r="V491" i="2" s="1"/>
  <c r="AD490" i="2"/>
  <c r="X490" i="2"/>
  <c r="W490" i="2"/>
  <c r="T490" i="2"/>
  <c r="V490" i="2" s="1"/>
  <c r="AD489" i="2"/>
  <c r="X489" i="2"/>
  <c r="W489" i="2"/>
  <c r="T489" i="2"/>
  <c r="V489" i="2" s="1"/>
  <c r="AD488" i="2"/>
  <c r="X488" i="2"/>
  <c r="W488" i="2"/>
  <c r="T488" i="2"/>
  <c r="V488" i="2" s="1"/>
  <c r="AD487" i="2"/>
  <c r="X487" i="2"/>
  <c r="W487" i="2"/>
  <c r="T487" i="2"/>
  <c r="V487" i="2" s="1"/>
  <c r="AD486" i="2"/>
  <c r="X486" i="2"/>
  <c r="W486" i="2"/>
  <c r="T486" i="2"/>
  <c r="V486" i="2" s="1"/>
  <c r="AD485" i="2"/>
  <c r="X485" i="2"/>
  <c r="W485" i="2"/>
  <c r="T485" i="2"/>
  <c r="V485" i="2" s="1"/>
  <c r="AD484" i="2"/>
  <c r="X484" i="2"/>
  <c r="W484" i="2"/>
  <c r="T484" i="2"/>
  <c r="V484" i="2" s="1"/>
  <c r="AD483" i="2"/>
  <c r="X483" i="2"/>
  <c r="W483" i="2"/>
  <c r="T483" i="2"/>
  <c r="V483" i="2" s="1"/>
  <c r="AD482" i="2"/>
  <c r="X482" i="2"/>
  <c r="W482" i="2"/>
  <c r="T482" i="2"/>
  <c r="V482" i="2" s="1"/>
  <c r="AD481" i="2"/>
  <c r="X481" i="2"/>
  <c r="W481" i="2"/>
  <c r="T481" i="2"/>
  <c r="V481" i="2" s="1"/>
  <c r="AD480" i="2"/>
  <c r="X480" i="2"/>
  <c r="W480" i="2"/>
  <c r="T480" i="2"/>
  <c r="V480" i="2" s="1"/>
  <c r="AD479" i="2"/>
  <c r="X479" i="2"/>
  <c r="W479" i="2"/>
  <c r="T479" i="2"/>
  <c r="V479" i="2" s="1"/>
  <c r="AD478" i="2"/>
  <c r="X478" i="2"/>
  <c r="W478" i="2"/>
  <c r="T478" i="2"/>
  <c r="V478" i="2" s="1"/>
  <c r="AD477" i="2"/>
  <c r="X477" i="2"/>
  <c r="W477" i="2"/>
  <c r="T477" i="2"/>
  <c r="V477" i="2" s="1"/>
  <c r="AD476" i="2"/>
  <c r="X476" i="2"/>
  <c r="W476" i="2"/>
  <c r="T476" i="2"/>
  <c r="V476" i="2" s="1"/>
  <c r="AD475" i="2"/>
  <c r="X475" i="2"/>
  <c r="W475" i="2"/>
  <c r="T475" i="2"/>
  <c r="V475" i="2" s="1"/>
  <c r="AD474" i="2"/>
  <c r="X474" i="2"/>
  <c r="W474" i="2"/>
  <c r="T474" i="2"/>
  <c r="V474" i="2" s="1"/>
  <c r="AD473" i="2"/>
  <c r="X473" i="2"/>
  <c r="W473" i="2"/>
  <c r="T473" i="2"/>
  <c r="V473" i="2" s="1"/>
  <c r="AD472" i="2"/>
  <c r="X472" i="2"/>
  <c r="W472" i="2"/>
  <c r="T472" i="2"/>
  <c r="V472" i="2" s="1"/>
  <c r="AD471" i="2"/>
  <c r="X471" i="2"/>
  <c r="W471" i="2"/>
  <c r="T471" i="2"/>
  <c r="V471" i="2" s="1"/>
  <c r="AD470" i="2"/>
  <c r="X470" i="2"/>
  <c r="W470" i="2"/>
  <c r="T470" i="2"/>
  <c r="V470" i="2" s="1"/>
  <c r="AD469" i="2"/>
  <c r="X469" i="2"/>
  <c r="W469" i="2"/>
  <c r="T469" i="2"/>
  <c r="V469" i="2" s="1"/>
  <c r="AD468" i="2"/>
  <c r="X468" i="2"/>
  <c r="W468" i="2"/>
  <c r="T468" i="2"/>
  <c r="V468" i="2" s="1"/>
  <c r="AD467" i="2"/>
  <c r="X467" i="2"/>
  <c r="W467" i="2"/>
  <c r="T467" i="2"/>
  <c r="V467" i="2" s="1"/>
  <c r="AD466" i="2"/>
  <c r="X466" i="2"/>
  <c r="W466" i="2"/>
  <c r="T466" i="2"/>
  <c r="V466" i="2" s="1"/>
  <c r="AD465" i="2"/>
  <c r="X465" i="2"/>
  <c r="W465" i="2"/>
  <c r="T465" i="2"/>
  <c r="V465" i="2" s="1"/>
  <c r="AD464" i="2"/>
  <c r="X464" i="2"/>
  <c r="W464" i="2"/>
  <c r="T464" i="2"/>
  <c r="V464" i="2" s="1"/>
  <c r="AD463" i="2"/>
  <c r="X463" i="2"/>
  <c r="W463" i="2"/>
  <c r="T463" i="2"/>
  <c r="V463" i="2" s="1"/>
  <c r="AD462" i="2"/>
  <c r="X462" i="2"/>
  <c r="W462" i="2"/>
  <c r="T462" i="2"/>
  <c r="V462" i="2" s="1"/>
  <c r="AD461" i="2"/>
  <c r="X461" i="2"/>
  <c r="W461" i="2"/>
  <c r="T461" i="2"/>
  <c r="V461" i="2" s="1"/>
  <c r="AD460" i="2"/>
  <c r="X460" i="2"/>
  <c r="W460" i="2"/>
  <c r="T460" i="2"/>
  <c r="V460" i="2" s="1"/>
  <c r="AD459" i="2"/>
  <c r="X459" i="2"/>
  <c r="W459" i="2"/>
  <c r="T459" i="2"/>
  <c r="V459" i="2" s="1"/>
  <c r="AD458" i="2"/>
  <c r="X458" i="2"/>
  <c r="W458" i="2"/>
  <c r="T458" i="2"/>
  <c r="V458" i="2" s="1"/>
  <c r="AD457" i="2"/>
  <c r="X457" i="2"/>
  <c r="W457" i="2"/>
  <c r="T457" i="2"/>
  <c r="V457" i="2" s="1"/>
  <c r="AD456" i="2"/>
  <c r="X456" i="2"/>
  <c r="W456" i="2"/>
  <c r="T456" i="2"/>
  <c r="V456" i="2" s="1"/>
  <c r="AD455" i="2"/>
  <c r="X455" i="2"/>
  <c r="W455" i="2"/>
  <c r="T455" i="2"/>
  <c r="V455" i="2" s="1"/>
  <c r="AD454" i="2"/>
  <c r="X454" i="2"/>
  <c r="W454" i="2"/>
  <c r="T454" i="2"/>
  <c r="V454" i="2" s="1"/>
  <c r="AD453" i="2"/>
  <c r="X453" i="2"/>
  <c r="W453" i="2"/>
  <c r="T453" i="2"/>
  <c r="V453" i="2" s="1"/>
  <c r="AD452" i="2"/>
  <c r="X452" i="2"/>
  <c r="W452" i="2"/>
  <c r="T452" i="2"/>
  <c r="V452" i="2" s="1"/>
  <c r="AD451" i="2"/>
  <c r="X451" i="2"/>
  <c r="W451" i="2"/>
  <c r="T451" i="2"/>
  <c r="V451" i="2" s="1"/>
  <c r="AD450" i="2"/>
  <c r="X450" i="2"/>
  <c r="W450" i="2"/>
  <c r="T450" i="2"/>
  <c r="V450" i="2" s="1"/>
  <c r="AD449" i="2"/>
  <c r="X449" i="2"/>
  <c r="W449" i="2"/>
  <c r="T449" i="2"/>
  <c r="V449" i="2" s="1"/>
  <c r="AD448" i="2"/>
  <c r="X448" i="2"/>
  <c r="W448" i="2"/>
  <c r="T448" i="2"/>
  <c r="V448" i="2" s="1"/>
  <c r="AD447" i="2"/>
  <c r="X447" i="2"/>
  <c r="W447" i="2"/>
  <c r="T447" i="2"/>
  <c r="V447" i="2" s="1"/>
  <c r="AD446" i="2"/>
  <c r="X446" i="2"/>
  <c r="W446" i="2"/>
  <c r="T446" i="2"/>
  <c r="V446" i="2" s="1"/>
  <c r="AD445" i="2"/>
  <c r="X445" i="2"/>
  <c r="W445" i="2"/>
  <c r="T445" i="2"/>
  <c r="V445" i="2" s="1"/>
  <c r="AD444" i="2"/>
  <c r="X444" i="2"/>
  <c r="W444" i="2"/>
  <c r="T444" i="2"/>
  <c r="V444" i="2" s="1"/>
  <c r="AD443" i="2"/>
  <c r="X443" i="2"/>
  <c r="W443" i="2"/>
  <c r="T443" i="2"/>
  <c r="V443" i="2" s="1"/>
  <c r="AD442" i="2"/>
  <c r="X442" i="2"/>
  <c r="W442" i="2"/>
  <c r="T442" i="2"/>
  <c r="V442" i="2" s="1"/>
  <c r="AD441" i="2"/>
  <c r="X441" i="2"/>
  <c r="W441" i="2"/>
  <c r="T441" i="2"/>
  <c r="V441" i="2" s="1"/>
  <c r="AD440" i="2"/>
  <c r="X440" i="2"/>
  <c r="W440" i="2"/>
  <c r="T440" i="2"/>
  <c r="V440" i="2" s="1"/>
  <c r="AD439" i="2"/>
  <c r="X439" i="2"/>
  <c r="W439" i="2"/>
  <c r="T439" i="2"/>
  <c r="V439" i="2" s="1"/>
  <c r="AD438" i="2"/>
  <c r="X438" i="2"/>
  <c r="W438" i="2"/>
  <c r="T438" i="2"/>
  <c r="V438" i="2" s="1"/>
  <c r="AD437" i="2"/>
  <c r="X437" i="2"/>
  <c r="W437" i="2"/>
  <c r="T437" i="2"/>
  <c r="V437" i="2" s="1"/>
  <c r="AD436" i="2"/>
  <c r="X436" i="2"/>
  <c r="W436" i="2"/>
  <c r="T436" i="2"/>
  <c r="V436" i="2" s="1"/>
  <c r="AD435" i="2"/>
  <c r="X435" i="2"/>
  <c r="W435" i="2"/>
  <c r="T435" i="2"/>
  <c r="V435" i="2" s="1"/>
  <c r="AD434" i="2"/>
  <c r="X434" i="2"/>
  <c r="W434" i="2"/>
  <c r="T434" i="2"/>
  <c r="V434" i="2" s="1"/>
  <c r="AD433" i="2"/>
  <c r="X433" i="2"/>
  <c r="W433" i="2"/>
  <c r="T433" i="2"/>
  <c r="V433" i="2" s="1"/>
  <c r="AD432" i="2"/>
  <c r="X432" i="2"/>
  <c r="W432" i="2"/>
  <c r="T432" i="2"/>
  <c r="V432" i="2" s="1"/>
  <c r="AD431" i="2"/>
  <c r="X431" i="2"/>
  <c r="W431" i="2"/>
  <c r="T431" i="2"/>
  <c r="V431" i="2" s="1"/>
  <c r="AD430" i="2"/>
  <c r="X430" i="2"/>
  <c r="W430" i="2"/>
  <c r="T430" i="2"/>
  <c r="V430" i="2" s="1"/>
  <c r="AD429" i="2"/>
  <c r="X429" i="2"/>
  <c r="W429" i="2"/>
  <c r="T429" i="2"/>
  <c r="V429" i="2" s="1"/>
  <c r="AD428" i="2"/>
  <c r="X428" i="2"/>
  <c r="W428" i="2"/>
  <c r="T428" i="2"/>
  <c r="V428" i="2" s="1"/>
  <c r="AD427" i="2"/>
  <c r="X427" i="2"/>
  <c r="W427" i="2"/>
  <c r="T427" i="2"/>
  <c r="V427" i="2" s="1"/>
  <c r="AD426" i="2"/>
  <c r="X426" i="2"/>
  <c r="W426" i="2"/>
  <c r="T426" i="2"/>
  <c r="V426" i="2" s="1"/>
  <c r="AD425" i="2"/>
  <c r="X425" i="2"/>
  <c r="W425" i="2"/>
  <c r="T425" i="2"/>
  <c r="V425" i="2" s="1"/>
  <c r="AD424" i="2"/>
  <c r="X424" i="2"/>
  <c r="W424" i="2"/>
  <c r="T424" i="2"/>
  <c r="V424" i="2" s="1"/>
  <c r="AD423" i="2"/>
  <c r="X423" i="2"/>
  <c r="W423" i="2"/>
  <c r="T423" i="2"/>
  <c r="V423" i="2" s="1"/>
  <c r="AD422" i="2"/>
  <c r="X422" i="2"/>
  <c r="W422" i="2"/>
  <c r="T422" i="2"/>
  <c r="V422" i="2" s="1"/>
  <c r="AD421" i="2"/>
  <c r="X421" i="2"/>
  <c r="W421" i="2"/>
  <c r="T421" i="2"/>
  <c r="V421" i="2" s="1"/>
  <c r="AD420" i="2"/>
  <c r="X420" i="2"/>
  <c r="W420" i="2"/>
  <c r="T420" i="2"/>
  <c r="V420" i="2" s="1"/>
  <c r="AD419" i="2"/>
  <c r="X419" i="2"/>
  <c r="W419" i="2"/>
  <c r="T419" i="2"/>
  <c r="V419" i="2" s="1"/>
  <c r="AD418" i="2"/>
  <c r="X418" i="2"/>
  <c r="W418" i="2"/>
  <c r="T418" i="2"/>
  <c r="V418" i="2" s="1"/>
  <c r="AD417" i="2"/>
  <c r="X417" i="2"/>
  <c r="W417" i="2"/>
  <c r="T417" i="2"/>
  <c r="V417" i="2" s="1"/>
  <c r="AD416" i="2"/>
  <c r="X416" i="2"/>
  <c r="W416" i="2"/>
  <c r="T416" i="2"/>
  <c r="V416" i="2" s="1"/>
  <c r="AD415" i="2"/>
  <c r="X415" i="2"/>
  <c r="W415" i="2"/>
  <c r="T415" i="2"/>
  <c r="V415" i="2" s="1"/>
  <c r="AD414" i="2"/>
  <c r="X414" i="2"/>
  <c r="W414" i="2"/>
  <c r="T414" i="2"/>
  <c r="V414" i="2" s="1"/>
  <c r="AD413" i="2"/>
  <c r="X413" i="2"/>
  <c r="W413" i="2"/>
  <c r="T413" i="2"/>
  <c r="V413" i="2" s="1"/>
  <c r="AD412" i="2"/>
  <c r="X412" i="2"/>
  <c r="W412" i="2"/>
  <c r="T412" i="2"/>
  <c r="V412" i="2" s="1"/>
  <c r="AD411" i="2"/>
  <c r="X411" i="2"/>
  <c r="W411" i="2"/>
  <c r="T411" i="2"/>
  <c r="V411" i="2" s="1"/>
  <c r="AD410" i="2"/>
  <c r="X410" i="2"/>
  <c r="W410" i="2"/>
  <c r="T410" i="2"/>
  <c r="V410" i="2" s="1"/>
  <c r="AD409" i="2"/>
  <c r="X409" i="2"/>
  <c r="W409" i="2"/>
  <c r="T409" i="2"/>
  <c r="V409" i="2" s="1"/>
  <c r="AD408" i="2"/>
  <c r="X408" i="2"/>
  <c r="W408" i="2"/>
  <c r="T408" i="2"/>
  <c r="V408" i="2" s="1"/>
  <c r="AD407" i="2"/>
  <c r="X407" i="2"/>
  <c r="W407" i="2"/>
  <c r="T407" i="2"/>
  <c r="V407" i="2" s="1"/>
  <c r="AD406" i="2"/>
  <c r="X406" i="2"/>
  <c r="W406" i="2"/>
  <c r="T406" i="2"/>
  <c r="V406" i="2" s="1"/>
  <c r="AD405" i="2"/>
  <c r="X405" i="2"/>
  <c r="W405" i="2"/>
  <c r="T405" i="2"/>
  <c r="V405" i="2" s="1"/>
  <c r="AD404" i="2"/>
  <c r="X404" i="2"/>
  <c r="W404" i="2"/>
  <c r="T404" i="2"/>
  <c r="V404" i="2" s="1"/>
  <c r="AD403" i="2"/>
  <c r="X403" i="2"/>
  <c r="W403" i="2"/>
  <c r="T403" i="2"/>
  <c r="V403" i="2" s="1"/>
  <c r="AD402" i="2"/>
  <c r="X402" i="2"/>
  <c r="W402" i="2"/>
  <c r="T402" i="2"/>
  <c r="V402" i="2" s="1"/>
  <c r="AD401" i="2"/>
  <c r="X401" i="2"/>
  <c r="W401" i="2"/>
  <c r="T401" i="2"/>
  <c r="V401" i="2" s="1"/>
  <c r="AD400" i="2"/>
  <c r="X400" i="2"/>
  <c r="W400" i="2"/>
  <c r="T400" i="2"/>
  <c r="V400" i="2" s="1"/>
  <c r="AD399" i="2"/>
  <c r="X399" i="2"/>
  <c r="W399" i="2"/>
  <c r="T399" i="2"/>
  <c r="V399" i="2" s="1"/>
  <c r="AD398" i="2"/>
  <c r="X398" i="2"/>
  <c r="W398" i="2"/>
  <c r="T398" i="2"/>
  <c r="V398" i="2" s="1"/>
  <c r="AD397" i="2"/>
  <c r="X397" i="2"/>
  <c r="W397" i="2"/>
  <c r="T397" i="2"/>
  <c r="V397" i="2" s="1"/>
  <c r="AD396" i="2"/>
  <c r="X396" i="2"/>
  <c r="W396" i="2"/>
  <c r="T396" i="2"/>
  <c r="V396" i="2" s="1"/>
  <c r="AD395" i="2"/>
  <c r="X395" i="2"/>
  <c r="W395" i="2"/>
  <c r="T395" i="2"/>
  <c r="V395" i="2" s="1"/>
  <c r="AD394" i="2"/>
  <c r="X394" i="2"/>
  <c r="W394" i="2"/>
  <c r="T394" i="2"/>
  <c r="V394" i="2" s="1"/>
  <c r="AD393" i="2"/>
  <c r="X393" i="2"/>
  <c r="W393" i="2"/>
  <c r="T393" i="2"/>
  <c r="V393" i="2" s="1"/>
  <c r="AD392" i="2"/>
  <c r="X392" i="2"/>
  <c r="W392" i="2"/>
  <c r="T392" i="2"/>
  <c r="V392" i="2" s="1"/>
  <c r="AD391" i="2"/>
  <c r="X391" i="2"/>
  <c r="W391" i="2"/>
  <c r="T391" i="2"/>
  <c r="V391" i="2" s="1"/>
  <c r="AD390" i="2"/>
  <c r="X390" i="2"/>
  <c r="W390" i="2"/>
  <c r="T390" i="2"/>
  <c r="V390" i="2" s="1"/>
  <c r="AD389" i="2"/>
  <c r="X389" i="2"/>
  <c r="W389" i="2"/>
  <c r="T389" i="2"/>
  <c r="V389" i="2" s="1"/>
  <c r="AD388" i="2"/>
  <c r="X388" i="2"/>
  <c r="W388" i="2"/>
  <c r="T388" i="2"/>
  <c r="V388" i="2" s="1"/>
  <c r="AD387" i="2"/>
  <c r="X387" i="2"/>
  <c r="W387" i="2"/>
  <c r="T387" i="2"/>
  <c r="V387" i="2" s="1"/>
  <c r="AD386" i="2"/>
  <c r="X386" i="2"/>
  <c r="W386" i="2"/>
  <c r="T386" i="2"/>
  <c r="V386" i="2" s="1"/>
  <c r="AD385" i="2"/>
  <c r="X385" i="2"/>
  <c r="W385" i="2"/>
  <c r="T385" i="2"/>
  <c r="V385" i="2" s="1"/>
  <c r="AD384" i="2"/>
  <c r="X384" i="2"/>
  <c r="W384" i="2"/>
  <c r="T384" i="2"/>
  <c r="V384" i="2" s="1"/>
  <c r="AD383" i="2"/>
  <c r="X383" i="2"/>
  <c r="W383" i="2"/>
  <c r="T383" i="2"/>
  <c r="V383" i="2" s="1"/>
  <c r="AD382" i="2"/>
  <c r="X382" i="2"/>
  <c r="W382" i="2"/>
  <c r="T382" i="2"/>
  <c r="V382" i="2" s="1"/>
  <c r="AD381" i="2"/>
  <c r="X381" i="2"/>
  <c r="W381" i="2"/>
  <c r="T381" i="2"/>
  <c r="V381" i="2" s="1"/>
  <c r="AD380" i="2"/>
  <c r="X380" i="2"/>
  <c r="W380" i="2"/>
  <c r="T380" i="2"/>
  <c r="V380" i="2" s="1"/>
  <c r="AD379" i="2"/>
  <c r="X379" i="2"/>
  <c r="W379" i="2"/>
  <c r="T379" i="2"/>
  <c r="V379" i="2" s="1"/>
  <c r="AD378" i="2"/>
  <c r="X378" i="2"/>
  <c r="W378" i="2"/>
  <c r="T378" i="2"/>
  <c r="V378" i="2" s="1"/>
  <c r="AD377" i="2"/>
  <c r="X377" i="2"/>
  <c r="W377" i="2"/>
  <c r="T377" i="2"/>
  <c r="V377" i="2" s="1"/>
  <c r="AD376" i="2"/>
  <c r="X376" i="2"/>
  <c r="W376" i="2"/>
  <c r="T376" i="2"/>
  <c r="V376" i="2" s="1"/>
  <c r="AD375" i="2"/>
  <c r="X375" i="2"/>
  <c r="W375" i="2"/>
  <c r="T375" i="2"/>
  <c r="V375" i="2" s="1"/>
  <c r="AD374" i="2"/>
  <c r="X374" i="2"/>
  <c r="W374" i="2"/>
  <c r="T374" i="2"/>
  <c r="V374" i="2" s="1"/>
  <c r="AD373" i="2"/>
  <c r="X373" i="2"/>
  <c r="W373" i="2"/>
  <c r="T373" i="2"/>
  <c r="V373" i="2" s="1"/>
  <c r="AD372" i="2"/>
  <c r="X372" i="2"/>
  <c r="W372" i="2"/>
  <c r="T372" i="2"/>
  <c r="V372" i="2" s="1"/>
  <c r="AD371" i="2"/>
  <c r="X371" i="2"/>
  <c r="W371" i="2"/>
  <c r="T371" i="2"/>
  <c r="V371" i="2" s="1"/>
  <c r="AD370" i="2"/>
  <c r="X370" i="2"/>
  <c r="W370" i="2"/>
  <c r="T370" i="2"/>
  <c r="V370" i="2" s="1"/>
  <c r="AD369" i="2"/>
  <c r="X369" i="2"/>
  <c r="W369" i="2"/>
  <c r="T369" i="2"/>
  <c r="V369" i="2" s="1"/>
  <c r="AD368" i="2"/>
  <c r="X368" i="2"/>
  <c r="W368" i="2"/>
  <c r="T368" i="2"/>
  <c r="V368" i="2" s="1"/>
  <c r="AD367" i="2"/>
  <c r="X367" i="2"/>
  <c r="W367" i="2"/>
  <c r="T367" i="2"/>
  <c r="V367" i="2" s="1"/>
  <c r="AD366" i="2"/>
  <c r="X366" i="2"/>
  <c r="W366" i="2"/>
  <c r="T366" i="2"/>
  <c r="V366" i="2" s="1"/>
  <c r="AD365" i="2"/>
  <c r="X365" i="2"/>
  <c r="W365" i="2"/>
  <c r="T365" i="2"/>
  <c r="V365" i="2" s="1"/>
  <c r="AD364" i="2"/>
  <c r="X364" i="2"/>
  <c r="W364" i="2"/>
  <c r="T364" i="2"/>
  <c r="V364" i="2" s="1"/>
  <c r="AD363" i="2"/>
  <c r="X363" i="2"/>
  <c r="W363" i="2"/>
  <c r="T363" i="2"/>
  <c r="V363" i="2" s="1"/>
  <c r="AD362" i="2"/>
  <c r="X362" i="2"/>
  <c r="W362" i="2"/>
  <c r="T362" i="2"/>
  <c r="V362" i="2" s="1"/>
  <c r="AD361" i="2"/>
  <c r="X361" i="2"/>
  <c r="W361" i="2"/>
  <c r="T361" i="2"/>
  <c r="V361" i="2" s="1"/>
  <c r="AD360" i="2"/>
  <c r="X360" i="2"/>
  <c r="W360" i="2"/>
  <c r="T360" i="2"/>
  <c r="V360" i="2" s="1"/>
  <c r="AD359" i="2"/>
  <c r="X359" i="2"/>
  <c r="W359" i="2"/>
  <c r="T359" i="2"/>
  <c r="V359" i="2" s="1"/>
  <c r="AD358" i="2"/>
  <c r="X358" i="2"/>
  <c r="W358" i="2"/>
  <c r="T358" i="2"/>
  <c r="V358" i="2" s="1"/>
  <c r="AD357" i="2"/>
  <c r="X357" i="2"/>
  <c r="W357" i="2"/>
  <c r="T357" i="2"/>
  <c r="V357" i="2" s="1"/>
  <c r="AD356" i="2"/>
  <c r="X356" i="2"/>
  <c r="W356" i="2"/>
  <c r="T356" i="2"/>
  <c r="V356" i="2" s="1"/>
  <c r="AD355" i="2"/>
  <c r="X355" i="2"/>
  <c r="W355" i="2"/>
  <c r="T355" i="2"/>
  <c r="V355" i="2" s="1"/>
  <c r="AD354" i="2"/>
  <c r="X354" i="2"/>
  <c r="W354" i="2"/>
  <c r="T354" i="2"/>
  <c r="V354" i="2" s="1"/>
  <c r="AD353" i="2"/>
  <c r="X353" i="2"/>
  <c r="W353" i="2"/>
  <c r="T353" i="2"/>
  <c r="V353" i="2" s="1"/>
  <c r="AD352" i="2"/>
  <c r="X352" i="2"/>
  <c r="W352" i="2"/>
  <c r="T352" i="2"/>
  <c r="V352" i="2" s="1"/>
  <c r="AD351" i="2"/>
  <c r="X351" i="2"/>
  <c r="W351" i="2"/>
  <c r="T351" i="2"/>
  <c r="V351" i="2" s="1"/>
  <c r="AD350" i="2"/>
  <c r="X350" i="2"/>
  <c r="W350" i="2"/>
  <c r="T350" i="2"/>
  <c r="V350" i="2" s="1"/>
  <c r="AD349" i="2"/>
  <c r="X349" i="2"/>
  <c r="W349" i="2"/>
  <c r="T349" i="2"/>
  <c r="V349" i="2" s="1"/>
  <c r="AD348" i="2"/>
  <c r="X348" i="2"/>
  <c r="W348" i="2"/>
  <c r="T348" i="2"/>
  <c r="V348" i="2" s="1"/>
  <c r="AD347" i="2"/>
  <c r="X347" i="2"/>
  <c r="W347" i="2"/>
  <c r="T347" i="2"/>
  <c r="V347" i="2" s="1"/>
  <c r="AD346" i="2"/>
  <c r="X346" i="2"/>
  <c r="W346" i="2"/>
  <c r="T346" i="2"/>
  <c r="V346" i="2" s="1"/>
  <c r="AD345" i="2"/>
  <c r="X345" i="2"/>
  <c r="W345" i="2"/>
  <c r="T345" i="2"/>
  <c r="V345" i="2" s="1"/>
  <c r="AD344" i="2"/>
  <c r="X344" i="2"/>
  <c r="W344" i="2"/>
  <c r="T344" i="2"/>
  <c r="V344" i="2" s="1"/>
  <c r="AD343" i="2"/>
  <c r="X343" i="2"/>
  <c r="W343" i="2"/>
  <c r="T343" i="2"/>
  <c r="V343" i="2" s="1"/>
  <c r="AD342" i="2"/>
  <c r="X342" i="2"/>
  <c r="W342" i="2"/>
  <c r="T342" i="2"/>
  <c r="V342" i="2" s="1"/>
  <c r="AD341" i="2"/>
  <c r="X341" i="2"/>
  <c r="W341" i="2"/>
  <c r="T341" i="2"/>
  <c r="V341" i="2" s="1"/>
  <c r="AD340" i="2"/>
  <c r="X340" i="2"/>
  <c r="W340" i="2"/>
  <c r="T340" i="2"/>
  <c r="V340" i="2" s="1"/>
  <c r="AD339" i="2"/>
  <c r="X339" i="2"/>
  <c r="W339" i="2"/>
  <c r="T339" i="2"/>
  <c r="V339" i="2" s="1"/>
  <c r="AD338" i="2"/>
  <c r="X338" i="2"/>
  <c r="W338" i="2"/>
  <c r="T338" i="2"/>
  <c r="V338" i="2" s="1"/>
  <c r="AD337" i="2"/>
  <c r="X337" i="2"/>
  <c r="W337" i="2"/>
  <c r="T337" i="2"/>
  <c r="V337" i="2" s="1"/>
  <c r="AD336" i="2"/>
  <c r="X336" i="2"/>
  <c r="W336" i="2"/>
  <c r="T336" i="2"/>
  <c r="V336" i="2" s="1"/>
  <c r="AD335" i="2"/>
  <c r="X335" i="2"/>
  <c r="W335" i="2"/>
  <c r="T335" i="2"/>
  <c r="V335" i="2" s="1"/>
  <c r="AD334" i="2"/>
  <c r="X334" i="2"/>
  <c r="W334" i="2"/>
  <c r="T334" i="2"/>
  <c r="V334" i="2" s="1"/>
  <c r="AD333" i="2"/>
  <c r="X333" i="2"/>
  <c r="W333" i="2"/>
  <c r="T333" i="2"/>
  <c r="V333" i="2" s="1"/>
  <c r="AD332" i="2"/>
  <c r="X332" i="2"/>
  <c r="W332" i="2"/>
  <c r="T332" i="2"/>
  <c r="V332" i="2" s="1"/>
  <c r="AD331" i="2"/>
  <c r="X331" i="2"/>
  <c r="W331" i="2"/>
  <c r="T331" i="2"/>
  <c r="V331" i="2" s="1"/>
  <c r="AD330" i="2"/>
  <c r="X330" i="2"/>
  <c r="W330" i="2"/>
  <c r="T330" i="2"/>
  <c r="V330" i="2" s="1"/>
  <c r="AD329" i="2"/>
  <c r="X329" i="2"/>
  <c r="W329" i="2"/>
  <c r="T329" i="2"/>
  <c r="V329" i="2" s="1"/>
  <c r="AD328" i="2"/>
  <c r="X328" i="2"/>
  <c r="W328" i="2"/>
  <c r="T328" i="2"/>
  <c r="V328" i="2" s="1"/>
  <c r="AD327" i="2"/>
  <c r="X327" i="2"/>
  <c r="W327" i="2"/>
  <c r="T327" i="2"/>
  <c r="V327" i="2" s="1"/>
  <c r="AD326" i="2"/>
  <c r="X326" i="2"/>
  <c r="W326" i="2"/>
  <c r="T326" i="2"/>
  <c r="V326" i="2" s="1"/>
  <c r="AD325" i="2"/>
  <c r="X325" i="2"/>
  <c r="W325" i="2"/>
  <c r="T325" i="2"/>
  <c r="V325" i="2" s="1"/>
  <c r="AD324" i="2"/>
  <c r="X324" i="2"/>
  <c r="W324" i="2"/>
  <c r="T324" i="2"/>
  <c r="V324" i="2" s="1"/>
  <c r="AD323" i="2"/>
  <c r="X323" i="2"/>
  <c r="W323" i="2"/>
  <c r="T323" i="2"/>
  <c r="V323" i="2" s="1"/>
  <c r="AD322" i="2"/>
  <c r="X322" i="2"/>
  <c r="W322" i="2"/>
  <c r="T322" i="2"/>
  <c r="V322" i="2" s="1"/>
  <c r="AD321" i="2"/>
  <c r="X321" i="2"/>
  <c r="W321" i="2"/>
  <c r="T321" i="2"/>
  <c r="V321" i="2" s="1"/>
  <c r="AD320" i="2"/>
  <c r="X320" i="2"/>
  <c r="W320" i="2"/>
  <c r="T320" i="2"/>
  <c r="V320" i="2" s="1"/>
  <c r="AD319" i="2"/>
  <c r="X319" i="2"/>
  <c r="W319" i="2"/>
  <c r="T319" i="2"/>
  <c r="V319" i="2" s="1"/>
  <c r="AD318" i="2"/>
  <c r="X318" i="2"/>
  <c r="W318" i="2"/>
  <c r="T318" i="2"/>
  <c r="V318" i="2" s="1"/>
  <c r="AD317" i="2"/>
  <c r="X317" i="2"/>
  <c r="W317" i="2"/>
  <c r="T317" i="2"/>
  <c r="V317" i="2" s="1"/>
  <c r="AD316" i="2"/>
  <c r="X316" i="2"/>
  <c r="W316" i="2"/>
  <c r="T316" i="2"/>
  <c r="V316" i="2" s="1"/>
  <c r="AD315" i="2"/>
  <c r="X315" i="2"/>
  <c r="W315" i="2"/>
  <c r="T315" i="2"/>
  <c r="V315" i="2" s="1"/>
  <c r="AD314" i="2"/>
  <c r="X314" i="2"/>
  <c r="W314" i="2"/>
  <c r="T314" i="2"/>
  <c r="V314" i="2" s="1"/>
  <c r="AD313" i="2"/>
  <c r="X313" i="2"/>
  <c r="W313" i="2"/>
  <c r="T313" i="2"/>
  <c r="V313" i="2" s="1"/>
  <c r="AD312" i="2"/>
  <c r="X312" i="2"/>
  <c r="W312" i="2"/>
  <c r="T312" i="2"/>
  <c r="V312" i="2" s="1"/>
  <c r="AD311" i="2"/>
  <c r="X311" i="2"/>
  <c r="W311" i="2"/>
  <c r="T311" i="2"/>
  <c r="V311" i="2" s="1"/>
  <c r="AD310" i="2"/>
  <c r="X310" i="2"/>
  <c r="W310" i="2"/>
  <c r="T310" i="2"/>
  <c r="V310" i="2" s="1"/>
  <c r="AD309" i="2"/>
  <c r="X309" i="2"/>
  <c r="W309" i="2"/>
  <c r="T309" i="2"/>
  <c r="V309" i="2" s="1"/>
  <c r="AD308" i="2"/>
  <c r="X308" i="2"/>
  <c r="W308" i="2"/>
  <c r="T308" i="2"/>
  <c r="V308" i="2" s="1"/>
  <c r="AD307" i="2"/>
  <c r="X307" i="2"/>
  <c r="W307" i="2"/>
  <c r="T307" i="2"/>
  <c r="V307" i="2" s="1"/>
  <c r="AD306" i="2"/>
  <c r="X306" i="2"/>
  <c r="W306" i="2"/>
  <c r="T306" i="2"/>
  <c r="V306" i="2" s="1"/>
  <c r="AD305" i="2"/>
  <c r="X305" i="2"/>
  <c r="W305" i="2"/>
  <c r="T305" i="2"/>
  <c r="V305" i="2" s="1"/>
  <c r="AD304" i="2"/>
  <c r="X304" i="2"/>
  <c r="W304" i="2"/>
  <c r="T304" i="2"/>
  <c r="V304" i="2" s="1"/>
  <c r="AD303" i="2"/>
  <c r="X303" i="2"/>
  <c r="W303" i="2"/>
  <c r="T303" i="2"/>
  <c r="V303" i="2" s="1"/>
  <c r="AD302" i="2"/>
  <c r="X302" i="2"/>
  <c r="W302" i="2"/>
  <c r="T302" i="2"/>
  <c r="V302" i="2" s="1"/>
  <c r="AD301" i="2"/>
  <c r="X301" i="2"/>
  <c r="W301" i="2"/>
  <c r="T301" i="2"/>
  <c r="V301" i="2" s="1"/>
  <c r="AD300" i="2"/>
  <c r="X300" i="2"/>
  <c r="W300" i="2"/>
  <c r="T300" i="2"/>
  <c r="V300" i="2" s="1"/>
  <c r="AD299" i="2"/>
  <c r="X299" i="2"/>
  <c r="W299" i="2"/>
  <c r="T299" i="2"/>
  <c r="V299" i="2" s="1"/>
  <c r="AD298" i="2"/>
  <c r="X298" i="2"/>
  <c r="W298" i="2"/>
  <c r="T298" i="2"/>
  <c r="V298" i="2" s="1"/>
  <c r="AD297" i="2"/>
  <c r="X297" i="2"/>
  <c r="W297" i="2"/>
  <c r="T297" i="2"/>
  <c r="V297" i="2" s="1"/>
  <c r="AD296" i="2"/>
  <c r="X296" i="2"/>
  <c r="W296" i="2"/>
  <c r="T296" i="2"/>
  <c r="V296" i="2" s="1"/>
  <c r="AD295" i="2"/>
  <c r="X295" i="2"/>
  <c r="W295" i="2"/>
  <c r="T295" i="2"/>
  <c r="V295" i="2" s="1"/>
  <c r="AD294" i="2"/>
  <c r="X294" i="2"/>
  <c r="W294" i="2"/>
  <c r="T294" i="2"/>
  <c r="V294" i="2" s="1"/>
  <c r="AD293" i="2"/>
  <c r="X293" i="2"/>
  <c r="W293" i="2"/>
  <c r="T293" i="2"/>
  <c r="V293" i="2" s="1"/>
  <c r="AD292" i="2"/>
  <c r="X292" i="2"/>
  <c r="W292" i="2"/>
  <c r="T292" i="2"/>
  <c r="V292" i="2" s="1"/>
  <c r="AD291" i="2"/>
  <c r="X291" i="2"/>
  <c r="W291" i="2"/>
  <c r="T291" i="2"/>
  <c r="V291" i="2" s="1"/>
  <c r="AD290" i="2"/>
  <c r="X290" i="2"/>
  <c r="W290" i="2"/>
  <c r="T290" i="2"/>
  <c r="V290" i="2" s="1"/>
  <c r="AD289" i="2"/>
  <c r="X289" i="2"/>
  <c r="W289" i="2"/>
  <c r="T289" i="2"/>
  <c r="V289" i="2" s="1"/>
  <c r="AD288" i="2"/>
  <c r="X288" i="2"/>
  <c r="W288" i="2"/>
  <c r="T288" i="2"/>
  <c r="V288" i="2" s="1"/>
  <c r="AD287" i="2"/>
  <c r="X287" i="2"/>
  <c r="W287" i="2"/>
  <c r="T287" i="2"/>
  <c r="V287" i="2" s="1"/>
  <c r="AD286" i="2"/>
  <c r="X286" i="2"/>
  <c r="W286" i="2"/>
  <c r="T286" i="2"/>
  <c r="V286" i="2" s="1"/>
  <c r="AD285" i="2"/>
  <c r="X285" i="2"/>
  <c r="W285" i="2"/>
  <c r="T285" i="2"/>
  <c r="V285" i="2" s="1"/>
  <c r="AD284" i="2"/>
  <c r="X284" i="2"/>
  <c r="W284" i="2"/>
  <c r="T284" i="2"/>
  <c r="V284" i="2" s="1"/>
  <c r="AD283" i="2"/>
  <c r="X283" i="2"/>
  <c r="W283" i="2"/>
  <c r="T283" i="2"/>
  <c r="V283" i="2" s="1"/>
  <c r="AD282" i="2"/>
  <c r="X282" i="2"/>
  <c r="W282" i="2"/>
  <c r="T282" i="2"/>
  <c r="V282" i="2" s="1"/>
  <c r="AD281" i="2"/>
  <c r="X281" i="2"/>
  <c r="W281" i="2"/>
  <c r="T281" i="2"/>
  <c r="V281" i="2" s="1"/>
  <c r="AD280" i="2"/>
  <c r="X280" i="2"/>
  <c r="W280" i="2"/>
  <c r="T280" i="2"/>
  <c r="V280" i="2" s="1"/>
  <c r="AD279" i="2"/>
  <c r="X279" i="2"/>
  <c r="W279" i="2"/>
  <c r="T279" i="2"/>
  <c r="V279" i="2" s="1"/>
  <c r="AD278" i="2"/>
  <c r="X278" i="2"/>
  <c r="W278" i="2"/>
  <c r="T278" i="2"/>
  <c r="V278" i="2" s="1"/>
  <c r="AD277" i="2"/>
  <c r="X277" i="2"/>
  <c r="W277" i="2"/>
  <c r="T277" i="2"/>
  <c r="V277" i="2" s="1"/>
  <c r="AD276" i="2"/>
  <c r="X276" i="2"/>
  <c r="W276" i="2"/>
  <c r="T276" i="2"/>
  <c r="V276" i="2" s="1"/>
  <c r="AD275" i="2"/>
  <c r="X275" i="2"/>
  <c r="W275" i="2"/>
  <c r="T275" i="2"/>
  <c r="V275" i="2" s="1"/>
  <c r="AD274" i="2"/>
  <c r="X274" i="2"/>
  <c r="W274" i="2"/>
  <c r="T274" i="2"/>
  <c r="V274" i="2" s="1"/>
  <c r="AD273" i="2"/>
  <c r="X273" i="2"/>
  <c r="W273" i="2"/>
  <c r="T273" i="2"/>
  <c r="V273" i="2" s="1"/>
  <c r="AD272" i="2"/>
  <c r="X272" i="2"/>
  <c r="W272" i="2"/>
  <c r="T272" i="2"/>
  <c r="V272" i="2" s="1"/>
  <c r="AD271" i="2"/>
  <c r="X271" i="2"/>
  <c r="W271" i="2"/>
  <c r="T271" i="2"/>
  <c r="V271" i="2" s="1"/>
  <c r="AD270" i="2"/>
  <c r="X270" i="2"/>
  <c r="W270" i="2"/>
  <c r="T270" i="2"/>
  <c r="V270" i="2" s="1"/>
  <c r="AD269" i="2"/>
  <c r="X269" i="2"/>
  <c r="W269" i="2"/>
  <c r="T269" i="2"/>
  <c r="V269" i="2" s="1"/>
  <c r="AD268" i="2"/>
  <c r="X268" i="2"/>
  <c r="W268" i="2"/>
  <c r="T268" i="2"/>
  <c r="V268" i="2" s="1"/>
  <c r="AD267" i="2"/>
  <c r="X267" i="2"/>
  <c r="W267" i="2"/>
  <c r="T267" i="2"/>
  <c r="V267" i="2" s="1"/>
  <c r="AD266" i="2"/>
  <c r="X266" i="2"/>
  <c r="W266" i="2"/>
  <c r="T266" i="2"/>
  <c r="V266" i="2" s="1"/>
  <c r="AD265" i="2"/>
  <c r="X265" i="2"/>
  <c r="W265" i="2"/>
  <c r="T265" i="2"/>
  <c r="V265" i="2" s="1"/>
  <c r="AD264" i="2"/>
  <c r="X264" i="2"/>
  <c r="W264" i="2"/>
  <c r="T264" i="2"/>
  <c r="V264" i="2" s="1"/>
  <c r="AD263" i="2"/>
  <c r="X263" i="2"/>
  <c r="W263" i="2"/>
  <c r="T263" i="2"/>
  <c r="V263" i="2" s="1"/>
  <c r="AD262" i="2"/>
  <c r="X262" i="2"/>
  <c r="W262" i="2"/>
  <c r="T262" i="2"/>
  <c r="V262" i="2" s="1"/>
  <c r="AD261" i="2"/>
  <c r="X261" i="2"/>
  <c r="W261" i="2"/>
  <c r="T261" i="2"/>
  <c r="V261" i="2" s="1"/>
  <c r="AD260" i="2"/>
  <c r="X260" i="2"/>
  <c r="W260" i="2"/>
  <c r="T260" i="2"/>
  <c r="V260" i="2" s="1"/>
  <c r="AD259" i="2"/>
  <c r="X259" i="2"/>
  <c r="W259" i="2"/>
  <c r="T259" i="2"/>
  <c r="V259" i="2" s="1"/>
  <c r="AD258" i="2"/>
  <c r="X258" i="2"/>
  <c r="W258" i="2"/>
  <c r="T258" i="2"/>
  <c r="V258" i="2" s="1"/>
  <c r="AD257" i="2"/>
  <c r="X257" i="2"/>
  <c r="W257" i="2"/>
  <c r="T257" i="2"/>
  <c r="V257" i="2" s="1"/>
  <c r="AD256" i="2"/>
  <c r="X256" i="2"/>
  <c r="W256" i="2"/>
  <c r="T256" i="2"/>
  <c r="V256" i="2" s="1"/>
  <c r="AD255" i="2"/>
  <c r="X255" i="2"/>
  <c r="W255" i="2"/>
  <c r="T255" i="2"/>
  <c r="V255" i="2" s="1"/>
  <c r="AD254" i="2"/>
  <c r="X254" i="2"/>
  <c r="W254" i="2"/>
  <c r="T254" i="2"/>
  <c r="V254" i="2" s="1"/>
  <c r="AD253" i="2"/>
  <c r="X253" i="2"/>
  <c r="W253" i="2"/>
  <c r="T253" i="2"/>
  <c r="V253" i="2" s="1"/>
  <c r="AD252" i="2"/>
  <c r="X252" i="2"/>
  <c r="W252" i="2"/>
  <c r="T252" i="2"/>
  <c r="V252" i="2" s="1"/>
  <c r="AD251" i="2"/>
  <c r="X251" i="2"/>
  <c r="W251" i="2"/>
  <c r="T251" i="2"/>
  <c r="V251" i="2" s="1"/>
  <c r="AD250" i="2"/>
  <c r="X250" i="2"/>
  <c r="W250" i="2"/>
  <c r="T250" i="2"/>
  <c r="V250" i="2" s="1"/>
  <c r="AD249" i="2"/>
  <c r="X249" i="2"/>
  <c r="W249" i="2"/>
  <c r="T249" i="2"/>
  <c r="V249" i="2" s="1"/>
  <c r="AD248" i="2"/>
  <c r="X248" i="2"/>
  <c r="W248" i="2"/>
  <c r="T248" i="2"/>
  <c r="V248" i="2" s="1"/>
  <c r="AD247" i="2"/>
  <c r="X247" i="2"/>
  <c r="W247" i="2"/>
  <c r="T247" i="2"/>
  <c r="V247" i="2" s="1"/>
  <c r="AD246" i="2"/>
  <c r="X246" i="2"/>
  <c r="W246" i="2"/>
  <c r="T246" i="2"/>
  <c r="V246" i="2" s="1"/>
  <c r="AD245" i="2"/>
  <c r="X245" i="2"/>
  <c r="W245" i="2"/>
  <c r="T245" i="2"/>
  <c r="V245" i="2" s="1"/>
  <c r="AD244" i="2"/>
  <c r="X244" i="2"/>
  <c r="W244" i="2"/>
  <c r="T244" i="2"/>
  <c r="V244" i="2" s="1"/>
  <c r="AD243" i="2"/>
  <c r="X243" i="2"/>
  <c r="W243" i="2"/>
  <c r="T243" i="2"/>
  <c r="V243" i="2" s="1"/>
  <c r="AD242" i="2"/>
  <c r="X242" i="2"/>
  <c r="W242" i="2"/>
  <c r="T242" i="2"/>
  <c r="V242" i="2" s="1"/>
  <c r="AD241" i="2"/>
  <c r="X241" i="2"/>
  <c r="W241" i="2"/>
  <c r="T241" i="2"/>
  <c r="V241" i="2" s="1"/>
  <c r="AD240" i="2"/>
  <c r="X240" i="2"/>
  <c r="W240" i="2"/>
  <c r="T240" i="2"/>
  <c r="V240" i="2" s="1"/>
  <c r="AD239" i="2"/>
  <c r="X239" i="2"/>
  <c r="W239" i="2"/>
  <c r="T239" i="2"/>
  <c r="V239" i="2" s="1"/>
  <c r="AD238" i="2"/>
  <c r="X238" i="2"/>
  <c r="W238" i="2"/>
  <c r="T238" i="2"/>
  <c r="V238" i="2" s="1"/>
  <c r="AD237" i="2"/>
  <c r="X237" i="2"/>
  <c r="W237" i="2"/>
  <c r="T237" i="2"/>
  <c r="V237" i="2" s="1"/>
  <c r="AD236" i="2"/>
  <c r="X236" i="2"/>
  <c r="W236" i="2"/>
  <c r="T236" i="2"/>
  <c r="V236" i="2" s="1"/>
  <c r="AD235" i="2"/>
  <c r="X235" i="2"/>
  <c r="W235" i="2"/>
  <c r="T235" i="2"/>
  <c r="V235" i="2" s="1"/>
  <c r="AD234" i="2"/>
  <c r="X234" i="2"/>
  <c r="W234" i="2"/>
  <c r="T234" i="2"/>
  <c r="V234" i="2" s="1"/>
  <c r="AD233" i="2"/>
  <c r="X233" i="2"/>
  <c r="W233" i="2"/>
  <c r="T233" i="2"/>
  <c r="V233" i="2" s="1"/>
  <c r="AD232" i="2"/>
  <c r="X232" i="2"/>
  <c r="W232" i="2"/>
  <c r="T232" i="2"/>
  <c r="V232" i="2" s="1"/>
  <c r="AD231" i="2"/>
  <c r="X231" i="2"/>
  <c r="W231" i="2"/>
  <c r="T231" i="2"/>
  <c r="V231" i="2" s="1"/>
  <c r="AD230" i="2"/>
  <c r="X230" i="2"/>
  <c r="W230" i="2"/>
  <c r="T230" i="2"/>
  <c r="V230" i="2" s="1"/>
  <c r="AD229" i="2"/>
  <c r="X229" i="2"/>
  <c r="W229" i="2"/>
  <c r="T229" i="2"/>
  <c r="V229" i="2" s="1"/>
  <c r="AD228" i="2"/>
  <c r="X228" i="2"/>
  <c r="W228" i="2"/>
  <c r="T228" i="2"/>
  <c r="V228" i="2" s="1"/>
  <c r="AD227" i="2"/>
  <c r="X227" i="2"/>
  <c r="W227" i="2"/>
  <c r="T227" i="2"/>
  <c r="V227" i="2" s="1"/>
  <c r="AD226" i="2"/>
  <c r="X226" i="2"/>
  <c r="W226" i="2"/>
  <c r="T226" i="2"/>
  <c r="V226" i="2" s="1"/>
  <c r="AD225" i="2"/>
  <c r="X225" i="2"/>
  <c r="W225" i="2"/>
  <c r="T225" i="2"/>
  <c r="V225" i="2" s="1"/>
  <c r="AD224" i="2"/>
  <c r="X224" i="2"/>
  <c r="W224" i="2"/>
  <c r="T224" i="2"/>
  <c r="V224" i="2" s="1"/>
  <c r="AD223" i="2"/>
  <c r="X223" i="2"/>
  <c r="W223" i="2"/>
  <c r="T223" i="2"/>
  <c r="V223" i="2" s="1"/>
  <c r="AD222" i="2"/>
  <c r="X222" i="2"/>
  <c r="W222" i="2"/>
  <c r="T222" i="2"/>
  <c r="V222" i="2" s="1"/>
  <c r="AD221" i="2"/>
  <c r="X221" i="2"/>
  <c r="W221" i="2"/>
  <c r="T221" i="2"/>
  <c r="V221" i="2" s="1"/>
  <c r="AD220" i="2"/>
  <c r="X220" i="2"/>
  <c r="W220" i="2"/>
  <c r="T220" i="2"/>
  <c r="V220" i="2" s="1"/>
  <c r="AD219" i="2"/>
  <c r="X219" i="2"/>
  <c r="W219" i="2"/>
  <c r="T219" i="2"/>
  <c r="V219" i="2" s="1"/>
  <c r="AD218" i="2"/>
  <c r="X218" i="2"/>
  <c r="W218" i="2"/>
  <c r="T218" i="2"/>
  <c r="V218" i="2" s="1"/>
  <c r="AD217" i="2"/>
  <c r="X217" i="2"/>
  <c r="W217" i="2"/>
  <c r="T217" i="2"/>
  <c r="V217" i="2" s="1"/>
  <c r="AD216" i="2"/>
  <c r="X216" i="2"/>
  <c r="W216" i="2"/>
  <c r="T216" i="2"/>
  <c r="V216" i="2" s="1"/>
  <c r="AD215" i="2"/>
  <c r="X215" i="2"/>
  <c r="W215" i="2"/>
  <c r="T215" i="2"/>
  <c r="V215" i="2" s="1"/>
  <c r="AD214" i="2"/>
  <c r="X214" i="2"/>
  <c r="W214" i="2"/>
  <c r="T214" i="2"/>
  <c r="V214" i="2" s="1"/>
  <c r="AD213" i="2"/>
  <c r="X213" i="2"/>
  <c r="W213" i="2"/>
  <c r="T213" i="2"/>
  <c r="V213" i="2" s="1"/>
  <c r="AD212" i="2"/>
  <c r="X212" i="2"/>
  <c r="W212" i="2"/>
  <c r="T212" i="2"/>
  <c r="V212" i="2" s="1"/>
  <c r="AD211" i="2"/>
  <c r="X211" i="2"/>
  <c r="W211" i="2"/>
  <c r="T211" i="2"/>
  <c r="V211" i="2" s="1"/>
  <c r="AD210" i="2"/>
  <c r="X210" i="2"/>
  <c r="W210" i="2"/>
  <c r="T210" i="2"/>
  <c r="V210" i="2" s="1"/>
  <c r="AD209" i="2"/>
  <c r="X209" i="2"/>
  <c r="W209" i="2"/>
  <c r="T209" i="2"/>
  <c r="V209" i="2" s="1"/>
  <c r="AD208" i="2"/>
  <c r="X208" i="2"/>
  <c r="W208" i="2"/>
  <c r="T208" i="2"/>
  <c r="V208" i="2" s="1"/>
  <c r="AD207" i="2"/>
  <c r="X207" i="2"/>
  <c r="W207" i="2"/>
  <c r="T207" i="2"/>
  <c r="V207" i="2" s="1"/>
  <c r="AD206" i="2"/>
  <c r="X206" i="2"/>
  <c r="W206" i="2"/>
  <c r="T206" i="2"/>
  <c r="V206" i="2" s="1"/>
  <c r="AD205" i="2"/>
  <c r="X205" i="2"/>
  <c r="W205" i="2"/>
  <c r="T205" i="2"/>
  <c r="V205" i="2" s="1"/>
  <c r="AD204" i="2"/>
  <c r="X204" i="2"/>
  <c r="W204" i="2"/>
  <c r="T204" i="2"/>
  <c r="V204" i="2" s="1"/>
  <c r="AD203" i="2"/>
  <c r="X203" i="2"/>
  <c r="W203" i="2"/>
  <c r="T203" i="2"/>
  <c r="V203" i="2" s="1"/>
  <c r="AD202" i="2"/>
  <c r="X202" i="2"/>
  <c r="W202" i="2"/>
  <c r="T202" i="2"/>
  <c r="V202" i="2" s="1"/>
  <c r="AD201" i="2"/>
  <c r="X201" i="2"/>
  <c r="W201" i="2"/>
  <c r="T201" i="2"/>
  <c r="V201" i="2" s="1"/>
  <c r="AD200" i="2"/>
  <c r="X200" i="2"/>
  <c r="W200" i="2"/>
  <c r="T200" i="2"/>
  <c r="V200" i="2" s="1"/>
  <c r="AD199" i="2"/>
  <c r="X199" i="2"/>
  <c r="W199" i="2"/>
  <c r="T199" i="2"/>
  <c r="V199" i="2" s="1"/>
  <c r="AD198" i="2"/>
  <c r="X198" i="2"/>
  <c r="W198" i="2"/>
  <c r="T198" i="2"/>
  <c r="V198" i="2" s="1"/>
  <c r="AD197" i="2"/>
  <c r="X197" i="2"/>
  <c r="W197" i="2"/>
  <c r="T197" i="2"/>
  <c r="V197" i="2" s="1"/>
  <c r="AD196" i="2"/>
  <c r="X196" i="2"/>
  <c r="W196" i="2"/>
  <c r="T196" i="2"/>
  <c r="V196" i="2" s="1"/>
  <c r="AD195" i="2"/>
  <c r="X195" i="2"/>
  <c r="W195" i="2"/>
  <c r="T195" i="2"/>
  <c r="V195" i="2" s="1"/>
  <c r="AD194" i="2"/>
  <c r="X194" i="2"/>
  <c r="W194" i="2"/>
  <c r="T194" i="2"/>
  <c r="V194" i="2" s="1"/>
  <c r="AD193" i="2"/>
  <c r="X193" i="2"/>
  <c r="W193" i="2"/>
  <c r="T193" i="2"/>
  <c r="V193" i="2" s="1"/>
  <c r="AD192" i="2"/>
  <c r="X192" i="2"/>
  <c r="W192" i="2"/>
  <c r="T192" i="2"/>
  <c r="V192" i="2" s="1"/>
  <c r="AD191" i="2"/>
  <c r="X191" i="2"/>
  <c r="W191" i="2"/>
  <c r="T191" i="2"/>
  <c r="V191" i="2" s="1"/>
  <c r="AD190" i="2"/>
  <c r="X190" i="2"/>
  <c r="W190" i="2"/>
  <c r="T190" i="2"/>
  <c r="V190" i="2" s="1"/>
  <c r="AD189" i="2"/>
  <c r="X189" i="2"/>
  <c r="W189" i="2"/>
  <c r="T189" i="2"/>
  <c r="V189" i="2" s="1"/>
  <c r="AD188" i="2"/>
  <c r="X188" i="2"/>
  <c r="W188" i="2"/>
  <c r="T188" i="2"/>
  <c r="V188" i="2" s="1"/>
  <c r="AD187" i="2"/>
  <c r="X187" i="2"/>
  <c r="W187" i="2"/>
  <c r="T187" i="2"/>
  <c r="V187" i="2" s="1"/>
  <c r="AD186" i="2"/>
  <c r="X186" i="2"/>
  <c r="W186" i="2"/>
  <c r="T186" i="2"/>
  <c r="V186" i="2" s="1"/>
  <c r="AD185" i="2"/>
  <c r="X185" i="2"/>
  <c r="W185" i="2"/>
  <c r="T185" i="2"/>
  <c r="V185" i="2" s="1"/>
  <c r="AD184" i="2"/>
  <c r="X184" i="2"/>
  <c r="W184" i="2"/>
  <c r="T184" i="2"/>
  <c r="V184" i="2" s="1"/>
  <c r="AD183" i="2"/>
  <c r="X183" i="2"/>
  <c r="W183" i="2"/>
  <c r="T183" i="2"/>
  <c r="V183" i="2" s="1"/>
  <c r="AD182" i="2"/>
  <c r="X182" i="2"/>
  <c r="W182" i="2"/>
  <c r="T182" i="2"/>
  <c r="V182" i="2" s="1"/>
  <c r="AD181" i="2"/>
  <c r="X181" i="2"/>
  <c r="W181" i="2"/>
  <c r="T181" i="2"/>
  <c r="V181" i="2" s="1"/>
  <c r="AD180" i="2"/>
  <c r="X180" i="2"/>
  <c r="W180" i="2"/>
  <c r="T180" i="2"/>
  <c r="V180" i="2" s="1"/>
  <c r="AD179" i="2"/>
  <c r="X179" i="2"/>
  <c r="W179" i="2"/>
  <c r="T179" i="2"/>
  <c r="V179" i="2" s="1"/>
  <c r="AD178" i="2"/>
  <c r="X178" i="2"/>
  <c r="W178" i="2"/>
  <c r="T178" i="2"/>
  <c r="V178" i="2" s="1"/>
  <c r="AD177" i="2"/>
  <c r="X177" i="2"/>
  <c r="W177" i="2"/>
  <c r="T177" i="2"/>
  <c r="V177" i="2" s="1"/>
  <c r="AD176" i="2"/>
  <c r="X176" i="2"/>
  <c r="W176" i="2"/>
  <c r="T176" i="2"/>
  <c r="V176" i="2" s="1"/>
  <c r="AD175" i="2"/>
  <c r="X175" i="2"/>
  <c r="W175" i="2"/>
  <c r="T175" i="2"/>
  <c r="V175" i="2" s="1"/>
  <c r="AD174" i="2"/>
  <c r="X174" i="2"/>
  <c r="W174" i="2"/>
  <c r="T174" i="2"/>
  <c r="V174" i="2" s="1"/>
  <c r="AD173" i="2"/>
  <c r="X173" i="2"/>
  <c r="W173" i="2"/>
  <c r="T173" i="2"/>
  <c r="V173" i="2" s="1"/>
  <c r="AD172" i="2"/>
  <c r="X172" i="2"/>
  <c r="W172" i="2"/>
  <c r="T172" i="2"/>
  <c r="V172" i="2" s="1"/>
  <c r="AD171" i="2"/>
  <c r="X171" i="2"/>
  <c r="W171" i="2"/>
  <c r="T171" i="2"/>
  <c r="V171" i="2" s="1"/>
  <c r="AD170" i="2"/>
  <c r="X170" i="2"/>
  <c r="W170" i="2"/>
  <c r="T170" i="2"/>
  <c r="V170" i="2" s="1"/>
  <c r="AD169" i="2"/>
  <c r="X169" i="2"/>
  <c r="W169" i="2"/>
  <c r="T169" i="2"/>
  <c r="V169" i="2" s="1"/>
  <c r="AD168" i="2"/>
  <c r="X168" i="2"/>
  <c r="W168" i="2"/>
  <c r="T168" i="2"/>
  <c r="V168" i="2" s="1"/>
  <c r="AD167" i="2"/>
  <c r="X167" i="2"/>
  <c r="W167" i="2"/>
  <c r="T167" i="2"/>
  <c r="V167" i="2" s="1"/>
  <c r="AD166" i="2"/>
  <c r="X166" i="2"/>
  <c r="W166" i="2"/>
  <c r="T166" i="2"/>
  <c r="V166" i="2" s="1"/>
  <c r="AD165" i="2"/>
  <c r="X165" i="2"/>
  <c r="W165" i="2"/>
  <c r="T165" i="2"/>
  <c r="V165" i="2" s="1"/>
  <c r="AD164" i="2"/>
  <c r="X164" i="2"/>
  <c r="W164" i="2"/>
  <c r="T164" i="2"/>
  <c r="V164" i="2" s="1"/>
  <c r="AD163" i="2"/>
  <c r="X163" i="2"/>
  <c r="W163" i="2"/>
  <c r="T163" i="2"/>
  <c r="V163" i="2" s="1"/>
  <c r="AD162" i="2"/>
  <c r="X162" i="2"/>
  <c r="W162" i="2"/>
  <c r="T162" i="2"/>
  <c r="V162" i="2" s="1"/>
  <c r="AD161" i="2"/>
  <c r="X161" i="2"/>
  <c r="W161" i="2"/>
  <c r="T161" i="2"/>
  <c r="V161" i="2" s="1"/>
  <c r="AD160" i="2"/>
  <c r="X160" i="2"/>
  <c r="W160" i="2"/>
  <c r="T160" i="2"/>
  <c r="V160" i="2" s="1"/>
  <c r="AD159" i="2"/>
  <c r="X159" i="2"/>
  <c r="W159" i="2"/>
  <c r="T159" i="2"/>
  <c r="V159" i="2" s="1"/>
  <c r="AD158" i="2"/>
  <c r="X158" i="2"/>
  <c r="W158" i="2"/>
  <c r="T158" i="2"/>
  <c r="V158" i="2" s="1"/>
  <c r="AD157" i="2"/>
  <c r="X157" i="2"/>
  <c r="W157" i="2"/>
  <c r="T157" i="2"/>
  <c r="V157" i="2" s="1"/>
  <c r="AD156" i="2"/>
  <c r="X156" i="2"/>
  <c r="W156" i="2"/>
  <c r="T156" i="2"/>
  <c r="V156" i="2" s="1"/>
  <c r="AD155" i="2"/>
  <c r="X155" i="2"/>
  <c r="W155" i="2"/>
  <c r="T155" i="2"/>
  <c r="V155" i="2" s="1"/>
  <c r="AD154" i="2"/>
  <c r="X154" i="2"/>
  <c r="W154" i="2"/>
  <c r="T154" i="2"/>
  <c r="V154" i="2" s="1"/>
  <c r="AD153" i="2"/>
  <c r="X153" i="2"/>
  <c r="W153" i="2"/>
  <c r="T153" i="2"/>
  <c r="V153" i="2" s="1"/>
  <c r="AD152" i="2"/>
  <c r="X152" i="2"/>
  <c r="W152" i="2"/>
  <c r="T152" i="2"/>
  <c r="V152" i="2" s="1"/>
  <c r="AD151" i="2"/>
  <c r="X151" i="2"/>
  <c r="W151" i="2"/>
  <c r="T151" i="2"/>
  <c r="V151" i="2" s="1"/>
  <c r="AD150" i="2"/>
  <c r="X150" i="2"/>
  <c r="W150" i="2"/>
  <c r="T150" i="2"/>
  <c r="V150" i="2" s="1"/>
  <c r="AD149" i="2"/>
  <c r="X149" i="2"/>
  <c r="W149" i="2"/>
  <c r="T149" i="2"/>
  <c r="V149" i="2" s="1"/>
  <c r="AD148" i="2"/>
  <c r="X148" i="2"/>
  <c r="W148" i="2"/>
  <c r="T148" i="2"/>
  <c r="V148" i="2" s="1"/>
  <c r="AD147" i="2"/>
  <c r="X147" i="2"/>
  <c r="W147" i="2"/>
  <c r="T147" i="2"/>
  <c r="V147" i="2" s="1"/>
  <c r="AD146" i="2"/>
  <c r="X146" i="2"/>
  <c r="W146" i="2"/>
  <c r="T146" i="2"/>
  <c r="V146" i="2" s="1"/>
  <c r="AD145" i="2"/>
  <c r="X145" i="2"/>
  <c r="W145" i="2"/>
  <c r="T145" i="2"/>
  <c r="V145" i="2" s="1"/>
  <c r="AD144" i="2"/>
  <c r="X144" i="2"/>
  <c r="W144" i="2"/>
  <c r="T144" i="2"/>
  <c r="V144" i="2" s="1"/>
  <c r="AD143" i="2"/>
  <c r="X143" i="2"/>
  <c r="W143" i="2"/>
  <c r="T143" i="2"/>
  <c r="V143" i="2" s="1"/>
  <c r="AD142" i="2"/>
  <c r="X142" i="2"/>
  <c r="W142" i="2"/>
  <c r="T142" i="2"/>
  <c r="V142" i="2" s="1"/>
  <c r="AD141" i="2"/>
  <c r="X141" i="2"/>
  <c r="W141" i="2"/>
  <c r="T141" i="2"/>
  <c r="V141" i="2" s="1"/>
  <c r="AD140" i="2"/>
  <c r="X140" i="2"/>
  <c r="W140" i="2"/>
  <c r="T140" i="2"/>
  <c r="V140" i="2" s="1"/>
  <c r="AD139" i="2"/>
  <c r="X139" i="2"/>
  <c r="W139" i="2"/>
  <c r="T139" i="2"/>
  <c r="V139" i="2" s="1"/>
  <c r="AD138" i="2"/>
  <c r="X138" i="2"/>
  <c r="W138" i="2"/>
  <c r="T138" i="2"/>
  <c r="V138" i="2" s="1"/>
  <c r="AD137" i="2"/>
  <c r="X137" i="2"/>
  <c r="W137" i="2"/>
  <c r="T137" i="2"/>
  <c r="V137" i="2" s="1"/>
  <c r="AD136" i="2"/>
  <c r="X136" i="2"/>
  <c r="W136" i="2"/>
  <c r="T136" i="2"/>
  <c r="V136" i="2" s="1"/>
  <c r="AD135" i="2"/>
  <c r="X135" i="2"/>
  <c r="W135" i="2"/>
  <c r="T135" i="2"/>
  <c r="V135" i="2" s="1"/>
  <c r="AD134" i="2"/>
  <c r="X134" i="2"/>
  <c r="W134" i="2"/>
  <c r="T134" i="2"/>
  <c r="V134" i="2" s="1"/>
  <c r="AD133" i="2"/>
  <c r="X133" i="2"/>
  <c r="W133" i="2"/>
  <c r="T133" i="2"/>
  <c r="V133" i="2" s="1"/>
  <c r="AD132" i="2"/>
  <c r="X132" i="2"/>
  <c r="W132" i="2"/>
  <c r="T132" i="2"/>
  <c r="V132" i="2" s="1"/>
  <c r="AD131" i="2"/>
  <c r="X131" i="2"/>
  <c r="W131" i="2"/>
  <c r="T131" i="2"/>
  <c r="V131" i="2" s="1"/>
  <c r="AD130" i="2"/>
  <c r="X130" i="2"/>
  <c r="W130" i="2"/>
  <c r="T130" i="2"/>
  <c r="V130" i="2" s="1"/>
  <c r="AD129" i="2"/>
  <c r="X129" i="2"/>
  <c r="W129" i="2"/>
  <c r="T129" i="2"/>
  <c r="V129" i="2" s="1"/>
  <c r="AD128" i="2"/>
  <c r="X128" i="2"/>
  <c r="W128" i="2"/>
  <c r="T128" i="2"/>
  <c r="V128" i="2" s="1"/>
  <c r="AD127" i="2"/>
  <c r="X127" i="2"/>
  <c r="W127" i="2"/>
  <c r="T127" i="2"/>
  <c r="V127" i="2" s="1"/>
  <c r="AD126" i="2"/>
  <c r="X126" i="2"/>
  <c r="W126" i="2"/>
  <c r="T126" i="2"/>
  <c r="V126" i="2" s="1"/>
  <c r="AD125" i="2"/>
  <c r="X125" i="2"/>
  <c r="W125" i="2"/>
  <c r="T125" i="2"/>
  <c r="V125" i="2" s="1"/>
  <c r="AD124" i="2"/>
  <c r="X124" i="2"/>
  <c r="W124" i="2"/>
  <c r="T124" i="2"/>
  <c r="V124" i="2" s="1"/>
  <c r="AD123" i="2"/>
  <c r="X123" i="2"/>
  <c r="W123" i="2"/>
  <c r="T123" i="2"/>
  <c r="V123" i="2" s="1"/>
  <c r="AD122" i="2"/>
  <c r="X122" i="2"/>
  <c r="W122" i="2"/>
  <c r="T122" i="2"/>
  <c r="V122" i="2" s="1"/>
  <c r="AD121" i="2"/>
  <c r="X121" i="2"/>
  <c r="W121" i="2"/>
  <c r="T121" i="2"/>
  <c r="V121" i="2" s="1"/>
  <c r="AD120" i="2"/>
  <c r="X120" i="2"/>
  <c r="W120" i="2"/>
  <c r="T120" i="2"/>
  <c r="V120" i="2" s="1"/>
  <c r="AD119" i="2"/>
  <c r="X119" i="2"/>
  <c r="W119" i="2"/>
  <c r="T119" i="2"/>
  <c r="V119" i="2" s="1"/>
  <c r="AD118" i="2"/>
  <c r="X118" i="2"/>
  <c r="W118" i="2"/>
  <c r="T118" i="2"/>
  <c r="V118" i="2" s="1"/>
  <c r="AD117" i="2"/>
  <c r="X117" i="2"/>
  <c r="W117" i="2"/>
  <c r="T117" i="2"/>
  <c r="V117" i="2" s="1"/>
  <c r="AD116" i="2"/>
  <c r="X116" i="2"/>
  <c r="W116" i="2"/>
  <c r="T116" i="2"/>
  <c r="V116" i="2" s="1"/>
  <c r="AD115" i="2"/>
  <c r="X115" i="2"/>
  <c r="W115" i="2"/>
  <c r="T115" i="2"/>
  <c r="V115" i="2" s="1"/>
  <c r="AD114" i="2"/>
  <c r="X114" i="2"/>
  <c r="W114" i="2"/>
  <c r="T114" i="2"/>
  <c r="V114" i="2" s="1"/>
  <c r="AD113" i="2"/>
  <c r="X113" i="2"/>
  <c r="W113" i="2"/>
  <c r="T113" i="2"/>
  <c r="V113" i="2" s="1"/>
  <c r="AD112" i="2"/>
  <c r="X112" i="2"/>
  <c r="W112" i="2"/>
  <c r="T112" i="2"/>
  <c r="V112" i="2" s="1"/>
  <c r="AD111" i="2"/>
  <c r="X111" i="2"/>
  <c r="W111" i="2"/>
  <c r="T111" i="2"/>
  <c r="V111" i="2" s="1"/>
  <c r="AD110" i="2"/>
  <c r="X110" i="2"/>
  <c r="W110" i="2"/>
  <c r="T110" i="2"/>
  <c r="V110" i="2" s="1"/>
  <c r="AD109" i="2"/>
  <c r="X109" i="2"/>
  <c r="W109" i="2"/>
  <c r="T109" i="2"/>
  <c r="V109" i="2" s="1"/>
  <c r="AD108" i="2"/>
  <c r="X108" i="2"/>
  <c r="W108" i="2"/>
  <c r="T108" i="2"/>
  <c r="V108" i="2" s="1"/>
  <c r="AD107" i="2"/>
  <c r="X107" i="2"/>
  <c r="W107" i="2"/>
  <c r="T107" i="2"/>
  <c r="V107" i="2" s="1"/>
  <c r="AD106" i="2"/>
  <c r="X106" i="2"/>
  <c r="W106" i="2"/>
  <c r="T106" i="2"/>
  <c r="V106" i="2" s="1"/>
  <c r="AD105" i="2"/>
  <c r="X105" i="2"/>
  <c r="W105" i="2"/>
  <c r="T105" i="2"/>
  <c r="V105" i="2" s="1"/>
  <c r="AD104" i="2"/>
  <c r="X104" i="2"/>
  <c r="W104" i="2"/>
  <c r="T104" i="2"/>
  <c r="V104" i="2" s="1"/>
  <c r="AD103" i="2"/>
  <c r="X103" i="2"/>
  <c r="W103" i="2"/>
  <c r="T103" i="2"/>
  <c r="V103" i="2" s="1"/>
  <c r="AD102" i="2"/>
  <c r="X102" i="2"/>
  <c r="W102" i="2"/>
  <c r="T102" i="2"/>
  <c r="V102" i="2" s="1"/>
  <c r="AD101" i="2"/>
  <c r="X101" i="2"/>
  <c r="W101" i="2"/>
  <c r="T101" i="2"/>
  <c r="V101" i="2" s="1"/>
  <c r="AD100" i="2"/>
  <c r="X100" i="2"/>
  <c r="W100" i="2"/>
  <c r="T100" i="2"/>
  <c r="V100" i="2" s="1"/>
  <c r="AD99" i="2"/>
  <c r="X99" i="2"/>
  <c r="W99" i="2"/>
  <c r="T99" i="2"/>
  <c r="V99" i="2" s="1"/>
  <c r="AD98" i="2"/>
  <c r="X98" i="2"/>
  <c r="W98" i="2"/>
  <c r="T98" i="2"/>
  <c r="V98" i="2" s="1"/>
  <c r="AD97" i="2"/>
  <c r="X97" i="2"/>
  <c r="W97" i="2"/>
  <c r="T97" i="2"/>
  <c r="V97" i="2" s="1"/>
  <c r="AD96" i="2"/>
  <c r="X96" i="2"/>
  <c r="W96" i="2"/>
  <c r="T96" i="2"/>
  <c r="V96" i="2" s="1"/>
  <c r="AD95" i="2"/>
  <c r="X95" i="2"/>
  <c r="W95" i="2"/>
  <c r="T95" i="2"/>
  <c r="V95" i="2" s="1"/>
  <c r="AD94" i="2"/>
  <c r="X94" i="2"/>
  <c r="W94" i="2"/>
  <c r="T94" i="2"/>
  <c r="V94" i="2" s="1"/>
  <c r="AD93" i="2"/>
  <c r="X93" i="2"/>
  <c r="W93" i="2"/>
  <c r="T93" i="2"/>
  <c r="V93" i="2" s="1"/>
  <c r="AD92" i="2"/>
  <c r="X92" i="2"/>
  <c r="W92" i="2"/>
  <c r="T92" i="2"/>
  <c r="V92" i="2" s="1"/>
  <c r="AD91" i="2"/>
  <c r="X91" i="2"/>
  <c r="W91" i="2"/>
  <c r="T91" i="2"/>
  <c r="V91" i="2" s="1"/>
  <c r="AD90" i="2"/>
  <c r="X90" i="2"/>
  <c r="W90" i="2"/>
  <c r="T90" i="2"/>
  <c r="V90" i="2" s="1"/>
  <c r="AD89" i="2"/>
  <c r="X89" i="2"/>
  <c r="W89" i="2"/>
  <c r="T89" i="2"/>
  <c r="V89" i="2" s="1"/>
  <c r="AD88" i="2"/>
  <c r="X88" i="2"/>
  <c r="W88" i="2"/>
  <c r="T88" i="2"/>
  <c r="V88" i="2" s="1"/>
  <c r="AD87" i="2"/>
  <c r="X87" i="2"/>
  <c r="W87" i="2"/>
  <c r="T87" i="2"/>
  <c r="V87" i="2" s="1"/>
  <c r="AD86" i="2"/>
  <c r="X86" i="2"/>
  <c r="W86" i="2"/>
  <c r="T86" i="2"/>
  <c r="V86" i="2" s="1"/>
  <c r="AD85" i="2"/>
  <c r="X85" i="2"/>
  <c r="W85" i="2"/>
  <c r="T85" i="2"/>
  <c r="V85" i="2" s="1"/>
  <c r="AD84" i="2"/>
  <c r="X84" i="2"/>
  <c r="W84" i="2"/>
  <c r="T84" i="2"/>
  <c r="V84" i="2" s="1"/>
  <c r="AD83" i="2"/>
  <c r="X83" i="2"/>
  <c r="W83" i="2"/>
  <c r="T83" i="2"/>
  <c r="V83" i="2" s="1"/>
  <c r="AD82" i="2"/>
  <c r="X82" i="2"/>
  <c r="W82" i="2"/>
  <c r="T82" i="2"/>
  <c r="V82" i="2" s="1"/>
  <c r="AD81" i="2"/>
  <c r="X81" i="2"/>
  <c r="W81" i="2"/>
  <c r="T81" i="2"/>
  <c r="V81" i="2" s="1"/>
  <c r="AD80" i="2"/>
  <c r="X80" i="2"/>
  <c r="W80" i="2"/>
  <c r="T80" i="2"/>
  <c r="V80" i="2" s="1"/>
  <c r="AD79" i="2"/>
  <c r="X79" i="2"/>
  <c r="W79" i="2"/>
  <c r="T79" i="2"/>
  <c r="V79" i="2" s="1"/>
  <c r="AD78" i="2"/>
  <c r="X78" i="2"/>
  <c r="W78" i="2"/>
  <c r="T78" i="2"/>
  <c r="V78" i="2" s="1"/>
  <c r="AD77" i="2"/>
  <c r="X77" i="2"/>
  <c r="W77" i="2"/>
  <c r="T77" i="2"/>
  <c r="V77" i="2" s="1"/>
  <c r="AD76" i="2"/>
  <c r="X76" i="2"/>
  <c r="W76" i="2"/>
  <c r="T76" i="2"/>
  <c r="V76" i="2" s="1"/>
  <c r="AD75" i="2"/>
  <c r="X75" i="2"/>
  <c r="W75" i="2"/>
  <c r="T75" i="2"/>
  <c r="V75" i="2" s="1"/>
  <c r="AD74" i="2"/>
  <c r="X74" i="2"/>
  <c r="W74" i="2"/>
  <c r="T74" i="2"/>
  <c r="V74" i="2" s="1"/>
  <c r="AD73" i="2"/>
  <c r="X73" i="2"/>
  <c r="W73" i="2"/>
  <c r="T73" i="2"/>
  <c r="V73" i="2" s="1"/>
  <c r="AD72" i="2"/>
  <c r="X72" i="2"/>
  <c r="W72" i="2"/>
  <c r="T72" i="2"/>
  <c r="V72" i="2" s="1"/>
  <c r="AD71" i="2"/>
  <c r="X71" i="2"/>
  <c r="W71" i="2"/>
  <c r="T71" i="2"/>
  <c r="V71" i="2" s="1"/>
  <c r="AD70" i="2"/>
  <c r="X70" i="2"/>
  <c r="W70" i="2"/>
  <c r="T70" i="2"/>
  <c r="V70" i="2" s="1"/>
  <c r="AD69" i="2"/>
  <c r="X69" i="2"/>
  <c r="W69" i="2"/>
  <c r="T69" i="2"/>
  <c r="V69" i="2" s="1"/>
  <c r="AD68" i="2"/>
  <c r="X68" i="2"/>
  <c r="W68" i="2"/>
  <c r="T68" i="2"/>
  <c r="V68" i="2" s="1"/>
  <c r="AD67" i="2"/>
  <c r="X67" i="2"/>
  <c r="W67" i="2"/>
  <c r="T67" i="2"/>
  <c r="V67" i="2" s="1"/>
  <c r="AD66" i="2"/>
  <c r="X66" i="2"/>
  <c r="W66" i="2"/>
  <c r="T66" i="2"/>
  <c r="V66" i="2" s="1"/>
  <c r="AD65" i="2"/>
  <c r="X65" i="2"/>
  <c r="W65" i="2"/>
  <c r="T65" i="2"/>
  <c r="V65" i="2" s="1"/>
  <c r="AD64" i="2"/>
  <c r="X64" i="2"/>
  <c r="W64" i="2"/>
  <c r="T64" i="2"/>
  <c r="V64" i="2" s="1"/>
  <c r="AD63" i="2"/>
  <c r="X63" i="2"/>
  <c r="W63" i="2"/>
  <c r="T63" i="2"/>
  <c r="V63" i="2" s="1"/>
  <c r="AD62" i="2"/>
  <c r="X62" i="2"/>
  <c r="W62" i="2"/>
  <c r="T62" i="2"/>
  <c r="V62" i="2" s="1"/>
  <c r="AD61" i="2"/>
  <c r="X61" i="2"/>
  <c r="W61" i="2"/>
  <c r="T61" i="2"/>
  <c r="V61" i="2" s="1"/>
  <c r="AD60" i="2"/>
  <c r="X60" i="2"/>
  <c r="W60" i="2"/>
  <c r="T60" i="2"/>
  <c r="V60" i="2" s="1"/>
  <c r="AD59" i="2"/>
  <c r="X59" i="2"/>
  <c r="W59" i="2"/>
  <c r="T59" i="2"/>
  <c r="V59" i="2" s="1"/>
  <c r="AD58" i="2"/>
  <c r="X58" i="2"/>
  <c r="W58" i="2"/>
  <c r="T58" i="2"/>
  <c r="V58" i="2" s="1"/>
  <c r="AD57" i="2"/>
  <c r="X57" i="2"/>
  <c r="W57" i="2"/>
  <c r="T57" i="2"/>
  <c r="V57" i="2" s="1"/>
  <c r="AD56" i="2"/>
  <c r="X56" i="2"/>
  <c r="W56" i="2"/>
  <c r="T56" i="2"/>
  <c r="V56" i="2" s="1"/>
  <c r="AD55" i="2"/>
  <c r="X55" i="2"/>
  <c r="W55" i="2"/>
  <c r="T55" i="2"/>
  <c r="V55" i="2" s="1"/>
  <c r="AD54" i="2"/>
  <c r="X54" i="2"/>
  <c r="W54" i="2"/>
  <c r="T54" i="2"/>
  <c r="V54" i="2" s="1"/>
  <c r="AD53" i="2"/>
  <c r="X53" i="2"/>
  <c r="W53" i="2"/>
  <c r="T53" i="2"/>
  <c r="V53" i="2" s="1"/>
  <c r="AD52" i="2"/>
  <c r="X52" i="2"/>
  <c r="W52" i="2"/>
  <c r="T52" i="2"/>
  <c r="V52" i="2" s="1"/>
  <c r="AD51" i="2"/>
  <c r="X51" i="2"/>
  <c r="W51" i="2"/>
  <c r="T51" i="2"/>
  <c r="V51" i="2" s="1"/>
  <c r="AD50" i="2"/>
  <c r="X50" i="2"/>
  <c r="W50" i="2"/>
  <c r="T50" i="2"/>
  <c r="V50" i="2" s="1"/>
  <c r="AD49" i="2"/>
  <c r="X49" i="2"/>
  <c r="W49" i="2"/>
  <c r="T49" i="2"/>
  <c r="V49" i="2" s="1"/>
  <c r="AD48" i="2"/>
  <c r="X48" i="2"/>
  <c r="W48" i="2"/>
  <c r="T48" i="2"/>
  <c r="V48" i="2" s="1"/>
  <c r="AD47" i="2"/>
  <c r="X47" i="2"/>
  <c r="W47" i="2"/>
  <c r="T47" i="2"/>
  <c r="V47" i="2" s="1"/>
  <c r="AD46" i="2"/>
  <c r="X46" i="2"/>
  <c r="W46" i="2"/>
  <c r="T46" i="2"/>
  <c r="V46" i="2" s="1"/>
  <c r="AD45" i="2"/>
  <c r="X45" i="2"/>
  <c r="W45" i="2"/>
  <c r="T45" i="2"/>
  <c r="V45" i="2" s="1"/>
  <c r="AD44" i="2"/>
  <c r="X44" i="2"/>
  <c r="W44" i="2"/>
  <c r="T44" i="2"/>
  <c r="V44" i="2" s="1"/>
  <c r="AD43" i="2"/>
  <c r="X43" i="2"/>
  <c r="W43" i="2"/>
  <c r="T43" i="2"/>
  <c r="V43" i="2" s="1"/>
  <c r="AD42" i="2"/>
  <c r="X42" i="2"/>
  <c r="W42" i="2"/>
  <c r="T42" i="2"/>
  <c r="V42" i="2" s="1"/>
  <c r="AD41" i="2"/>
  <c r="X41" i="2"/>
  <c r="W41" i="2"/>
  <c r="T41" i="2"/>
  <c r="V41" i="2" s="1"/>
  <c r="AD40" i="2"/>
  <c r="X40" i="2"/>
  <c r="W40" i="2"/>
  <c r="T40" i="2"/>
  <c r="V40" i="2" s="1"/>
  <c r="AD39" i="2"/>
  <c r="X39" i="2"/>
  <c r="W39" i="2"/>
  <c r="T39" i="2"/>
  <c r="V39" i="2" s="1"/>
  <c r="AD38" i="2"/>
  <c r="X38" i="2"/>
  <c r="W38" i="2"/>
  <c r="T38" i="2"/>
  <c r="V38" i="2" s="1"/>
  <c r="AD37" i="2"/>
  <c r="X37" i="2"/>
  <c r="W37" i="2"/>
  <c r="T37" i="2"/>
  <c r="V37" i="2" s="1"/>
  <c r="AD36" i="2"/>
  <c r="X36" i="2"/>
  <c r="W36" i="2"/>
  <c r="T36" i="2"/>
  <c r="V36" i="2" s="1"/>
  <c r="AD35" i="2"/>
  <c r="X35" i="2"/>
  <c r="W35" i="2"/>
  <c r="T35" i="2"/>
  <c r="V35" i="2" s="1"/>
  <c r="AD34" i="2"/>
  <c r="X34" i="2"/>
  <c r="W34" i="2"/>
  <c r="T34" i="2"/>
  <c r="V34" i="2" s="1"/>
  <c r="AD33" i="2"/>
  <c r="X33" i="2"/>
  <c r="W33" i="2"/>
  <c r="T33" i="2"/>
  <c r="V33" i="2" s="1"/>
  <c r="AD32" i="2"/>
  <c r="X32" i="2"/>
  <c r="W32" i="2"/>
  <c r="T32" i="2"/>
  <c r="V32" i="2" s="1"/>
  <c r="AD31" i="2"/>
  <c r="X31" i="2"/>
  <c r="W31" i="2"/>
  <c r="T31" i="2"/>
  <c r="V31" i="2" s="1"/>
  <c r="AD30" i="2"/>
  <c r="X30" i="2"/>
  <c r="W30" i="2"/>
  <c r="T30" i="2"/>
  <c r="V30" i="2" s="1"/>
  <c r="AD29" i="2"/>
  <c r="X29" i="2"/>
  <c r="W29" i="2"/>
  <c r="T29" i="2"/>
  <c r="V29" i="2" s="1"/>
  <c r="AD28" i="2"/>
  <c r="X28" i="2"/>
  <c r="W28" i="2"/>
  <c r="T28" i="2"/>
  <c r="V28" i="2" s="1"/>
  <c r="AD27" i="2"/>
  <c r="X27" i="2"/>
  <c r="W27" i="2"/>
  <c r="T27" i="2"/>
  <c r="V27" i="2" s="1"/>
  <c r="AD26" i="2"/>
  <c r="X26" i="2"/>
  <c r="W26" i="2"/>
  <c r="T26" i="2"/>
  <c r="V26" i="2" s="1"/>
  <c r="AD25" i="2"/>
  <c r="X25" i="2"/>
  <c r="W25" i="2"/>
  <c r="T25" i="2"/>
  <c r="V25" i="2" s="1"/>
  <c r="AD24" i="2"/>
  <c r="X24" i="2"/>
  <c r="W24" i="2"/>
  <c r="T24" i="2"/>
  <c r="V24" i="2" s="1"/>
  <c r="AD23" i="2"/>
  <c r="X23" i="2"/>
  <c r="W23" i="2"/>
  <c r="T23" i="2"/>
  <c r="V23" i="2" s="1"/>
  <c r="AD22" i="2"/>
  <c r="X22" i="2"/>
  <c r="W22" i="2"/>
  <c r="T22" i="2"/>
  <c r="V22" i="2" s="1"/>
  <c r="AD21" i="2"/>
  <c r="X21" i="2"/>
  <c r="W21" i="2"/>
  <c r="T21" i="2"/>
  <c r="V21" i="2" s="1"/>
  <c r="AD20" i="2"/>
  <c r="X20" i="2"/>
  <c r="W20" i="2"/>
  <c r="T20" i="2"/>
  <c r="V20" i="2" s="1"/>
  <c r="AD19" i="2"/>
  <c r="X19" i="2"/>
  <c r="W19" i="2"/>
  <c r="T19" i="2"/>
  <c r="V19" i="2" s="1"/>
  <c r="AD18" i="2"/>
  <c r="X18" i="2"/>
  <c r="W18" i="2"/>
  <c r="T18" i="2"/>
  <c r="V18" i="2" s="1"/>
  <c r="AD17" i="2"/>
  <c r="X17" i="2"/>
  <c r="W17" i="2"/>
  <c r="T17" i="2"/>
  <c r="V17" i="2" s="1"/>
  <c r="AD16" i="2"/>
  <c r="X16" i="2"/>
  <c r="W16" i="2"/>
  <c r="T16" i="2"/>
  <c r="V16" i="2" s="1"/>
  <c r="AD15" i="2"/>
  <c r="X15" i="2"/>
  <c r="W15" i="2"/>
  <c r="T15" i="2"/>
  <c r="V15" i="2" s="1"/>
  <c r="AD14" i="2"/>
  <c r="X14" i="2"/>
  <c r="W14" i="2"/>
  <c r="T14" i="2"/>
  <c r="V14" i="2" s="1"/>
  <c r="AD13" i="2"/>
  <c r="X13" i="2"/>
  <c r="W13" i="2"/>
  <c r="T13" i="2"/>
  <c r="V13" i="2" s="1"/>
  <c r="AD12" i="2"/>
  <c r="X12" i="2"/>
  <c r="W12" i="2"/>
  <c r="T12" i="2"/>
  <c r="V12" i="2" s="1"/>
  <c r="AD11" i="2"/>
  <c r="X11" i="2"/>
  <c r="W11" i="2"/>
  <c r="T11" i="2"/>
  <c r="V11" i="2" s="1"/>
  <c r="AD10" i="2"/>
  <c r="X10" i="2"/>
  <c r="W10" i="2"/>
  <c r="T10" i="2"/>
  <c r="V10" i="2" s="1"/>
  <c r="AD9" i="2"/>
  <c r="X9" i="2"/>
  <c r="W9" i="2"/>
  <c r="T9" i="2"/>
  <c r="V9" i="2" s="1"/>
  <c r="AD8" i="2"/>
  <c r="X8" i="2"/>
  <c r="W8" i="2"/>
  <c r="T8" i="2"/>
  <c r="V8" i="2" s="1"/>
  <c r="AD7" i="2"/>
  <c r="X7" i="2"/>
  <c r="W7" i="2"/>
  <c r="T7" i="2"/>
  <c r="V7" i="2" s="1"/>
  <c r="AD6" i="2"/>
  <c r="X6" i="2"/>
  <c r="W6" i="2"/>
  <c r="T6" i="2"/>
  <c r="V6" i="2" s="1"/>
  <c r="AD5" i="2"/>
  <c r="X5" i="2"/>
  <c r="W5" i="2"/>
  <c r="T5" i="2"/>
  <c r="V5" i="2" s="1"/>
  <c r="AD4" i="2"/>
  <c r="X4" i="2"/>
  <c r="W4" i="2"/>
  <c r="T4" i="2"/>
  <c r="V4" i="2" s="1"/>
  <c r="AD3" i="2"/>
  <c r="X3" i="2"/>
  <c r="W3" i="2"/>
  <c r="T3" i="2"/>
  <c r="V3" i="2" s="1"/>
  <c r="AD2" i="2"/>
  <c r="X2" i="2"/>
  <c r="W2" i="2"/>
  <c r="T2" i="2"/>
  <c r="V2" i="2" s="1"/>
  <c r="I27" i="1"/>
  <c r="F27" i="1"/>
  <c r="C27" i="1"/>
  <c r="D27" i="1" s="1"/>
  <c r="B27" i="1"/>
  <c r="I26" i="1"/>
  <c r="F26" i="1"/>
  <c r="C26" i="1"/>
  <c r="B26" i="1"/>
  <c r="I25" i="1"/>
  <c r="F25" i="1"/>
  <c r="C25" i="1"/>
  <c r="B25" i="1"/>
  <c r="I24" i="1"/>
  <c r="F24" i="1"/>
  <c r="C24" i="1"/>
  <c r="D24" i="1" s="1"/>
  <c r="B24" i="1"/>
  <c r="I19" i="1"/>
  <c r="F19" i="1"/>
  <c r="C19" i="1"/>
  <c r="D19" i="1" s="1"/>
  <c r="B19" i="1"/>
  <c r="I18" i="1"/>
  <c r="F18" i="1"/>
  <c r="C18" i="1"/>
  <c r="B18" i="1"/>
  <c r="I17" i="1"/>
  <c r="F17" i="1"/>
  <c r="C17" i="1"/>
  <c r="D17" i="1" s="1"/>
  <c r="B17" i="1"/>
  <c r="I16" i="1"/>
  <c r="F16" i="1"/>
  <c r="C16" i="1"/>
  <c r="B16" i="1"/>
  <c r="I15" i="1"/>
  <c r="F15" i="1"/>
  <c r="C15" i="1"/>
  <c r="B15" i="1"/>
  <c r="I14" i="1"/>
  <c r="F14" i="1"/>
  <c r="C14" i="1"/>
  <c r="B14" i="1"/>
  <c r="I10" i="1"/>
  <c r="F10" i="1"/>
  <c r="C10" i="1"/>
  <c r="B10" i="1"/>
  <c r="I9" i="1"/>
  <c r="F9" i="1"/>
  <c r="C9" i="1"/>
  <c r="D9" i="1" s="1"/>
  <c r="B9" i="1"/>
  <c r="I8" i="1"/>
  <c r="F8" i="1"/>
  <c r="C8" i="1"/>
  <c r="D8" i="1" s="1"/>
  <c r="B8" i="1"/>
  <c r="D18" i="1" l="1"/>
  <c r="D10" i="1"/>
  <c r="D14" i="1"/>
  <c r="D26" i="1"/>
  <c r="D25" i="1"/>
  <c r="D16" i="1"/>
  <c r="D15" i="1"/>
  <c r="H27" i="1"/>
  <c r="G27" i="1"/>
  <c r="E27" i="1"/>
  <c r="E26" i="1"/>
  <c r="G26" i="1"/>
  <c r="H26" i="1"/>
  <c r="G25" i="1"/>
  <c r="H25" i="1"/>
  <c r="E25" i="1"/>
  <c r="G24" i="1"/>
  <c r="H24" i="1"/>
  <c r="E24" i="1"/>
  <c r="H19" i="1"/>
  <c r="E19" i="1"/>
  <c r="G19" i="1"/>
  <c r="G18" i="1"/>
  <c r="H18" i="1"/>
  <c r="E18" i="1"/>
  <c r="H17" i="1"/>
  <c r="E17" i="1"/>
  <c r="G17" i="1"/>
  <c r="E16" i="1"/>
  <c r="H16" i="1"/>
  <c r="G16" i="1"/>
  <c r="H15" i="1"/>
  <c r="G15" i="1"/>
  <c r="E15" i="1"/>
  <c r="E14" i="1"/>
  <c r="H14" i="1"/>
  <c r="G14" i="1"/>
  <c r="G10" i="1"/>
  <c r="H10" i="1"/>
  <c r="E10" i="1"/>
  <c r="E9" i="1"/>
  <c r="G9" i="1"/>
  <c r="H9" i="1"/>
  <c r="E8" i="1"/>
  <c r="G8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Input: the premium floor. v10 today uses Rs 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X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Selling at the day's high is not a rule: nobody knows the high in advance. Shown only to compare the best case with the 15:20 exit. Gross: before charges and slippage.</t>
        </r>
      </text>
    </comment>
    <comment ref="A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Set 0 to leave a trade out of every Summary formula (e.g. the KALYANKJIL 2025-08-08 outlier).</t>
        </r>
      </text>
    </comment>
  </commentList>
</comments>
</file>

<file path=xl/sharedStrings.xml><?xml version="1.0" encoding="utf-8"?>
<sst xmlns="http://schemas.openxmlformats.org/spreadsheetml/2006/main" count="4218" uniqueCount="489">
  <si>
    <t>S1 v10 fade · premium-floor backtest, 2025-01-01 to 2026-09-25</t>
  </si>
  <si>
    <t>Entry at day 0's option open + 1 tick, sold at day 0's close - 1 tick (E1, v10's same-day exit). Net after charges and slippage. A trade counts at floor f when its fill &gt;= f. Every number below is a formula on the Trades sheet: change the yellow cell or the Include column and it recalculates.</t>
  </si>
  <si>
    <t>Floor to test (Rs)</t>
  </si>
  <si>
    <t>At the floor in B4</t>
  </si>
  <si>
    <t>Trades</t>
  </si>
  <si>
    <t>N</t>
  </si>
  <si>
    <t>Wins</t>
  </si>
  <si>
    <t>Hit rate</t>
  </si>
  <si>
    <t>Mean net %</t>
  </si>
  <si>
    <t>Total net Rs</t>
  </si>
  <si>
    <t>Avg lot Rs</t>
  </si>
  <si>
    <t>Mean day-high % (hindsight)</t>
  </si>
  <si>
    <t>E2 total net Rs</t>
  </si>
  <si>
    <t>All trades taken (fill &gt;= floor)</t>
  </si>
  <si>
    <t xml:space="preserve">  of which v10 already takes (fill &gt;= Rs 2)</t>
  </si>
  <si>
    <t xml:space="preserve">  of which the lower floor adds (floor &lt;= fill &lt; Rs 2)</t>
  </si>
  <si>
    <t>Every floor side by side (the added trades: floor &lt;= fill &lt; Rs 2)</t>
  </si>
  <si>
    <t>Floor Rs 1.5: added trades</t>
  </si>
  <si>
    <t>Floor Rs 1: added trades</t>
  </si>
  <si>
    <t>Floor Rs 0.5: added trades</t>
  </si>
  <si>
    <t>Floor Rs 0.25: added trades</t>
  </si>
  <si>
    <t>Floor Rs 0.05: added trades</t>
  </si>
  <si>
    <t>v10 (Rs 2): all trades</t>
  </si>
  <si>
    <t>By fill size</t>
  </si>
  <si>
    <t>Fill under Rs 1</t>
  </si>
  <si>
    <t>Fill Rs 1 to 2</t>
  </si>
  <si>
    <t>Fill Rs 2 to 5</t>
  </si>
  <si>
    <t>Fill Rs 5 and up</t>
  </si>
  <si>
    <t>How to read it</t>
  </si>
  <si>
    <t>- "Mean net %" is the average of each trade's return; one big winner can lift it a lot (KALYANKJIL 2025-08-08 made +3,267 %). "Total net Rs" and "Hit rate" show whether most trades made money.</t>
  </si>
  <si>
    <t>- To see a result without one trade, set its Include cell (Trades sheet, last column) to 0.</t>
  </si>
  <si>
    <t>- "Day-high %" is hindsight: the best price of the day, which no rule can be sure to sell at. It is not the backtest.</t>
  </si>
  <si>
    <t>- E2 = the carried-trade rule (stop -20 %, trail 25 %, or T-1), for reference.</t>
  </si>
  <si>
    <t>- Limits: no order book in daily data. The fill is the open + 1 tick and the exit the close - 1 tick, and for a Rs 1 option one tick is 5 %. Not out of sample (S1 v8 used 2025-26). Pre-registered: strategies/S1_v10_backtest_2025_26.md, addendum 2026-10-19.</t>
  </si>
  <si>
    <t>Symbol</t>
  </si>
  <si>
    <t>Day 0</t>
  </si>
  <si>
    <t>Filed</t>
  </si>
  <si>
    <t>Side</t>
  </si>
  <si>
    <t>NP YoY %</t>
  </si>
  <si>
    <t>NP QoQ %</t>
  </si>
  <si>
    <t>Rev YoY %</t>
  </si>
  <si>
    <t>Stock prev close</t>
  </si>
  <si>
    <t>Expiry</t>
  </si>
  <si>
    <t>Strike</t>
  </si>
  <si>
    <t>Strikes walked</t>
  </si>
  <si>
    <t>Lot</t>
  </si>
  <si>
    <t>Contracts day 0</t>
  </si>
  <si>
    <t>Opt open</t>
  </si>
  <si>
    <t>Opt high</t>
  </si>
  <si>
    <t>Opt low</t>
  </si>
  <si>
    <t>Opt close</t>
  </si>
  <si>
    <t>Entry (open+1 tick)</t>
  </si>
  <si>
    <t>E1 exit (close-1 tick)</t>
  </si>
  <si>
    <t>Lot cost Rs</t>
  </si>
  <si>
    <t>E1 net Rs (after costs)</t>
  </si>
  <si>
    <t>E1 net %</t>
  </si>
  <si>
    <t>E1 gross % (no costs)</t>
  </si>
  <si>
    <t>Day-high gross % (hindsight)</t>
  </si>
  <si>
    <t>E2 exit date</t>
  </si>
  <si>
    <t>E2 reason</t>
  </si>
  <si>
    <t>E2 net Rs</t>
  </si>
  <si>
    <t>Stock day-0 move vs headline %</t>
  </si>
  <si>
    <t>In v10 Rs 2 run</t>
  </si>
  <si>
    <t>Fill bucket</t>
  </si>
  <si>
    <t>Include (1/0)</t>
  </si>
  <si>
    <t>TCS</t>
  </si>
  <si>
    <t>2025-01-10</t>
  </si>
  <si>
    <t>2025-01-09</t>
  </si>
  <si>
    <t>PE</t>
  </si>
  <si>
    <t>2025-01-30</t>
  </si>
  <si>
    <t>stop</t>
  </si>
  <si>
    <t>yes</t>
  </si>
  <si>
    <t>HDFCAMC</t>
  </si>
  <si>
    <t>2025-01-15</t>
  </si>
  <si>
    <t>2025-01-14</t>
  </si>
  <si>
    <t>OFSS</t>
  </si>
  <si>
    <t>2025-01-16</t>
  </si>
  <si>
    <t>CE</t>
  </si>
  <si>
    <t>2025-01-17</t>
  </si>
  <si>
    <t>INFY</t>
  </si>
  <si>
    <t>2025-01-22</t>
  </si>
  <si>
    <t>RELIANCE</t>
  </si>
  <si>
    <t>INDHOTEL</t>
  </si>
  <si>
    <t>2025-01-20</t>
  </si>
  <si>
    <t>trail</t>
  </si>
  <si>
    <t>WIPRO</t>
  </si>
  <si>
    <t>APLAPOLLO</t>
  </si>
  <si>
    <t>2025-01-21</t>
  </si>
  <si>
    <t>2025-01-23</t>
  </si>
  <si>
    <t>OBEROIRLTY</t>
  </si>
  <si>
    <t>SUPREMEIND</t>
  </si>
  <si>
    <t>HINDUNILVR</t>
  </si>
  <si>
    <t>PERSISTENT</t>
  </si>
  <si>
    <t>POLYCAB</t>
  </si>
  <si>
    <t>HINDPETRO</t>
  </si>
  <si>
    <t>2025-01-24</t>
  </si>
  <si>
    <t>2025-01-28</t>
  </si>
  <si>
    <t>INDUSTOWER</t>
  </si>
  <si>
    <t>MPHASIS</t>
  </si>
  <si>
    <t>SONACOMS</t>
  </si>
  <si>
    <t>BANKINDIA</t>
  </si>
  <si>
    <t>2025-01-27</t>
  </si>
  <si>
    <t>no</t>
  </si>
  <si>
    <t>LAURUSLABS</t>
  </si>
  <si>
    <t>2025-01-29</t>
  </si>
  <si>
    <t>LODHA</t>
  </si>
  <si>
    <t>2025-01-25</t>
  </si>
  <si>
    <t>SHRIRAMFIN</t>
  </si>
  <si>
    <t>TORNTPHARM</t>
  </si>
  <si>
    <t>YESBANK</t>
  </si>
  <si>
    <t>CANBK</t>
  </si>
  <si>
    <t>t_minus_1</t>
  </si>
  <si>
    <t>TATASTEEL</t>
  </si>
  <si>
    <t>BOSCHLTD</t>
  </si>
  <si>
    <t>2025-02-27</t>
  </si>
  <si>
    <t>CIPLA</t>
  </si>
  <si>
    <t>JSWENERGY</t>
  </si>
  <si>
    <t>2025-02-01</t>
  </si>
  <si>
    <t>SBICARD</t>
  </si>
  <si>
    <t>2025-02-05</t>
  </si>
  <si>
    <t>TVSMOTOR</t>
  </si>
  <si>
    <t>AMBUJACEM</t>
  </si>
  <si>
    <t>2025-01-31</t>
  </si>
  <si>
    <t>BAJFINANCE</t>
  </si>
  <si>
    <t>CAMS</t>
  </si>
  <si>
    <t>2025-02-04</t>
  </si>
  <si>
    <t>INDIANB</t>
  </si>
  <si>
    <t>MARUTI</t>
  </si>
  <si>
    <t>ADANIENT</t>
  </si>
  <si>
    <t>ADANIPORTS</t>
  </si>
  <si>
    <t>BEL</t>
  </si>
  <si>
    <t>GAIL</t>
  </si>
  <si>
    <t>KALYANKJIL</t>
  </si>
  <si>
    <t>MAXHEALTH</t>
  </si>
  <si>
    <t>POLICYBZR</t>
  </si>
  <si>
    <t>PRESTIGE</t>
  </si>
  <si>
    <t>BANDHANBNK</t>
  </si>
  <si>
    <t>2025-02-03</t>
  </si>
  <si>
    <t>CHOLAFIN</t>
  </si>
  <si>
    <t>LICHSGFIN</t>
  </si>
  <si>
    <t>PNB</t>
  </si>
  <si>
    <t>DIVISLAB</t>
  </si>
  <si>
    <t>TIINDIA</t>
  </si>
  <si>
    <t>MFSL</t>
  </si>
  <si>
    <t>TATAPOWER</t>
  </si>
  <si>
    <t>2025-02-06</t>
  </si>
  <si>
    <t>CUMMINSIND</t>
  </si>
  <si>
    <t>2025-02-20</t>
  </si>
  <si>
    <t>NAUKRI</t>
  </si>
  <si>
    <t>2025-02-13</t>
  </si>
  <si>
    <t>PAGEIND</t>
  </si>
  <si>
    <t>2025-02-19</t>
  </si>
  <si>
    <t>SOLARINDS</t>
  </si>
  <si>
    <t>2025-02-10</t>
  </si>
  <si>
    <t>ZYDUSLIFE</t>
  </si>
  <si>
    <t>BHARTIARTL</t>
  </si>
  <si>
    <t>2025-02-07</t>
  </si>
  <si>
    <t>NMDC</t>
  </si>
  <si>
    <t>PIIND</t>
  </si>
  <si>
    <t>RECLTD</t>
  </si>
  <si>
    <t>TRENT</t>
  </si>
  <si>
    <t>DELHIVERY</t>
  </si>
  <si>
    <t>M&amp;M</t>
  </si>
  <si>
    <t>2025-02-25</t>
  </si>
  <si>
    <t>NHPC</t>
  </si>
  <si>
    <t>OIL</t>
  </si>
  <si>
    <t>EICHERMOT</t>
  </si>
  <si>
    <t>2025-02-11</t>
  </si>
  <si>
    <t>NATIONALUM</t>
  </si>
  <si>
    <t>2025-02-12</t>
  </si>
  <si>
    <t>NYKAA</t>
  </si>
  <si>
    <t>NBCC</t>
  </si>
  <si>
    <t>SAIL</t>
  </si>
  <si>
    <t>2025-02-14</t>
  </si>
  <si>
    <t>ASHOKLEY</t>
  </si>
  <si>
    <t>2025-02-17</t>
  </si>
  <si>
    <t>BHARATFORG</t>
  </si>
  <si>
    <t>JUBLFOOD</t>
  </si>
  <si>
    <t>2025-02-21</t>
  </si>
  <si>
    <t>MUTHOOTFIN</t>
  </si>
  <si>
    <t>PFC</t>
  </si>
  <si>
    <t>MANAPPURAM</t>
  </si>
  <si>
    <t>MOTHERSON</t>
  </si>
  <si>
    <t>KPITTECH</t>
  </si>
  <si>
    <t>2025-04-29</t>
  </si>
  <si>
    <t>2025-04-28</t>
  </si>
  <si>
    <t>2025-05-29</t>
  </si>
  <si>
    <t>2025-04-30</t>
  </si>
  <si>
    <t>2025-05-02</t>
  </si>
  <si>
    <t>FEDERALBNK</t>
  </si>
  <si>
    <t>2025-05-05</t>
  </si>
  <si>
    <t>VBL</t>
  </si>
  <si>
    <t>CDSL</t>
  </si>
  <si>
    <t>2025-05-03</t>
  </si>
  <si>
    <t>2025-05-06</t>
  </si>
  <si>
    <t>COFORGE</t>
  </si>
  <si>
    <t>2025-05-07</t>
  </si>
  <si>
    <t>2025-05-19</t>
  </si>
  <si>
    <t>2025-05-17</t>
  </si>
  <si>
    <t>2025-05-20</t>
  </si>
  <si>
    <t>2025-05-21</t>
  </si>
  <si>
    <t>DLF</t>
  </si>
  <si>
    <t>DIXON</t>
  </si>
  <si>
    <t>2025-05-26</t>
  </si>
  <si>
    <t>HINDALCO</t>
  </si>
  <si>
    <t>2025-05-22</t>
  </si>
  <si>
    <t>UNITDSPR</t>
  </si>
  <si>
    <t>INDIGO</t>
  </si>
  <si>
    <t>INDUSINDBK</t>
  </si>
  <si>
    <t>2025-05-28</t>
  </si>
  <si>
    <t>2025-05-23</t>
  </si>
  <si>
    <t>ONGC</t>
  </si>
  <si>
    <t>ITC</t>
  </si>
  <si>
    <t>SUNPHARMA</t>
  </si>
  <si>
    <t>NTPC</t>
  </si>
  <si>
    <t>2025-05-24</t>
  </si>
  <si>
    <t>2025-05-27</t>
  </si>
  <si>
    <t>2025-06-26</t>
  </si>
  <si>
    <t>2025-06-02</t>
  </si>
  <si>
    <t>BAJAJ-AUTO</t>
  </si>
  <si>
    <t>2025-05-30</t>
  </si>
  <si>
    <t>APOLLOHOSP</t>
  </si>
  <si>
    <t>2025-06-04</t>
  </si>
  <si>
    <t>INOXWIND</t>
  </si>
  <si>
    <t>TATAELXSI</t>
  </si>
  <si>
    <t>2025-07-11</t>
  </si>
  <si>
    <t>2025-07-10</t>
  </si>
  <si>
    <t>2025-07-31</t>
  </si>
  <si>
    <t>2025-07-17</t>
  </si>
  <si>
    <t>2025-07-18</t>
  </si>
  <si>
    <t>AUBANK</t>
  </si>
  <si>
    <t>2025-07-21</t>
  </si>
  <si>
    <t>2025-07-19</t>
  </si>
  <si>
    <t>2025-07-23</t>
  </si>
  <si>
    <t>ICICIBANK</t>
  </si>
  <si>
    <t>2025-07-29</t>
  </si>
  <si>
    <t>HAVELLS</t>
  </si>
  <si>
    <t>2025-07-22</t>
  </si>
  <si>
    <t>COLPAL</t>
  </si>
  <si>
    <t>IRFC</t>
  </si>
  <si>
    <t>2025-07-24</t>
  </si>
  <si>
    <t>2025-07-28</t>
  </si>
  <si>
    <t>2025-07-25</t>
  </si>
  <si>
    <t>IEX</t>
  </si>
  <si>
    <t>BAJAJFINSV</t>
  </si>
  <si>
    <t>2025-07-30</t>
  </si>
  <si>
    <t>BANKBARODA</t>
  </si>
  <si>
    <t>KOTAKBANK</t>
  </si>
  <si>
    <t>2025-07-26</t>
  </si>
  <si>
    <t>PETRONET</t>
  </si>
  <si>
    <t>2025-08-28</t>
  </si>
  <si>
    <t>2025-08-01</t>
  </si>
  <si>
    <t>2025-08-04</t>
  </si>
  <si>
    <t>VEDL</t>
  </si>
  <si>
    <t>2025-08-08</t>
  </si>
  <si>
    <t>2025-08-02</t>
  </si>
  <si>
    <t>AUROPHARMA</t>
  </si>
  <si>
    <t>2025-08-05</t>
  </si>
  <si>
    <t>SHREECEM</t>
  </si>
  <si>
    <t>2025-08-06</t>
  </si>
  <si>
    <t>LUPIN</t>
  </si>
  <si>
    <t>2025-08-07</t>
  </si>
  <si>
    <t>BLUESTARCO</t>
  </si>
  <si>
    <t>FORTIS</t>
  </si>
  <si>
    <t>PIDILITIND</t>
  </si>
  <si>
    <t>BIOCON</t>
  </si>
  <si>
    <t>2025-08-11</t>
  </si>
  <si>
    <t>BSE</t>
  </si>
  <si>
    <t>TITAN</t>
  </si>
  <si>
    <t>PGEL</t>
  </si>
  <si>
    <t>SIEMENS</t>
  </si>
  <si>
    <t>2025-08-18</t>
  </si>
  <si>
    <t>VOLTAS</t>
  </si>
  <si>
    <t>ASTRAL</t>
  </si>
  <si>
    <t>2025-08-12</t>
  </si>
  <si>
    <t>ALKEM</t>
  </si>
  <si>
    <t>2025-08-13</t>
  </si>
  <si>
    <t>2025-08-14</t>
  </si>
  <si>
    <t>RVNL</t>
  </si>
  <si>
    <t>BPCL</t>
  </si>
  <si>
    <t>2025-08-19</t>
  </si>
  <si>
    <t>PATANJALI</t>
  </si>
  <si>
    <t>2025-10-15</t>
  </si>
  <si>
    <t>2025-10-14</t>
  </si>
  <si>
    <t>2025-10-28</t>
  </si>
  <si>
    <t>AXISBANK</t>
  </si>
  <si>
    <t>2025-10-16</t>
  </si>
  <si>
    <t>2025-10-20</t>
  </si>
  <si>
    <t>KEI</t>
  </si>
  <si>
    <t>2025-10-17</t>
  </si>
  <si>
    <t>360ONE</t>
  </si>
  <si>
    <t>2025-10-27</t>
  </si>
  <si>
    <t>HINDZINC</t>
  </si>
  <si>
    <t>2025-10-23</t>
  </si>
  <si>
    <t>2025-10-18</t>
  </si>
  <si>
    <t>RBLBANK</t>
  </si>
  <si>
    <t>2025-10-24</t>
  </si>
  <si>
    <t>2025-11-25</t>
  </si>
  <si>
    <t>2025-11-03</t>
  </si>
  <si>
    <t>2025-10-25</t>
  </si>
  <si>
    <t>MAZDOCK</t>
  </si>
  <si>
    <t>2025-11-07</t>
  </si>
  <si>
    <t>PNBHOUSING</t>
  </si>
  <si>
    <t>2025-10-29</t>
  </si>
  <si>
    <t>JINDALSTEL</t>
  </si>
  <si>
    <t>2025-11-06</t>
  </si>
  <si>
    <t>2025-11-10</t>
  </si>
  <si>
    <t>2025-10-30</t>
  </si>
  <si>
    <t>CGPOWER</t>
  </si>
  <si>
    <t>COALINDIA</t>
  </si>
  <si>
    <t>2025-11-04</t>
  </si>
  <si>
    <t>LT</t>
  </si>
  <si>
    <t>2025-10-31</t>
  </si>
  <si>
    <t>PHOENIXLTD</t>
  </si>
  <si>
    <t>2025-11-12</t>
  </si>
  <si>
    <t>POWERINDIA</t>
  </si>
  <si>
    <t>TATACONSUM</t>
  </si>
  <si>
    <t>2025-11-05</t>
  </si>
  <si>
    <t>BRITANNIA</t>
  </si>
  <si>
    <t>KAYNES</t>
  </si>
  <si>
    <t>PAYTM</t>
  </si>
  <si>
    <t>AMBER</t>
  </si>
  <si>
    <t>2025-11-19</t>
  </si>
  <si>
    <t>2025-11-11</t>
  </si>
  <si>
    <t>UNOMINDA</t>
  </si>
  <si>
    <t>2025-11-14</t>
  </si>
  <si>
    <t>2025-11-24</t>
  </si>
  <si>
    <t>HAL</t>
  </si>
  <si>
    <t>2025-11-13</t>
  </si>
  <si>
    <t>2025-11-17</t>
  </si>
  <si>
    <t>BDL</t>
  </si>
  <si>
    <t>2025-11-21</t>
  </si>
  <si>
    <t>GLENMARK</t>
  </si>
  <si>
    <t>DMART</t>
  </si>
  <si>
    <t>2026-01-12</t>
  </si>
  <si>
    <t>2026-01-10</t>
  </si>
  <si>
    <t>2026-01-27</t>
  </si>
  <si>
    <t>HCLTECH</t>
  </si>
  <si>
    <t>2026-01-13</t>
  </si>
  <si>
    <t>2026-01-14</t>
  </si>
  <si>
    <t>2026-01-16</t>
  </si>
  <si>
    <t>2026-01-22</t>
  </si>
  <si>
    <t>2026-01-19</t>
  </si>
  <si>
    <t>HDFCBANK</t>
  </si>
  <si>
    <t>2026-01-17</t>
  </si>
  <si>
    <t>2026-01-20</t>
  </si>
  <si>
    <t>LTF</t>
  </si>
  <si>
    <t>2026-01-21</t>
  </si>
  <si>
    <t>BHEL</t>
  </si>
  <si>
    <t>SRF</t>
  </si>
  <si>
    <t>DRREDDY</t>
  </si>
  <si>
    <t>2026-01-23</t>
  </si>
  <si>
    <t>WAAREEENER</t>
  </si>
  <si>
    <t>2026-02-24</t>
  </si>
  <si>
    <t>PREMIERENE</t>
  </si>
  <si>
    <t>2026-01-29</t>
  </si>
  <si>
    <t>2026-02-02</t>
  </si>
  <si>
    <t>JSWSTEEL</t>
  </si>
  <si>
    <t>ULTRACEMCO</t>
  </si>
  <si>
    <t>2026-01-24</t>
  </si>
  <si>
    <t>2026-01-28</t>
  </si>
  <si>
    <t>2026-02-03</t>
  </si>
  <si>
    <t>2026-01-30</t>
  </si>
  <si>
    <t>2026-02-01</t>
  </si>
  <si>
    <t>2026-01-31</t>
  </si>
  <si>
    <t>IDFCFIRSTB</t>
  </si>
  <si>
    <t>NESTLEIND</t>
  </si>
  <si>
    <t>2026-02-06</t>
  </si>
  <si>
    <t>2026-02-04</t>
  </si>
  <si>
    <t>2026-02-05</t>
  </si>
  <si>
    <t>UPL</t>
  </si>
  <si>
    <t>ABCAPITAL</t>
  </si>
  <si>
    <t>2026-02-09</t>
  </si>
  <si>
    <t>BAJAJHLDNG</t>
  </si>
  <si>
    <t>2026-02-11</t>
  </si>
  <si>
    <t>2026-02-10</t>
  </si>
  <si>
    <t>IOC</t>
  </si>
  <si>
    <t>TMPV</t>
  </si>
  <si>
    <t>SBIN</t>
  </si>
  <si>
    <t>2026-02-07</t>
  </si>
  <si>
    <t>2026-02-13</t>
  </si>
  <si>
    <t>GRASIM</t>
  </si>
  <si>
    <t>2026-02-16</t>
  </si>
  <si>
    <t>2026-02-12</t>
  </si>
  <si>
    <t>2026-02-18</t>
  </si>
  <si>
    <t>2026-02-17</t>
  </si>
  <si>
    <t>2026-02-23</t>
  </si>
  <si>
    <t>2026-04-10</t>
  </si>
  <si>
    <t>2026-04-09</t>
  </si>
  <si>
    <t>2026-04-28</t>
  </si>
  <si>
    <t>2026-04-15</t>
  </si>
  <si>
    <t>2026-04-20</t>
  </si>
  <si>
    <t>2026-04-18</t>
  </si>
  <si>
    <t>2026-04-21</t>
  </si>
  <si>
    <t>2026-04-22</t>
  </si>
  <si>
    <t>2026-04-27</t>
  </si>
  <si>
    <t>2026-04-23</t>
  </si>
  <si>
    <t>TECHM</t>
  </si>
  <si>
    <t>2026-04-24</t>
  </si>
  <si>
    <t>LTM</t>
  </si>
  <si>
    <t>2026-05-26</t>
  </si>
  <si>
    <t>2026-05-04</t>
  </si>
  <si>
    <t>2026-04-25</t>
  </si>
  <si>
    <t>2026-04-29</t>
  </si>
  <si>
    <t>2026-04-30</t>
  </si>
  <si>
    <t>FORCEMOT</t>
  </si>
  <si>
    <t>2026-05-02</t>
  </si>
  <si>
    <t>2026-05-06</t>
  </si>
  <si>
    <t>2026-05-05</t>
  </si>
  <si>
    <t>GODREJPROP</t>
  </si>
  <si>
    <t>2026-05-07</t>
  </si>
  <si>
    <t>2026-05-14</t>
  </si>
  <si>
    <t>2026-05-13</t>
  </si>
  <si>
    <t>2026-05-08</t>
  </si>
  <si>
    <t>2026-05-11</t>
  </si>
  <si>
    <t>2026-05-12</t>
  </si>
  <si>
    <t>2026-05-15</t>
  </si>
  <si>
    <t>2026-05-20</t>
  </si>
  <si>
    <t>2026-05-19</t>
  </si>
  <si>
    <t>GODFRYPHLP</t>
  </si>
  <si>
    <t>2026-05-18</t>
  </si>
  <si>
    <t>2026-05-22</t>
  </si>
  <si>
    <t>2026-05-21</t>
  </si>
  <si>
    <t>MANKIND</t>
  </si>
  <si>
    <t>2026-05-25</t>
  </si>
  <si>
    <t>2026-05-23</t>
  </si>
  <si>
    <t>2026-06-30</t>
  </si>
  <si>
    <t>2026-05-27</t>
  </si>
  <si>
    <t>2026-06-03</t>
  </si>
  <si>
    <t>2026-05-29</t>
  </si>
  <si>
    <t>2026-05-28</t>
  </si>
  <si>
    <t>2026-06-09</t>
  </si>
  <si>
    <t>2026-06-04</t>
  </si>
  <si>
    <t>ASIANPAINT</t>
  </si>
  <si>
    <t>2026-06-01</t>
  </si>
  <si>
    <t>2026-06-05</t>
  </si>
  <si>
    <t>2026-07-13</t>
  </si>
  <si>
    <t>2026-07-11</t>
  </si>
  <si>
    <t>2026-07-28</t>
  </si>
  <si>
    <t>2026-07-10</t>
  </si>
  <si>
    <t>2026-07-17</t>
  </si>
  <si>
    <t>2026-07-14</t>
  </si>
  <si>
    <t>2026-07-16</t>
  </si>
  <si>
    <t>2026-07-15</t>
  </si>
  <si>
    <t>2026-07-20</t>
  </si>
  <si>
    <t>2026-07-18</t>
  </si>
  <si>
    <t>2026-07-21</t>
  </si>
  <si>
    <t>2026-07-22</t>
  </si>
  <si>
    <t>2026-07-23</t>
  </si>
  <si>
    <t>ADANIENSOL</t>
  </si>
  <si>
    <t>2026-07-24</t>
  </si>
  <si>
    <t>ADANIPOWER</t>
  </si>
  <si>
    <t>NAM-INDIA</t>
  </si>
  <si>
    <t>2026-07-27</t>
  </si>
  <si>
    <t>VMM</t>
  </si>
  <si>
    <t>2026-08-25</t>
  </si>
  <si>
    <t>2026-07-29</t>
  </si>
  <si>
    <t>2026-07-25</t>
  </si>
  <si>
    <t>2026-08-03</t>
  </si>
  <si>
    <t>2026-08-06</t>
  </si>
  <si>
    <t>2026-07-31</t>
  </si>
  <si>
    <t>RADICO</t>
  </si>
  <si>
    <t>2026-07-30</t>
  </si>
  <si>
    <t>DABUR</t>
  </si>
  <si>
    <t>HYUNDAI</t>
  </si>
  <si>
    <t>2026-08-14</t>
  </si>
  <si>
    <t>2026-08-12</t>
  </si>
  <si>
    <t>2026-08-01</t>
  </si>
  <si>
    <t>2026-08-04</t>
  </si>
  <si>
    <t>2026-08-07</t>
  </si>
  <si>
    <t>2026-08-20</t>
  </si>
  <si>
    <t>2026-08-05</t>
  </si>
  <si>
    <t>2026-08-10</t>
  </si>
  <si>
    <t>GVT&amp;D</t>
  </si>
  <si>
    <t>HEROMOTOCO</t>
  </si>
  <si>
    <t>2026-08-13</t>
  </si>
  <si>
    <t>2026-08-08</t>
  </si>
  <si>
    <t>2026-08-11</t>
  </si>
  <si>
    <t>GODREJCP</t>
  </si>
  <si>
    <t>2026-08-17</t>
  </si>
  <si>
    <t>2026-08-18</t>
  </si>
  <si>
    <t>COCHINSHIP</t>
  </si>
  <si>
    <t>2026-08-19</t>
  </si>
  <si>
    <t>2026-08-24</t>
  </si>
  <si>
    <t>The trades a floor below Rs 2 adds, worst to best (values; the Trades sheet has the same rows).</t>
  </si>
  <si>
    <t>Entry</t>
  </si>
  <si>
    <t>E1 exit</t>
  </si>
  <si>
    <t>E1 net Rs</t>
  </si>
  <si>
    <t>Stock move vs headline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</si>
</sst>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;[Red]\-0.0%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0000FF"/>
      <name val="Arial"/>
    </font>
    <font>
      <b/>
      <sz val="14"/>
      <name val="Arial"/>
    </font>
    <font>
      <b/>
      <sz val="11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6" fillId="0" borderId="0" xfId="0" applyFont="1"/>
    <xf numFmtId="0" fontId="1" fillId="2" borderId="0" xfId="0" applyFont="1" applyFill="1" applyAlignment="1">
      <alignment wrapText="1"/>
    </xf>
    <xf numFmtId="0" fontId="2" fillId="0" borderId="1" xfId="0" applyFont="1" applyBorder="1"/>
    <xf numFmtId="166" fontId="2" fillId="0" borderId="1" xfId="0" applyNumberFormat="1" applyFont="1" applyBorder="1"/>
    <xf numFmtId="165" fontId="2" fillId="0" borderId="1" xfId="0" applyNumberFormat="1" applyFont="1" applyBorder="1"/>
    <xf numFmtId="38" fontId="2" fillId="0" borderId="1" xfId="0" applyNumberFormat="1" applyFont="1" applyBorder="1"/>
    <xf numFmtId="3" fontId="2" fillId="0" borderId="1" xfId="0" applyNumberFormat="1" applyFont="1" applyBorder="1"/>
    <xf numFmtId="0" fontId="1" fillId="2" borderId="0" xfId="0" applyFont="1" applyFill="1" applyAlignment="1">
      <alignment vertical="top" wrapText="1"/>
    </xf>
    <xf numFmtId="49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2" fontId="2" fillId="0" borderId="0" xfId="0" applyNumberFormat="1" applyFont="1"/>
    <xf numFmtId="38" fontId="2" fillId="0" borderId="0" xfId="0" applyNumberFormat="1" applyFont="1"/>
    <xf numFmtId="165" fontId="2" fillId="0" borderId="0" xfId="0" applyNumberFormat="1" applyFont="1"/>
    <xf numFmtId="1" fontId="3" fillId="0" borderId="0" xfId="0" applyNumberFormat="1" applyFont="1"/>
    <xf numFmtId="0" fontId="2" fillId="0" borderId="0" xfId="0" applyFont="1"/>
    <xf numFmtId="0" fontId="1" fillId="2" borderId="0" xfId="0" applyFont="1" applyFill="1"/>
    <xf numFmtId="0" fontId="5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/>
  </sheetViews>
  <sheetFormatPr defaultRowHeight="14.4" x14ac:dyDescent="0.3"/>
  <cols>
    <col min="1" max="1" width="44" customWidth="1"/>
    <col min="2" max="9" width="14" customWidth="1"/>
  </cols>
  <sheetData>
    <row r="1" spans="1:9" ht="17.399999999999999" x14ac:dyDescent="0.3">
      <c r="A1" s="1" t="s">
        <v>0</v>
      </c>
    </row>
    <row r="2" spans="1:9" ht="48" customHeight="1" x14ac:dyDescent="0.3">
      <c r="A2" s="25" t="s">
        <v>1</v>
      </c>
      <c r="B2" s="24"/>
      <c r="C2" s="24"/>
      <c r="D2" s="24"/>
      <c r="E2" s="24"/>
      <c r="F2" s="24"/>
      <c r="G2" s="24"/>
      <c r="H2" s="24"/>
      <c r="I2" s="24"/>
    </row>
    <row r="4" spans="1:9" x14ac:dyDescent="0.3">
      <c r="A4" s="2" t="s">
        <v>2</v>
      </c>
      <c r="B4" s="3">
        <v>1</v>
      </c>
    </row>
    <row r="6" spans="1:9" ht="15.6" x14ac:dyDescent="0.3">
      <c r="A6" s="4" t="s">
        <v>3</v>
      </c>
    </row>
    <row r="7" spans="1:9" ht="42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</row>
    <row r="8" spans="1:9" x14ac:dyDescent="0.3">
      <c r="A8" s="6" t="s">
        <v>13</v>
      </c>
      <c r="B8" s="6">
        <f>COUNTIFS(Trades!$AE$2:$AE$494,1,Trades!$R$2:$R$494,"&gt;="&amp;$B$4)</f>
        <v>484</v>
      </c>
      <c r="C8" s="6">
        <f>COUNTIFS(Trades!$AE$2:$AE$494,1,Trades!$U$2:$U$494,"&gt;0",Trades!$R$2:$R$494,"&gt;="&amp;$B$4)</f>
        <v>190</v>
      </c>
      <c r="D8" s="7">
        <f>IF(C8=0,"-",C8/B8)</f>
        <v>0.3925619834710744</v>
      </c>
      <c r="E8" s="8">
        <f>IF(B8=0,"-",SUMIFS(Trades!$V$2:$V$494,Trades!$AE$2:$AE$494,1,Trades!$R$2:$R$494,"&gt;="&amp;$B$4)/B8)</f>
        <v>0.10384662204689996</v>
      </c>
      <c r="F8" s="9">
        <f>SUMIFS(Trades!$U$2:$U$494,Trades!$AE$2:$AE$494,1,Trades!$R$2:$R$494,"&gt;="&amp;$B$4)</f>
        <v>128742.69000000006</v>
      </c>
      <c r="G8" s="10">
        <f>IF(B8=0,"-",SUMIFS(Trades!$T$2:$T$494,Trades!$AE$2:$AE$494,1,Trades!$R$2:$R$494,"&gt;="&amp;$B$4)/B8)</f>
        <v>6322.6038636363637</v>
      </c>
      <c r="H8" s="8">
        <f>IF(B8=0,"-",SUMIFS(Trades!$X$2:$X$494,Trades!$AE$2:$AE$494,1,Trades!$R$2:$R$494,"&gt;="&amp;$B$4)/B8)</f>
        <v>0.89285417622971064</v>
      </c>
      <c r="I8" s="9">
        <f>SUMIFS(Trades!$AA$2:$AA$494,Trades!$AE$2:$AE$494,1,Trades!$R$2:$R$494,"&gt;="&amp;$B$4)</f>
        <v>-298393.65000000008</v>
      </c>
    </row>
    <row r="9" spans="1:9" x14ac:dyDescent="0.3">
      <c r="A9" s="6" t="s">
        <v>14</v>
      </c>
      <c r="B9" s="6">
        <f>COUNTIFS(Trades!$AE$2:$AE$494,1,Trades!$R$2:$R$494,"&gt;=2")</f>
        <v>434</v>
      </c>
      <c r="C9" s="6">
        <f>COUNTIFS(Trades!$AE$2:$AE$494,1,Trades!$U$2:$U$494,"&gt;0",Trades!$R$2:$R$494,"&gt;=2")</f>
        <v>174</v>
      </c>
      <c r="D9" s="7">
        <f>IF(C9=0,"-",C9/B9)</f>
        <v>0.4009216589861751</v>
      </c>
      <c r="E9" s="8">
        <f>IF(B9=0,"-",SUMIFS(Trades!$V$2:$V$494,Trades!$AE$2:$AE$494,1,Trades!$R$2:$R$494,"&gt;=2")/B9)</f>
        <v>5.6350017467768999E-2</v>
      </c>
      <c r="F9" s="9">
        <f>SUMIFS(Trades!$U$2:$U$494,Trades!$AE$2:$AE$494,1,Trades!$R$2:$R$494,"&gt;=2")</f>
        <v>126163.61000000003</v>
      </c>
      <c r="G9" s="10">
        <f>IF(B9=0,"-",SUMIFS(Trades!$T$2:$T$494,Trades!$AE$2:$AE$494,1,Trades!$R$2:$R$494,"&gt;=2")/B9)</f>
        <v>6335.6630645161295</v>
      </c>
      <c r="H9" s="8">
        <f>IF(B9=0,"-",SUMIFS(Trades!$X$2:$X$494,Trades!$AE$2:$AE$494,1,Trades!$R$2:$R$494,"&gt;=2")/B9)</f>
        <v>0.83479764874027518</v>
      </c>
      <c r="I9" s="9">
        <f>SUMIFS(Trades!$AA$2:$AA$494,Trades!$AE$2:$AE$494,1,Trades!$R$2:$R$494,"&gt;=2")</f>
        <v>-286244.47000000003</v>
      </c>
    </row>
    <row r="10" spans="1:9" x14ac:dyDescent="0.3">
      <c r="A10" s="6" t="s">
        <v>15</v>
      </c>
      <c r="B10" s="6">
        <f>COUNTIFS(Trades!$AE$2:$AE$494,1,Trades!$R$2:$R$494,"&gt;="&amp;$B$4,Trades!$R$2:$R$494,"&lt;2")</f>
        <v>50</v>
      </c>
      <c r="C10" s="6">
        <f>COUNTIFS(Trades!$AE$2:$AE$494,1,Trades!$U$2:$U$494,"&gt;0",Trades!$R$2:$R$494,"&gt;="&amp;$B$4,Trades!$R$2:$R$494,"&lt;2")</f>
        <v>16</v>
      </c>
      <c r="D10" s="7">
        <f>IF(C10=0,"-",C10/B10)</f>
        <v>0.32</v>
      </c>
      <c r="E10" s="8">
        <f>IF(B10=0,"-",SUMIFS(Trades!$V$2:$V$494,Trades!$AE$2:$AE$494,1,Trades!$R$2:$R$494,"&gt;="&amp;$B$4,Trades!$R$2:$R$494,"&lt;2")/B10)</f>
        <v>0.51611714979375622</v>
      </c>
      <c r="F10" s="9">
        <f>SUMIFS(Trades!$U$2:$U$494,Trades!$AE$2:$AE$494,1,Trades!$R$2:$R$494,"&gt;="&amp;$B$4,Trades!$R$2:$R$494,"&lt;2")</f>
        <v>2579.0800000000136</v>
      </c>
      <c r="G10" s="10">
        <f>IF(B10=0,"-",SUMIFS(Trades!$T$2:$T$494,Trades!$AE$2:$AE$494,1,Trades!$R$2:$R$494,"&gt;="&amp;$B$4,Trades!$R$2:$R$494,"&lt;2")/B10)</f>
        <v>6209.25</v>
      </c>
      <c r="H10" s="8">
        <f>IF(B10=0,"-",SUMIFS(Trades!$X$2:$X$494,Trades!$AE$2:$AE$494,1,Trades!$R$2:$R$494,"&gt;="&amp;$B$4,Trades!$R$2:$R$494,"&lt;2")/B10)</f>
        <v>1.3967848348380039</v>
      </c>
      <c r="I10" s="9">
        <f>SUMIFS(Trades!$AA$2:$AA$494,Trades!$AE$2:$AE$494,1,Trades!$R$2:$R$494,"&gt;="&amp;$B$4,Trades!$R$2:$R$494,"&lt;2")</f>
        <v>-12149.179999999982</v>
      </c>
    </row>
    <row r="12" spans="1:9" ht="15.6" x14ac:dyDescent="0.3">
      <c r="A12" s="4" t="s">
        <v>16</v>
      </c>
    </row>
    <row r="13" spans="1:9" ht="42" x14ac:dyDescent="0.3">
      <c r="A13" s="5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G13" s="5" t="s">
        <v>10</v>
      </c>
      <c r="H13" s="5" t="s">
        <v>11</v>
      </c>
      <c r="I13" s="5" t="s">
        <v>12</v>
      </c>
    </row>
    <row r="14" spans="1:9" x14ac:dyDescent="0.3">
      <c r="A14" s="6" t="s">
        <v>17</v>
      </c>
      <c r="B14" s="6">
        <f>COUNTIFS(Trades!$AE$2:$AE$494,1,Trades!$R$2:$R$494,"&gt;=1.5",Trades!$R$2:$R$494,"&lt;2")</f>
        <v>24</v>
      </c>
      <c r="C14" s="6">
        <f>COUNTIFS(Trades!$AE$2:$AE$494,1,Trades!$U$2:$U$494,"&gt;0",Trades!$R$2:$R$494,"&gt;=1.5",Trades!$R$2:$R$494,"&lt;2")</f>
        <v>7</v>
      </c>
      <c r="D14" s="7">
        <f t="shared" ref="D14:D19" si="0">IF(C14=0,"-",C14/B14)</f>
        <v>0.29166666666666669</v>
      </c>
      <c r="E14" s="8">
        <f>IF(B14=0,"-",SUMIFS(Trades!$V$2:$V$494,Trades!$AE$2:$AE$494,1,Trades!$R$2:$R$494,"&gt;=1.5",Trades!$R$2:$R$494,"&lt;2")/B14)</f>
        <v>-0.12268305758831188</v>
      </c>
      <c r="F14" s="9">
        <f>SUMIFS(Trades!$U$2:$U$494,Trades!$AE$2:$AE$494,1,Trades!$R$2:$R$494,"&gt;=1.5",Trades!$R$2:$R$494,"&lt;2")</f>
        <v>-16649.769999999997</v>
      </c>
      <c r="G14" s="10">
        <f>IF(B14=0,"-",SUMIFS(Trades!$T$2:$T$494,Trades!$AE$2:$AE$494,1,Trades!$R$2:$R$494,"&gt;=1.5",Trades!$R$2:$R$494,"&lt;2")/B14)</f>
        <v>6135.375</v>
      </c>
      <c r="H14" s="8">
        <f>IF(B14=0,"-",SUMIFS(Trades!$X$2:$X$494,Trades!$AE$2:$AE$494,1,Trades!$R$2:$R$494,"&gt;=1.5",Trades!$R$2:$R$494,"&lt;2")/B14)</f>
        <v>0.63298355232078041</v>
      </c>
      <c r="I14" s="9">
        <f>SUMIFS(Trades!$AA$2:$AA$494,Trades!$AE$2:$AE$494,1,Trades!$R$2:$R$494,"&gt;=1.5",Trades!$R$2:$R$494,"&lt;2")</f>
        <v>-44212.119999999981</v>
      </c>
    </row>
    <row r="15" spans="1:9" x14ac:dyDescent="0.3">
      <c r="A15" s="6" t="s">
        <v>18</v>
      </c>
      <c r="B15" s="6">
        <f>COUNTIFS(Trades!$AE$2:$AE$494,1,Trades!$R$2:$R$494,"&gt;=1.0",Trades!$R$2:$R$494,"&lt;2")</f>
        <v>50</v>
      </c>
      <c r="C15" s="6">
        <f>COUNTIFS(Trades!$AE$2:$AE$494,1,Trades!$U$2:$U$494,"&gt;0",Trades!$R$2:$R$494,"&gt;=1.0",Trades!$R$2:$R$494,"&lt;2")</f>
        <v>16</v>
      </c>
      <c r="D15" s="7">
        <f t="shared" si="0"/>
        <v>0.32</v>
      </c>
      <c r="E15" s="8">
        <f>IF(B15=0,"-",SUMIFS(Trades!$V$2:$V$494,Trades!$AE$2:$AE$494,1,Trades!$R$2:$R$494,"&gt;=1.0",Trades!$R$2:$R$494,"&lt;2")/B15)</f>
        <v>0.51611714979375622</v>
      </c>
      <c r="F15" s="9">
        <f>SUMIFS(Trades!$U$2:$U$494,Trades!$AE$2:$AE$494,1,Trades!$R$2:$R$494,"&gt;=1.0",Trades!$R$2:$R$494,"&lt;2")</f>
        <v>2579.0800000000136</v>
      </c>
      <c r="G15" s="10">
        <f>IF(B15=0,"-",SUMIFS(Trades!$T$2:$T$494,Trades!$AE$2:$AE$494,1,Trades!$R$2:$R$494,"&gt;=1.0",Trades!$R$2:$R$494,"&lt;2")/B15)</f>
        <v>6209.25</v>
      </c>
      <c r="H15" s="8">
        <f>IF(B15=0,"-",SUMIFS(Trades!$X$2:$X$494,Trades!$AE$2:$AE$494,1,Trades!$R$2:$R$494,"&gt;=1.0",Trades!$R$2:$R$494,"&lt;2")/B15)</f>
        <v>1.3967848348380039</v>
      </c>
      <c r="I15" s="9">
        <f>SUMIFS(Trades!$AA$2:$AA$494,Trades!$AE$2:$AE$494,1,Trades!$R$2:$R$494,"&gt;=1.0",Trades!$R$2:$R$494,"&lt;2")</f>
        <v>-12149.179999999982</v>
      </c>
    </row>
    <row r="16" spans="1:9" x14ac:dyDescent="0.3">
      <c r="A16" s="6" t="s">
        <v>19</v>
      </c>
      <c r="B16" s="6">
        <f>COUNTIFS(Trades!$AE$2:$AE$494,1,Trades!$R$2:$R$494,"&gt;=0.5",Trades!$R$2:$R$494,"&lt;2")</f>
        <v>57</v>
      </c>
      <c r="C16" s="6">
        <f>COUNTIFS(Trades!$AE$2:$AE$494,1,Trades!$U$2:$U$494,"&gt;0",Trades!$R$2:$R$494,"&gt;=0.5",Trades!$R$2:$R$494,"&lt;2")</f>
        <v>19</v>
      </c>
      <c r="D16" s="7">
        <f t="shared" si="0"/>
        <v>0.33333333333333331</v>
      </c>
      <c r="E16" s="8">
        <f>IF(B16=0,"-",SUMIFS(Trades!$V$2:$V$494,Trades!$AE$2:$AE$494,1,Trades!$R$2:$R$494,"&gt;=0.5",Trades!$R$2:$R$494,"&lt;2")/B16)</f>
        <v>0.44064490736074635</v>
      </c>
      <c r="F16" s="9">
        <f>SUMIFS(Trades!$U$2:$U$494,Trades!$AE$2:$AE$494,1,Trades!$R$2:$R$494,"&gt;=0.5",Trades!$R$2:$R$494,"&lt;2")</f>
        <v>-3256.6099999999883</v>
      </c>
      <c r="G16" s="10">
        <f>IF(B16=0,"-",SUMIFS(Trades!$T$2:$T$494,Trades!$AE$2:$AE$494,1,Trades!$R$2:$R$494,"&gt;=0.5",Trades!$R$2:$R$494,"&lt;2")/B16)</f>
        <v>6234.6315789473683</v>
      </c>
      <c r="H16" s="8">
        <f>IF(B16=0,"-",SUMIFS(Trades!$X$2:$X$494,Trades!$AE$2:$AE$494,1,Trades!$R$2:$R$494,"&gt;=0.5",Trades!$R$2:$R$494,"&lt;2")/B16)</f>
        <v>1.2727643387822873</v>
      </c>
      <c r="I16" s="9">
        <f>SUMIFS(Trades!$AA$2:$AA$494,Trades!$AE$2:$AE$494,1,Trades!$R$2:$R$494,"&gt;=0.5",Trades!$R$2:$R$494,"&lt;2")</f>
        <v>-25667.35</v>
      </c>
    </row>
    <row r="17" spans="1:9" x14ac:dyDescent="0.3">
      <c r="A17" s="6" t="s">
        <v>20</v>
      </c>
      <c r="B17" s="6">
        <f>COUNTIFS(Trades!$AE$2:$AE$494,1,Trades!$R$2:$R$494,"&gt;=0.25",Trades!$R$2:$R$494,"&lt;2")</f>
        <v>57</v>
      </c>
      <c r="C17" s="6">
        <f>COUNTIFS(Trades!$AE$2:$AE$494,1,Trades!$U$2:$U$494,"&gt;0",Trades!$R$2:$R$494,"&gt;=0.25",Trades!$R$2:$R$494,"&lt;2")</f>
        <v>19</v>
      </c>
      <c r="D17" s="7">
        <f t="shared" si="0"/>
        <v>0.33333333333333331</v>
      </c>
      <c r="E17" s="8">
        <f>IF(B17=0,"-",SUMIFS(Trades!$V$2:$V$494,Trades!$AE$2:$AE$494,1,Trades!$R$2:$R$494,"&gt;=0.25",Trades!$R$2:$R$494,"&lt;2")/B17)</f>
        <v>0.44064490736074635</v>
      </c>
      <c r="F17" s="9">
        <f>SUMIFS(Trades!$U$2:$U$494,Trades!$AE$2:$AE$494,1,Trades!$R$2:$R$494,"&gt;=0.25",Trades!$R$2:$R$494,"&lt;2")</f>
        <v>-3256.6099999999883</v>
      </c>
      <c r="G17" s="10">
        <f>IF(B17=0,"-",SUMIFS(Trades!$T$2:$T$494,Trades!$AE$2:$AE$494,1,Trades!$R$2:$R$494,"&gt;=0.25",Trades!$R$2:$R$494,"&lt;2")/B17)</f>
        <v>6234.6315789473683</v>
      </c>
      <c r="H17" s="8">
        <f>IF(B17=0,"-",SUMIFS(Trades!$X$2:$X$494,Trades!$AE$2:$AE$494,1,Trades!$R$2:$R$494,"&gt;=0.25",Trades!$R$2:$R$494,"&lt;2")/B17)</f>
        <v>1.2727643387822873</v>
      </c>
      <c r="I17" s="9">
        <f>SUMIFS(Trades!$AA$2:$AA$494,Trades!$AE$2:$AE$494,1,Trades!$R$2:$R$494,"&gt;=0.25",Trades!$R$2:$R$494,"&lt;2")</f>
        <v>-25667.35</v>
      </c>
    </row>
    <row r="18" spans="1:9" x14ac:dyDescent="0.3">
      <c r="A18" s="6" t="s">
        <v>21</v>
      </c>
      <c r="B18" s="6">
        <f>COUNTIFS(Trades!$AE$2:$AE$494,1,Trades!$R$2:$R$494,"&gt;=0.05",Trades!$R$2:$R$494,"&lt;2")</f>
        <v>59</v>
      </c>
      <c r="C18" s="6">
        <f>COUNTIFS(Trades!$AE$2:$AE$494,1,Trades!$U$2:$U$494,"&gt;0",Trades!$R$2:$R$494,"&gt;=0.05",Trades!$R$2:$R$494,"&lt;2")</f>
        <v>19</v>
      </c>
      <c r="D18" s="7">
        <f t="shared" si="0"/>
        <v>0.32203389830508472</v>
      </c>
      <c r="E18" s="8">
        <f>IF(B18=0,"-",SUMIFS(Trades!$V$2:$V$494,Trades!$AE$2:$AE$494,1,Trades!$R$2:$R$494,"&gt;=0.05",Trades!$R$2:$R$494,"&lt;2")/B18)</f>
        <v>0.39747324878820206</v>
      </c>
      <c r="F18" s="9">
        <f>SUMIFS(Trades!$U$2:$U$494,Trades!$AE$2:$AE$494,1,Trades!$R$2:$R$494,"&gt;=0.05",Trades!$R$2:$R$494,"&lt;2")</f>
        <v>-10242.470000000001</v>
      </c>
      <c r="G18" s="10">
        <f>IF(B18=0,"-",SUMIFS(Trades!$T$2:$T$494,Trades!$AE$2:$AE$494,1,Trades!$R$2:$R$494,"&gt;=0.05",Trades!$R$2:$R$494,"&lt;2")/B18)</f>
        <v>6168.4576271186443</v>
      </c>
      <c r="H18" s="8">
        <f>IF(B18=0,"-",SUMIFS(Trades!$X$2:$X$494,Trades!$AE$2:$AE$494,1,Trades!$R$2:$R$494,"&gt;=0.05",Trades!$R$2:$R$494,"&lt;2")/B18)</f>
        <v>1.2318796719309102</v>
      </c>
      <c r="I18" s="9">
        <f>SUMIFS(Trades!$AA$2:$AA$494,Trades!$AE$2:$AE$494,1,Trades!$R$2:$R$494,"&gt;=0.05",Trades!$R$2:$R$494,"&lt;2")</f>
        <v>-32653.21</v>
      </c>
    </row>
    <row r="19" spans="1:9" x14ac:dyDescent="0.3">
      <c r="A19" s="6" t="s">
        <v>22</v>
      </c>
      <c r="B19" s="6">
        <f>COUNTIFS(Trades!$AE$2:$AE$494,1,Trades!$R$2:$R$494,"&gt;=2")</f>
        <v>434</v>
      </c>
      <c r="C19" s="6">
        <f>COUNTIFS(Trades!$AE$2:$AE$494,1,Trades!$U$2:$U$494,"&gt;0",Trades!$R$2:$R$494,"&gt;=2")</f>
        <v>174</v>
      </c>
      <c r="D19" s="7">
        <f t="shared" si="0"/>
        <v>0.4009216589861751</v>
      </c>
      <c r="E19" s="8">
        <f>IF(B19=0,"-",SUMIFS(Trades!$V$2:$V$494,Trades!$AE$2:$AE$494,1,Trades!$R$2:$R$494,"&gt;=2")/B19)</f>
        <v>5.6350017467768999E-2</v>
      </c>
      <c r="F19" s="9">
        <f>SUMIFS(Trades!$U$2:$U$494,Trades!$AE$2:$AE$494,1,Trades!$R$2:$R$494,"&gt;=2")</f>
        <v>126163.61000000003</v>
      </c>
      <c r="G19" s="10">
        <f>IF(B19=0,"-",SUMIFS(Trades!$T$2:$T$494,Trades!$AE$2:$AE$494,1,Trades!$R$2:$R$494,"&gt;=2")/B19)</f>
        <v>6335.6630645161295</v>
      </c>
      <c r="H19" s="8">
        <f>IF(B19=0,"-",SUMIFS(Trades!$X$2:$X$494,Trades!$AE$2:$AE$494,1,Trades!$R$2:$R$494,"&gt;=2")/B19)</f>
        <v>0.83479764874027518</v>
      </c>
      <c r="I19" s="9">
        <f>SUMIFS(Trades!$AA$2:$AA$494,Trades!$AE$2:$AE$494,1,Trades!$R$2:$R$494,"&gt;=2")</f>
        <v>-286244.47000000003</v>
      </c>
    </row>
    <row r="22" spans="1:9" ht="15.6" x14ac:dyDescent="0.3">
      <c r="A22" s="4" t="s">
        <v>23</v>
      </c>
    </row>
    <row r="23" spans="1:9" ht="42" x14ac:dyDescent="0.3">
      <c r="A23" s="5" t="s">
        <v>4</v>
      </c>
      <c r="B23" s="5" t="s">
        <v>5</v>
      </c>
      <c r="C23" s="5" t="s">
        <v>6</v>
      </c>
      <c r="D23" s="5" t="s">
        <v>7</v>
      </c>
      <c r="E23" s="5" t="s">
        <v>8</v>
      </c>
      <c r="F23" s="5" t="s">
        <v>9</v>
      </c>
      <c r="G23" s="5" t="s">
        <v>10</v>
      </c>
      <c r="H23" s="5" t="s">
        <v>11</v>
      </c>
      <c r="I23" s="5" t="s">
        <v>12</v>
      </c>
    </row>
    <row r="24" spans="1:9" x14ac:dyDescent="0.3">
      <c r="A24" s="6" t="s">
        <v>24</v>
      </c>
      <c r="B24" s="6">
        <f>COUNTIFS(Trades!$AE$2:$AE$494,1,Trades!$R$2:$R$494,"&lt;1")</f>
        <v>9</v>
      </c>
      <c r="C24" s="6">
        <f>COUNTIFS(Trades!$AE$2:$AE$494,1,Trades!$U$2:$U$494,"&gt;0",Trades!$R$2:$R$494,"&lt;1")</f>
        <v>3</v>
      </c>
      <c r="D24" s="7">
        <f>IF(C24=0,"-",C24/B24)</f>
        <v>0.33333333333333331</v>
      </c>
      <c r="E24" s="8">
        <f>IF(B24=0,"-",SUMIFS(Trades!$V$2:$V$494,Trades!$AE$2:$AE$494,1,Trades!$R$2:$R$494,"&lt;1")/B24)</f>
        <v>-0.26165953457598801</v>
      </c>
      <c r="F24" s="9">
        <f>SUMIFS(Trades!$U$2:$U$494,Trades!$AE$2:$AE$494,1,Trades!$R$2:$R$494,"&lt;1")</f>
        <v>-12821.550000000001</v>
      </c>
      <c r="G24" s="10">
        <f>IF(B24=0,"-",SUMIFS(Trades!$T$2:$T$494,Trades!$AE$2:$AE$494,1,Trades!$R$2:$R$494,"&lt;1")/B24)</f>
        <v>5941.833333333333</v>
      </c>
      <c r="H24" s="8">
        <f>IF(B24=0,"-",SUMIFS(Trades!$X$2:$X$494,Trades!$AE$2:$AE$494,1,Trades!$R$2:$R$494,"&lt;1")/B24)</f>
        <v>0.31573987800261183</v>
      </c>
      <c r="I24" s="9">
        <f>SUMIFS(Trades!$AA$2:$AA$494,Trades!$AE$2:$AE$494,1,Trades!$R$2:$R$494,"&lt;1")</f>
        <v>-20504.03</v>
      </c>
    </row>
    <row r="25" spans="1:9" x14ac:dyDescent="0.3">
      <c r="A25" s="6" t="s">
        <v>25</v>
      </c>
      <c r="B25" s="6">
        <f>COUNTIFS(Trades!$AE$2:$AE$494,1,Trades!$R$2:$R$494,"&gt;=1",Trades!$R$2:$R$494,"&lt;2")</f>
        <v>50</v>
      </c>
      <c r="C25" s="6">
        <f>COUNTIFS(Trades!$AE$2:$AE$494,1,Trades!$U$2:$U$494,"&gt;0",Trades!$R$2:$R$494,"&gt;=1",Trades!$R$2:$R$494,"&lt;2")</f>
        <v>16</v>
      </c>
      <c r="D25" s="7">
        <f>IF(C25=0,"-",C25/B25)</f>
        <v>0.32</v>
      </c>
      <c r="E25" s="8">
        <f>IF(B25=0,"-",SUMIFS(Trades!$V$2:$V$494,Trades!$AE$2:$AE$494,1,Trades!$R$2:$R$494,"&gt;=1",Trades!$R$2:$R$494,"&lt;2")/B25)</f>
        <v>0.51611714979375622</v>
      </c>
      <c r="F25" s="9">
        <f>SUMIFS(Trades!$U$2:$U$494,Trades!$AE$2:$AE$494,1,Trades!$R$2:$R$494,"&gt;=1",Trades!$R$2:$R$494,"&lt;2")</f>
        <v>2579.0800000000136</v>
      </c>
      <c r="G25" s="10">
        <f>IF(B25=0,"-",SUMIFS(Trades!$T$2:$T$494,Trades!$AE$2:$AE$494,1,Trades!$R$2:$R$494,"&gt;=1",Trades!$R$2:$R$494,"&lt;2")/B25)</f>
        <v>6209.25</v>
      </c>
      <c r="H25" s="8">
        <f>IF(B25=0,"-",SUMIFS(Trades!$X$2:$X$494,Trades!$AE$2:$AE$494,1,Trades!$R$2:$R$494,"&gt;=1",Trades!$R$2:$R$494,"&lt;2")/B25)</f>
        <v>1.3967848348380039</v>
      </c>
      <c r="I25" s="9">
        <f>SUMIFS(Trades!$AA$2:$AA$494,Trades!$AE$2:$AE$494,1,Trades!$R$2:$R$494,"&gt;=1",Trades!$R$2:$R$494,"&lt;2")</f>
        <v>-12149.179999999982</v>
      </c>
    </row>
    <row r="26" spans="1:9" x14ac:dyDescent="0.3">
      <c r="A26" s="6" t="s">
        <v>26</v>
      </c>
      <c r="B26" s="6">
        <f>COUNTIFS(Trades!$AE$2:$AE$494,1,Trades!$R$2:$R$494,"&gt;=2",Trades!$R$2:$R$494,"&lt;5")</f>
        <v>67</v>
      </c>
      <c r="C26" s="6">
        <f>COUNTIFS(Trades!$AE$2:$AE$494,1,Trades!$U$2:$U$494,"&gt;0",Trades!$R$2:$R$494,"&gt;=2",Trades!$R$2:$R$494,"&lt;5")</f>
        <v>23</v>
      </c>
      <c r="D26" s="7">
        <f>IF(C26=0,"-",C26/B26)</f>
        <v>0.34328358208955223</v>
      </c>
      <c r="E26" s="8">
        <f>IF(B26=0,"-",SUMIFS(Trades!$V$2:$V$494,Trades!$AE$2:$AE$494,1,Trades!$R$2:$R$494,"&gt;=2",Trades!$R$2:$R$494,"&lt;5")/B26)</f>
        <v>3.7587163495998832E-2</v>
      </c>
      <c r="F26" s="9">
        <f>SUMIFS(Trades!$U$2:$U$494,Trades!$AE$2:$AE$494,1,Trades!$R$2:$R$494,"&gt;=2",Trades!$R$2:$R$494,"&lt;5")</f>
        <v>-323.4599999999964</v>
      </c>
      <c r="G26" s="10">
        <f>IF(B26=0,"-",SUMIFS(Trades!$T$2:$T$494,Trades!$AE$2:$AE$494,1,Trades!$R$2:$R$494,"&gt;=2",Trades!$R$2:$R$494,"&lt;5")/B26)</f>
        <v>6211.5794029850749</v>
      </c>
      <c r="H26" s="8">
        <f>IF(B26=0,"-",SUMIFS(Trades!$X$2:$X$494,Trades!$AE$2:$AE$494,1,Trades!$R$2:$R$494,"&gt;=2",Trades!$R$2:$R$494,"&lt;5")/B26)</f>
        <v>1.0702933275419872</v>
      </c>
      <c r="I26" s="9">
        <f>SUMIFS(Trades!$AA$2:$AA$494,Trades!$AE$2:$AE$494,1,Trades!$R$2:$R$494,"&gt;=2",Trades!$R$2:$R$494,"&lt;5")</f>
        <v>-65374.679999999986</v>
      </c>
    </row>
    <row r="27" spans="1:9" x14ac:dyDescent="0.3">
      <c r="A27" s="6" t="s">
        <v>27</v>
      </c>
      <c r="B27" s="6">
        <f>COUNTIFS(Trades!$AE$2:$AE$494,1,Trades!$R$2:$R$494,"&gt;=5")</f>
        <v>367</v>
      </c>
      <c r="C27" s="6">
        <f>COUNTIFS(Trades!$AE$2:$AE$494,1,Trades!$U$2:$U$494,"&gt;0",Trades!$R$2:$R$494,"&gt;=5")</f>
        <v>151</v>
      </c>
      <c r="D27" s="7">
        <f>IF(C27=0,"-",C27/B27)</f>
        <v>0.41144414168937332</v>
      </c>
      <c r="E27" s="8">
        <f>IF(B27=0,"-",SUMIFS(Trades!$V$2:$V$494,Trades!$AE$2:$AE$494,1,Trades!$R$2:$R$494,"&gt;=5")/B27)</f>
        <v>5.9775388628827905E-2</v>
      </c>
      <c r="F27" s="9">
        <f>SUMIFS(Trades!$U$2:$U$494,Trades!$AE$2:$AE$494,1,Trades!$R$2:$R$494,"&gt;=5")</f>
        <v>126487.07000000004</v>
      </c>
      <c r="G27" s="10">
        <f>IF(B27=0,"-",SUMIFS(Trades!$T$2:$T$494,Trades!$AE$2:$AE$494,1,Trades!$R$2:$R$494,"&gt;=5")/B27)</f>
        <v>6358.3159400544964</v>
      </c>
      <c r="H27" s="8">
        <f>IF(B27=0,"-",SUMIFS(Trades!$X$2:$X$494,Trades!$AE$2:$AE$494,1,Trades!$R$2:$R$494,"&gt;=5")/B27)</f>
        <v>0.79180524961298782</v>
      </c>
      <c r="I27" s="9">
        <f>SUMIFS(Trades!$AA$2:$AA$494,Trades!$AE$2:$AE$494,1,Trades!$R$2:$R$494,"&gt;=5")</f>
        <v>-220869.7900000001</v>
      </c>
    </row>
    <row r="29" spans="1:9" ht="15" customHeight="1" x14ac:dyDescent="0.3">
      <c r="A29" s="23" t="s">
        <v>28</v>
      </c>
      <c r="B29" s="24"/>
      <c r="C29" s="24"/>
      <c r="D29" s="24"/>
      <c r="E29" s="24"/>
      <c r="F29" s="24"/>
      <c r="G29" s="24"/>
      <c r="H29" s="24"/>
      <c r="I29" s="24"/>
    </row>
    <row r="30" spans="1:9" ht="30" customHeight="1" x14ac:dyDescent="0.3">
      <c r="A30" s="26" t="s">
        <v>29</v>
      </c>
      <c r="B30" s="24"/>
      <c r="C30" s="24"/>
      <c r="D30" s="24"/>
      <c r="E30" s="24"/>
      <c r="F30" s="24"/>
      <c r="G30" s="24"/>
      <c r="H30" s="24"/>
      <c r="I30" s="24"/>
    </row>
    <row r="31" spans="1:9" ht="30" customHeight="1" x14ac:dyDescent="0.3">
      <c r="A31" s="26" t="s">
        <v>30</v>
      </c>
      <c r="B31" s="24"/>
      <c r="C31" s="24"/>
      <c r="D31" s="24"/>
      <c r="E31" s="24"/>
      <c r="F31" s="24"/>
      <c r="G31" s="24"/>
      <c r="H31" s="24"/>
      <c r="I31" s="24"/>
    </row>
    <row r="32" spans="1:9" ht="30" customHeight="1" x14ac:dyDescent="0.3">
      <c r="A32" s="26" t="s">
        <v>31</v>
      </c>
      <c r="B32" s="24"/>
      <c r="C32" s="24"/>
      <c r="D32" s="24"/>
      <c r="E32" s="24"/>
      <c r="F32" s="24"/>
      <c r="G32" s="24"/>
      <c r="H32" s="24"/>
      <c r="I32" s="24"/>
    </row>
    <row r="33" spans="1:9" ht="30" customHeight="1" x14ac:dyDescent="0.3">
      <c r="A33" s="26" t="s">
        <v>32</v>
      </c>
      <c r="B33" s="24"/>
      <c r="C33" s="24"/>
      <c r="D33" s="24"/>
      <c r="E33" s="24"/>
      <c r="F33" s="24"/>
      <c r="G33" s="24"/>
      <c r="H33" s="24"/>
      <c r="I33" s="24"/>
    </row>
    <row r="34" spans="1:9" ht="30" customHeight="1" x14ac:dyDescent="0.3">
      <c r="A34" s="26" t="s">
        <v>33</v>
      </c>
      <c r="B34" s="24"/>
      <c r="C34" s="24"/>
      <c r="D34" s="24"/>
      <c r="E34" s="24"/>
      <c r="F34" s="24"/>
      <c r="G34" s="24"/>
      <c r="H34" s="24"/>
      <c r="I34" s="24"/>
    </row>
  </sheetData>
  <mergeCells count="7">
    <mergeCell ref="A34:I34"/>
    <mergeCell ref="A30:I30"/>
    <mergeCell ref="A29:I29"/>
    <mergeCell ref="A2:I2"/>
    <mergeCell ref="A33:I33"/>
    <mergeCell ref="A32:I32"/>
    <mergeCell ref="A31:I3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9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1" customWidth="1"/>
    <col min="4" max="4" width="6" customWidth="1"/>
    <col min="5" max="7" width="9" customWidth="1"/>
    <col min="8" max="8" width="12" customWidth="1"/>
    <col min="9" max="10" width="11" customWidth="1"/>
    <col min="11" max="12" width="8" customWidth="1"/>
    <col min="13" max="13" width="10" customWidth="1"/>
    <col min="14" max="17" width="8" customWidth="1"/>
    <col min="18" max="20" width="10" customWidth="1"/>
    <col min="21" max="21" width="12" customWidth="1"/>
    <col min="22" max="22" width="9" customWidth="1"/>
    <col min="23" max="23" width="10" customWidth="1"/>
    <col min="24" max="25" width="11" customWidth="1"/>
    <col min="26" max="26" width="9" customWidth="1"/>
    <col min="27" max="27" width="10" customWidth="1"/>
    <col min="28" max="28" width="11" customWidth="1"/>
    <col min="29" max="29" width="8" customWidth="1"/>
    <col min="30" max="30" width="10" customWidth="1"/>
    <col min="31" max="31" width="9" customWidth="1"/>
  </cols>
  <sheetData>
    <row r="1" spans="1:31" ht="45" customHeight="1" x14ac:dyDescent="0.3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50</v>
      </c>
      <c r="R1" s="11" t="s">
        <v>51</v>
      </c>
      <c r="S1" s="11" t="s">
        <v>52</v>
      </c>
      <c r="T1" s="11" t="s">
        <v>53</v>
      </c>
      <c r="U1" s="11" t="s">
        <v>54</v>
      </c>
      <c r="V1" s="11" t="s">
        <v>55</v>
      </c>
      <c r="W1" s="11" t="s">
        <v>56</v>
      </c>
      <c r="X1" s="11" t="s">
        <v>57</v>
      </c>
      <c r="Y1" s="11" t="s">
        <v>58</v>
      </c>
      <c r="Z1" s="11" t="s">
        <v>59</v>
      </c>
      <c r="AA1" s="11" t="s">
        <v>60</v>
      </c>
      <c r="AB1" s="11" t="s">
        <v>61</v>
      </c>
      <c r="AC1" s="11" t="s">
        <v>62</v>
      </c>
      <c r="AD1" s="11" t="s">
        <v>63</v>
      </c>
      <c r="AE1" s="11" t="s">
        <v>64</v>
      </c>
    </row>
    <row r="2" spans="1:31" x14ac:dyDescent="0.3">
      <c r="A2" s="12" t="s">
        <v>65</v>
      </c>
      <c r="B2" s="12" t="s">
        <v>66</v>
      </c>
      <c r="C2" s="12" t="s">
        <v>67</v>
      </c>
      <c r="D2" s="12" t="s">
        <v>68</v>
      </c>
      <c r="E2" s="13">
        <v>12.1</v>
      </c>
      <c r="F2" s="13">
        <v>4.0999999999999996</v>
      </c>
      <c r="G2" s="13">
        <v>5.6</v>
      </c>
      <c r="H2" s="14">
        <v>4038.8</v>
      </c>
      <c r="I2" s="12" t="s">
        <v>69</v>
      </c>
      <c r="J2" s="14">
        <v>4050</v>
      </c>
      <c r="K2" s="15">
        <v>0</v>
      </c>
      <c r="L2" s="16">
        <v>175</v>
      </c>
      <c r="M2" s="16">
        <v>21852</v>
      </c>
      <c r="N2" s="17">
        <v>45</v>
      </c>
      <c r="O2" s="17">
        <v>65.45</v>
      </c>
      <c r="P2" s="17">
        <v>22</v>
      </c>
      <c r="Q2" s="17">
        <v>25.25</v>
      </c>
      <c r="R2" s="17">
        <v>45.05</v>
      </c>
      <c r="S2" s="17">
        <v>25.2</v>
      </c>
      <c r="T2" s="16">
        <f t="shared" ref="T2:T65" si="0">R2*L2</f>
        <v>7883.7499999999991</v>
      </c>
      <c r="U2" s="18">
        <v>-3655.92</v>
      </c>
      <c r="V2" s="19">
        <f t="shared" ref="V2:V65" si="1">U2/T2</f>
        <v>-0.46372855557317272</v>
      </c>
      <c r="W2" s="19">
        <f t="shared" ref="W2:W65" si="2">S2/R2-1</f>
        <v>-0.44062153163152051</v>
      </c>
      <c r="X2" s="19">
        <f t="shared" ref="X2:X65" si="3">IF(O2="","",O2/R2-1)</f>
        <v>0.4528301886792454</v>
      </c>
      <c r="Y2" s="12" t="s">
        <v>66</v>
      </c>
      <c r="Z2" s="12" t="s">
        <v>70</v>
      </c>
      <c r="AA2" s="18">
        <v>-3655.92</v>
      </c>
      <c r="AB2" s="17">
        <v>-1.5629999999999999</v>
      </c>
      <c r="AC2" s="12" t="s">
        <v>71</v>
      </c>
      <c r="AD2" s="12" t="str">
        <f t="shared" ref="AD2:AD65" si="4">IF(R2&lt;1,"under Rs 1",IF(R2&lt;2,"Rs 1-2","Rs 2+"))</f>
        <v>Rs 2+</v>
      </c>
      <c r="AE2" s="20">
        <v>1</v>
      </c>
    </row>
    <row r="3" spans="1:31" x14ac:dyDescent="0.3">
      <c r="A3" s="12" t="s">
        <v>72</v>
      </c>
      <c r="B3" s="12" t="s">
        <v>73</v>
      </c>
      <c r="C3" s="12" t="s">
        <v>74</v>
      </c>
      <c r="D3" s="12" t="s">
        <v>68</v>
      </c>
      <c r="E3" s="13">
        <v>31.4</v>
      </c>
      <c r="F3" s="13">
        <v>11.2</v>
      </c>
      <c r="G3" s="13">
        <v>39.200000000000003</v>
      </c>
      <c r="H3" s="14">
        <v>3865</v>
      </c>
      <c r="I3" s="12" t="s">
        <v>69</v>
      </c>
      <c r="J3" s="14">
        <v>3750</v>
      </c>
      <c r="K3" s="15">
        <v>2</v>
      </c>
      <c r="L3" s="16">
        <v>150</v>
      </c>
      <c r="M3" s="16">
        <v>2422</v>
      </c>
      <c r="N3" s="17">
        <v>50</v>
      </c>
      <c r="O3" s="17">
        <v>62.25</v>
      </c>
      <c r="P3" s="17">
        <v>11.7</v>
      </c>
      <c r="Q3" s="17">
        <v>15.55</v>
      </c>
      <c r="R3" s="17">
        <v>50.05</v>
      </c>
      <c r="S3" s="17">
        <v>15.5</v>
      </c>
      <c r="T3" s="16">
        <f t="shared" si="0"/>
        <v>7507.5</v>
      </c>
      <c r="U3" s="18">
        <v>-5434.21</v>
      </c>
      <c r="V3" s="19">
        <f t="shared" si="1"/>
        <v>-0.72383749583749579</v>
      </c>
      <c r="W3" s="19">
        <f t="shared" si="2"/>
        <v>-0.69030969030969036</v>
      </c>
      <c r="X3" s="19">
        <f t="shared" si="3"/>
        <v>0.24375624375624372</v>
      </c>
      <c r="Y3" s="12" t="s">
        <v>73</v>
      </c>
      <c r="Z3" s="12" t="s">
        <v>70</v>
      </c>
      <c r="AA3" s="18">
        <v>-5434.21</v>
      </c>
      <c r="AB3" s="17">
        <v>-3.734</v>
      </c>
      <c r="AC3" s="12" t="s">
        <v>71</v>
      </c>
      <c r="AD3" s="12" t="str">
        <f t="shared" si="4"/>
        <v>Rs 2+</v>
      </c>
      <c r="AE3" s="20">
        <v>1</v>
      </c>
    </row>
    <row r="4" spans="1:31" x14ac:dyDescent="0.3">
      <c r="A4" s="12" t="s">
        <v>75</v>
      </c>
      <c r="B4" s="12" t="s">
        <v>76</v>
      </c>
      <c r="C4" s="12" t="s">
        <v>73</v>
      </c>
      <c r="D4" s="12" t="s">
        <v>77</v>
      </c>
      <c r="E4" s="13">
        <v>-26.9</v>
      </c>
      <c r="F4" s="13">
        <v>-6.3</v>
      </c>
      <c r="G4" s="13">
        <v>-5.9</v>
      </c>
      <c r="H4" s="14">
        <v>10550.95</v>
      </c>
      <c r="I4" s="12" t="s">
        <v>69</v>
      </c>
      <c r="J4" s="14">
        <v>11000</v>
      </c>
      <c r="K4" s="15">
        <v>2</v>
      </c>
      <c r="L4" s="16">
        <v>50</v>
      </c>
      <c r="M4" s="16">
        <v>31671</v>
      </c>
      <c r="N4" s="17">
        <v>101</v>
      </c>
      <c r="O4" s="17">
        <v>353.85</v>
      </c>
      <c r="P4" s="17">
        <v>68.400000000000006</v>
      </c>
      <c r="Q4" s="17">
        <v>89.55</v>
      </c>
      <c r="R4" s="17">
        <v>101.05</v>
      </c>
      <c r="S4" s="17">
        <v>89.5</v>
      </c>
      <c r="T4" s="16">
        <f t="shared" si="0"/>
        <v>5052.5</v>
      </c>
      <c r="U4" s="18">
        <v>-826.12</v>
      </c>
      <c r="V4" s="19">
        <f t="shared" si="1"/>
        <v>-0.16350717466600692</v>
      </c>
      <c r="W4" s="19">
        <f t="shared" si="2"/>
        <v>-0.11429985155863431</v>
      </c>
      <c r="X4" s="19">
        <f t="shared" si="3"/>
        <v>2.5017318159327071</v>
      </c>
      <c r="Y4" s="12" t="s">
        <v>78</v>
      </c>
      <c r="Z4" s="12" t="s">
        <v>70</v>
      </c>
      <c r="AA4" s="18">
        <v>-2594</v>
      </c>
      <c r="AB4" s="17">
        <v>1.899</v>
      </c>
      <c r="AC4" s="12" t="s">
        <v>71</v>
      </c>
      <c r="AD4" s="12" t="str">
        <f t="shared" si="4"/>
        <v>Rs 2+</v>
      </c>
      <c r="AE4" s="20">
        <v>1</v>
      </c>
    </row>
    <row r="5" spans="1:31" x14ac:dyDescent="0.3">
      <c r="A5" s="12" t="s">
        <v>79</v>
      </c>
      <c r="B5" s="12" t="s">
        <v>78</v>
      </c>
      <c r="C5" s="12" t="s">
        <v>76</v>
      </c>
      <c r="D5" s="12" t="s">
        <v>68</v>
      </c>
      <c r="E5" s="13">
        <v>11.6</v>
      </c>
      <c r="F5" s="13">
        <v>4.7</v>
      </c>
      <c r="G5" s="13">
        <v>7.6</v>
      </c>
      <c r="H5" s="14">
        <v>1928.4</v>
      </c>
      <c r="I5" s="12" t="s">
        <v>69</v>
      </c>
      <c r="J5" s="14">
        <v>1780</v>
      </c>
      <c r="K5" s="15">
        <v>7</v>
      </c>
      <c r="L5" s="16">
        <v>400</v>
      </c>
      <c r="M5" s="16">
        <v>14993</v>
      </c>
      <c r="N5" s="17">
        <v>15</v>
      </c>
      <c r="O5" s="17">
        <v>22.2</v>
      </c>
      <c r="P5" s="17">
        <v>11.65</v>
      </c>
      <c r="Q5" s="17">
        <v>19.350000000000001</v>
      </c>
      <c r="R5" s="17">
        <v>15.05</v>
      </c>
      <c r="S5" s="17">
        <v>19.3</v>
      </c>
      <c r="T5" s="16">
        <f t="shared" si="0"/>
        <v>6020</v>
      </c>
      <c r="U5" s="18">
        <v>1497.85</v>
      </c>
      <c r="V5" s="19">
        <f t="shared" si="1"/>
        <v>0.24881229235880398</v>
      </c>
      <c r="W5" s="19">
        <f t="shared" si="2"/>
        <v>0.28239202657807305</v>
      </c>
      <c r="X5" s="19">
        <f t="shared" si="3"/>
        <v>0.47508305647840521</v>
      </c>
      <c r="Y5" s="12" t="s">
        <v>80</v>
      </c>
      <c r="Z5" s="12" t="s">
        <v>70</v>
      </c>
      <c r="AA5" s="18">
        <v>-4391.1000000000004</v>
      </c>
      <c r="AB5" s="17">
        <v>1.921</v>
      </c>
      <c r="AC5" s="12" t="s">
        <v>71</v>
      </c>
      <c r="AD5" s="12" t="str">
        <f t="shared" si="4"/>
        <v>Rs 2+</v>
      </c>
      <c r="AE5" s="20">
        <v>1</v>
      </c>
    </row>
    <row r="6" spans="1:31" x14ac:dyDescent="0.3">
      <c r="A6" s="12" t="s">
        <v>81</v>
      </c>
      <c r="B6" s="12" t="s">
        <v>78</v>
      </c>
      <c r="C6" s="12" t="s">
        <v>76</v>
      </c>
      <c r="D6" s="12" t="s">
        <v>68</v>
      </c>
      <c r="E6" s="13">
        <v>11.7</v>
      </c>
      <c r="F6" s="13">
        <v>13.5</v>
      </c>
      <c r="G6" s="13">
        <v>7</v>
      </c>
      <c r="H6" s="14">
        <v>1266.5</v>
      </c>
      <c r="I6" s="12" t="s">
        <v>69</v>
      </c>
      <c r="J6" s="14">
        <v>1270</v>
      </c>
      <c r="K6" s="15">
        <v>0</v>
      </c>
      <c r="L6" s="16">
        <v>500</v>
      </c>
      <c r="M6" s="16">
        <v>19307</v>
      </c>
      <c r="N6" s="17">
        <v>10</v>
      </c>
      <c r="O6" s="17">
        <v>13.7</v>
      </c>
      <c r="P6" s="17">
        <v>4.05</v>
      </c>
      <c r="Q6" s="17">
        <v>7.05</v>
      </c>
      <c r="R6" s="17">
        <v>10.050000000000001</v>
      </c>
      <c r="S6" s="17">
        <v>7</v>
      </c>
      <c r="T6" s="16">
        <f t="shared" si="0"/>
        <v>5025</v>
      </c>
      <c r="U6" s="18">
        <v>-1666.43</v>
      </c>
      <c r="V6" s="19">
        <f t="shared" si="1"/>
        <v>-0.33162786069651745</v>
      </c>
      <c r="W6" s="19">
        <f t="shared" si="2"/>
        <v>-0.30348258706467668</v>
      </c>
      <c r="X6" s="19">
        <f t="shared" si="3"/>
        <v>0.36318407960198984</v>
      </c>
      <c r="Y6" s="12" t="s">
        <v>78</v>
      </c>
      <c r="Z6" s="12" t="s">
        <v>70</v>
      </c>
      <c r="AA6" s="18">
        <v>-1666.43</v>
      </c>
      <c r="AB6" s="17">
        <v>1.5049999999999999</v>
      </c>
      <c r="AC6" s="12" t="s">
        <v>71</v>
      </c>
      <c r="AD6" s="12" t="str">
        <f t="shared" si="4"/>
        <v>Rs 2+</v>
      </c>
      <c r="AE6" s="20">
        <v>1</v>
      </c>
    </row>
    <row r="7" spans="1:31" x14ac:dyDescent="0.3">
      <c r="A7" s="12" t="s">
        <v>82</v>
      </c>
      <c r="B7" s="12" t="s">
        <v>83</v>
      </c>
      <c r="C7" s="12" t="s">
        <v>78</v>
      </c>
      <c r="D7" s="12" t="s">
        <v>68</v>
      </c>
      <c r="E7" s="13">
        <v>32.6</v>
      </c>
      <c r="F7" s="13">
        <v>8.5</v>
      </c>
      <c r="G7" s="13">
        <v>29</v>
      </c>
      <c r="H7" s="14">
        <v>813.4</v>
      </c>
      <c r="I7" s="12" t="s">
        <v>69</v>
      </c>
      <c r="J7" s="14">
        <v>780</v>
      </c>
      <c r="K7" s="15">
        <v>3</v>
      </c>
      <c r="L7" s="16">
        <v>1000</v>
      </c>
      <c r="M7" s="16">
        <v>8795</v>
      </c>
      <c r="N7" s="17">
        <v>6</v>
      </c>
      <c r="O7" s="17">
        <v>16.3</v>
      </c>
      <c r="P7" s="17">
        <v>4.05</v>
      </c>
      <c r="Q7" s="17">
        <v>9.15</v>
      </c>
      <c r="R7" s="17">
        <v>6.05</v>
      </c>
      <c r="S7" s="17">
        <v>9.1</v>
      </c>
      <c r="T7" s="16">
        <f t="shared" si="0"/>
        <v>6050</v>
      </c>
      <c r="U7" s="18">
        <v>2679.6</v>
      </c>
      <c r="V7" s="19">
        <f t="shared" si="1"/>
        <v>0.44290909090909092</v>
      </c>
      <c r="W7" s="19">
        <f t="shared" si="2"/>
        <v>0.50413223140495855</v>
      </c>
      <c r="X7" s="19">
        <f t="shared" si="3"/>
        <v>1.6942148760330582</v>
      </c>
      <c r="Y7" s="12" t="s">
        <v>80</v>
      </c>
      <c r="Z7" s="12" t="s">
        <v>84</v>
      </c>
      <c r="AA7" s="18">
        <v>9966.2900000000009</v>
      </c>
      <c r="AB7" s="17">
        <v>4.0709999999999997</v>
      </c>
      <c r="AC7" s="12" t="s">
        <v>71</v>
      </c>
      <c r="AD7" s="12" t="str">
        <f t="shared" si="4"/>
        <v>Rs 2+</v>
      </c>
      <c r="AE7" s="20">
        <v>1</v>
      </c>
    </row>
    <row r="8" spans="1:31" x14ac:dyDescent="0.3">
      <c r="A8" s="12" t="s">
        <v>85</v>
      </c>
      <c r="B8" s="12" t="s">
        <v>83</v>
      </c>
      <c r="C8" s="12" t="s">
        <v>78</v>
      </c>
      <c r="D8" s="12" t="s">
        <v>68</v>
      </c>
      <c r="E8" s="13">
        <v>24.7</v>
      </c>
      <c r="F8" s="13">
        <v>4.3</v>
      </c>
      <c r="G8" s="13">
        <v>0.5</v>
      </c>
      <c r="H8" s="14">
        <v>281.95</v>
      </c>
      <c r="I8" s="12" t="s">
        <v>69</v>
      </c>
      <c r="J8" s="14">
        <v>282.5</v>
      </c>
      <c r="K8" s="15">
        <v>0</v>
      </c>
      <c r="L8" s="16">
        <v>3000</v>
      </c>
      <c r="M8" s="16">
        <v>1382</v>
      </c>
      <c r="N8" s="17">
        <v>2</v>
      </c>
      <c r="O8" s="17">
        <v>2.1</v>
      </c>
      <c r="P8" s="17">
        <v>0.75</v>
      </c>
      <c r="Q8" s="17">
        <v>0.95</v>
      </c>
      <c r="R8" s="17">
        <v>2.0499999999999998</v>
      </c>
      <c r="S8" s="17">
        <v>0.9</v>
      </c>
      <c r="T8" s="16">
        <f t="shared" si="0"/>
        <v>6149.9999999999991</v>
      </c>
      <c r="U8" s="18">
        <v>-3593.65</v>
      </c>
      <c r="V8" s="19">
        <f t="shared" si="1"/>
        <v>-0.58433333333333348</v>
      </c>
      <c r="W8" s="19">
        <f t="shared" si="2"/>
        <v>-0.5609756097560975</v>
      </c>
      <c r="X8" s="19">
        <f t="shared" si="3"/>
        <v>2.4390243902439046E-2</v>
      </c>
      <c r="Y8" s="12" t="s">
        <v>83</v>
      </c>
      <c r="Z8" s="12" t="s">
        <v>70</v>
      </c>
      <c r="AA8" s="18">
        <v>-3593.65</v>
      </c>
      <c r="AB8" s="17">
        <v>0.57899999999999996</v>
      </c>
      <c r="AC8" s="12" t="s">
        <v>71</v>
      </c>
      <c r="AD8" s="12" t="str">
        <f t="shared" si="4"/>
        <v>Rs 2+</v>
      </c>
      <c r="AE8" s="20">
        <v>1</v>
      </c>
    </row>
    <row r="9" spans="1:31" x14ac:dyDescent="0.3">
      <c r="A9" s="12" t="s">
        <v>86</v>
      </c>
      <c r="B9" s="12" t="s">
        <v>87</v>
      </c>
      <c r="C9" s="12" t="s">
        <v>83</v>
      </c>
      <c r="D9" s="12" t="s">
        <v>68</v>
      </c>
      <c r="E9" s="13">
        <v>31.1</v>
      </c>
      <c r="F9" s="13">
        <v>303.2</v>
      </c>
      <c r="G9" s="13">
        <v>30</v>
      </c>
      <c r="H9" s="14">
        <v>1590</v>
      </c>
      <c r="I9" s="12" t="s">
        <v>69</v>
      </c>
      <c r="J9" s="14">
        <v>1560</v>
      </c>
      <c r="K9" s="15">
        <v>2</v>
      </c>
      <c r="L9" s="16">
        <v>350</v>
      </c>
      <c r="M9" s="16">
        <v>1358</v>
      </c>
      <c r="N9" s="17">
        <v>20.3</v>
      </c>
      <c r="O9" s="17">
        <v>28.65</v>
      </c>
      <c r="P9" s="17">
        <v>7.8</v>
      </c>
      <c r="Q9" s="17">
        <v>19.899999999999999</v>
      </c>
      <c r="R9" s="17">
        <v>20.350000000000001</v>
      </c>
      <c r="S9" s="17">
        <v>19.850000000000001</v>
      </c>
      <c r="T9" s="16">
        <f t="shared" si="0"/>
        <v>7122.5000000000009</v>
      </c>
      <c r="U9" s="18">
        <v>-520.16</v>
      </c>
      <c r="V9" s="19">
        <f t="shared" si="1"/>
        <v>-7.303053703053701E-2</v>
      </c>
      <c r="W9" s="19">
        <f t="shared" si="2"/>
        <v>-2.4570024570024551E-2</v>
      </c>
      <c r="X9" s="19">
        <f t="shared" si="3"/>
        <v>0.40786240786240779</v>
      </c>
      <c r="Y9" s="12" t="s">
        <v>88</v>
      </c>
      <c r="Z9" s="12" t="s">
        <v>70</v>
      </c>
      <c r="AA9" s="18">
        <v>-2471.42</v>
      </c>
      <c r="AB9" s="17">
        <v>2.0680000000000001</v>
      </c>
      <c r="AC9" s="12" t="s">
        <v>71</v>
      </c>
      <c r="AD9" s="12" t="str">
        <f t="shared" si="4"/>
        <v>Rs 2+</v>
      </c>
      <c r="AE9" s="20">
        <v>1</v>
      </c>
    </row>
    <row r="10" spans="1:31" x14ac:dyDescent="0.3">
      <c r="A10" s="12" t="s">
        <v>89</v>
      </c>
      <c r="B10" s="12" t="s">
        <v>87</v>
      </c>
      <c r="C10" s="12" t="s">
        <v>83</v>
      </c>
      <c r="D10" s="12" t="s">
        <v>68</v>
      </c>
      <c r="E10" s="13">
        <v>71.7</v>
      </c>
      <c r="F10" s="13">
        <v>4.9000000000000004</v>
      </c>
      <c r="G10" s="13">
        <v>33.9</v>
      </c>
      <c r="H10" s="14">
        <v>2002.85</v>
      </c>
      <c r="I10" s="12" t="s">
        <v>69</v>
      </c>
      <c r="J10" s="14">
        <v>1900</v>
      </c>
      <c r="K10" s="15">
        <v>5</v>
      </c>
      <c r="L10" s="16">
        <v>350</v>
      </c>
      <c r="M10" s="16">
        <v>10785</v>
      </c>
      <c r="N10" s="17">
        <v>22</v>
      </c>
      <c r="O10" s="17">
        <v>119.9</v>
      </c>
      <c r="P10" s="17">
        <v>19.2</v>
      </c>
      <c r="Q10" s="17">
        <v>89.05</v>
      </c>
      <c r="R10" s="17">
        <v>22.05</v>
      </c>
      <c r="S10" s="17">
        <v>89</v>
      </c>
      <c r="T10" s="16">
        <f t="shared" si="0"/>
        <v>7717.5</v>
      </c>
      <c r="U10" s="18">
        <v>22544.65</v>
      </c>
      <c r="V10" s="19">
        <f t="shared" si="1"/>
        <v>2.9212374473598963</v>
      </c>
      <c r="W10" s="19">
        <f t="shared" si="2"/>
        <v>3.0362811791383217</v>
      </c>
      <c r="X10" s="19">
        <f t="shared" si="3"/>
        <v>4.437641723356009</v>
      </c>
      <c r="Y10" s="12" t="s">
        <v>88</v>
      </c>
      <c r="Z10" s="12" t="s">
        <v>84</v>
      </c>
      <c r="AA10" s="18">
        <v>26669.7</v>
      </c>
      <c r="AB10" s="17">
        <v>7.61</v>
      </c>
      <c r="AC10" s="12" t="s">
        <v>71</v>
      </c>
      <c r="AD10" s="12" t="str">
        <f t="shared" si="4"/>
        <v>Rs 2+</v>
      </c>
      <c r="AE10" s="20">
        <v>1</v>
      </c>
    </row>
    <row r="11" spans="1:31" x14ac:dyDescent="0.3">
      <c r="A11" s="12" t="s">
        <v>90</v>
      </c>
      <c r="B11" s="12" t="s">
        <v>87</v>
      </c>
      <c r="C11" s="12" t="s">
        <v>83</v>
      </c>
      <c r="D11" s="12" t="s">
        <v>77</v>
      </c>
      <c r="E11" s="13">
        <v>-27</v>
      </c>
      <c r="F11" s="13">
        <v>-9.5</v>
      </c>
      <c r="G11" s="13">
        <v>2.5</v>
      </c>
      <c r="H11" s="14">
        <v>4021.95</v>
      </c>
      <c r="I11" s="12" t="s">
        <v>69</v>
      </c>
      <c r="J11" s="14">
        <v>4200</v>
      </c>
      <c r="K11" s="15">
        <v>2</v>
      </c>
      <c r="L11" s="16">
        <v>125</v>
      </c>
      <c r="M11" s="16">
        <v>1727</v>
      </c>
      <c r="N11" s="17">
        <v>58</v>
      </c>
      <c r="O11" s="17">
        <v>61</v>
      </c>
      <c r="P11" s="17">
        <v>22.2</v>
      </c>
      <c r="Q11" s="17">
        <v>28.05</v>
      </c>
      <c r="R11" s="17">
        <v>58.05</v>
      </c>
      <c r="S11" s="17">
        <v>28</v>
      </c>
      <c r="T11" s="16">
        <f t="shared" si="0"/>
        <v>7256.25</v>
      </c>
      <c r="U11" s="18">
        <v>-4028.56</v>
      </c>
      <c r="V11" s="19">
        <f t="shared" si="1"/>
        <v>-0.55518484065460805</v>
      </c>
      <c r="W11" s="19">
        <f t="shared" si="2"/>
        <v>-0.51765719207579663</v>
      </c>
      <c r="X11" s="19">
        <f t="shared" si="3"/>
        <v>5.0818260120585768E-2</v>
      </c>
      <c r="Y11" s="12" t="s">
        <v>87</v>
      </c>
      <c r="Z11" s="12" t="s">
        <v>70</v>
      </c>
      <c r="AA11" s="18">
        <v>-4028.56</v>
      </c>
      <c r="AB11" s="17">
        <v>-1.052</v>
      </c>
      <c r="AC11" s="12" t="s">
        <v>71</v>
      </c>
      <c r="AD11" s="12" t="str">
        <f t="shared" si="4"/>
        <v>Rs 2+</v>
      </c>
      <c r="AE11" s="20">
        <v>1</v>
      </c>
    </row>
    <row r="12" spans="1:31" x14ac:dyDescent="0.3">
      <c r="A12" s="12" t="s">
        <v>91</v>
      </c>
      <c r="B12" s="12" t="s">
        <v>88</v>
      </c>
      <c r="C12" s="12" t="s">
        <v>80</v>
      </c>
      <c r="D12" s="12" t="s">
        <v>68</v>
      </c>
      <c r="E12" s="13">
        <v>19.2</v>
      </c>
      <c r="F12" s="13">
        <v>15.2</v>
      </c>
      <c r="G12" s="13">
        <v>1.6</v>
      </c>
      <c r="H12" s="14">
        <v>2342.9499999999998</v>
      </c>
      <c r="I12" s="12" t="s">
        <v>69</v>
      </c>
      <c r="J12" s="14">
        <v>2260</v>
      </c>
      <c r="K12" s="15">
        <v>4</v>
      </c>
      <c r="L12" s="16">
        <v>300</v>
      </c>
      <c r="M12" s="16">
        <v>16077</v>
      </c>
      <c r="N12" s="17">
        <v>23.75</v>
      </c>
      <c r="O12" s="17">
        <v>33.9</v>
      </c>
      <c r="P12" s="17">
        <v>4.0999999999999996</v>
      </c>
      <c r="Q12" s="17">
        <v>5.2</v>
      </c>
      <c r="R12" s="17">
        <v>23.8</v>
      </c>
      <c r="S12" s="17">
        <v>5.15</v>
      </c>
      <c r="T12" s="16">
        <f t="shared" si="0"/>
        <v>7140</v>
      </c>
      <c r="U12" s="18">
        <v>-5735.24</v>
      </c>
      <c r="V12" s="19">
        <f t="shared" si="1"/>
        <v>-0.80325490196078431</v>
      </c>
      <c r="W12" s="19">
        <f t="shared" si="2"/>
        <v>-0.78361344537815125</v>
      </c>
      <c r="X12" s="19">
        <f t="shared" si="3"/>
        <v>0.42436974789915949</v>
      </c>
      <c r="Y12" s="12" t="s">
        <v>88</v>
      </c>
      <c r="Z12" s="12" t="s">
        <v>70</v>
      </c>
      <c r="AA12" s="18">
        <v>-5735.24</v>
      </c>
      <c r="AB12" s="17">
        <v>-0.28899999999999998</v>
      </c>
      <c r="AC12" s="12" t="s">
        <v>71</v>
      </c>
      <c r="AD12" s="12" t="str">
        <f t="shared" si="4"/>
        <v>Rs 2+</v>
      </c>
      <c r="AE12" s="20">
        <v>1</v>
      </c>
    </row>
    <row r="13" spans="1:31" x14ac:dyDescent="0.3">
      <c r="A13" s="12" t="s">
        <v>92</v>
      </c>
      <c r="B13" s="12" t="s">
        <v>88</v>
      </c>
      <c r="C13" s="12" t="s">
        <v>80</v>
      </c>
      <c r="D13" s="12" t="s">
        <v>68</v>
      </c>
      <c r="E13" s="13">
        <v>30.4</v>
      </c>
      <c r="F13" s="13">
        <v>14.8</v>
      </c>
      <c r="G13" s="13">
        <v>22.6</v>
      </c>
      <c r="H13" s="14">
        <v>5683.15</v>
      </c>
      <c r="I13" s="12" t="s">
        <v>69</v>
      </c>
      <c r="J13" s="14">
        <v>5500</v>
      </c>
      <c r="K13" s="15">
        <v>2</v>
      </c>
      <c r="L13" s="16">
        <v>100</v>
      </c>
      <c r="M13" s="16">
        <v>9115</v>
      </c>
      <c r="N13" s="17">
        <v>50</v>
      </c>
      <c r="O13" s="17">
        <v>50</v>
      </c>
      <c r="P13" s="17">
        <v>5</v>
      </c>
      <c r="Q13" s="17">
        <v>5.35</v>
      </c>
      <c r="R13" s="17">
        <v>50.05</v>
      </c>
      <c r="S13" s="17">
        <v>5.3</v>
      </c>
      <c r="T13" s="16">
        <f t="shared" si="0"/>
        <v>5005</v>
      </c>
      <c r="U13" s="18">
        <v>-4636.18</v>
      </c>
      <c r="V13" s="19">
        <f t="shared" si="1"/>
        <v>-0.92630969030969035</v>
      </c>
      <c r="W13" s="19">
        <f t="shared" si="2"/>
        <v>-0.89410589410589414</v>
      </c>
      <c r="X13" s="19">
        <f t="shared" si="3"/>
        <v>-9.9900099900096517E-4</v>
      </c>
      <c r="Y13" s="12" t="s">
        <v>88</v>
      </c>
      <c r="Z13" s="12" t="s">
        <v>70</v>
      </c>
      <c r="AA13" s="18">
        <v>-4636.18</v>
      </c>
      <c r="AB13" s="17">
        <v>-8.5960000000000001</v>
      </c>
      <c r="AC13" s="12" t="s">
        <v>71</v>
      </c>
      <c r="AD13" s="12" t="str">
        <f t="shared" si="4"/>
        <v>Rs 2+</v>
      </c>
      <c r="AE13" s="20">
        <v>1</v>
      </c>
    </row>
    <row r="14" spans="1:31" x14ac:dyDescent="0.3">
      <c r="A14" s="12" t="s">
        <v>93</v>
      </c>
      <c r="B14" s="12" t="s">
        <v>88</v>
      </c>
      <c r="C14" s="12" t="s">
        <v>80</v>
      </c>
      <c r="D14" s="12" t="s">
        <v>68</v>
      </c>
      <c r="E14" s="13">
        <v>11.5</v>
      </c>
      <c r="F14" s="13">
        <v>4.3</v>
      </c>
      <c r="G14" s="13">
        <v>20.399999999999999</v>
      </c>
      <c r="H14" s="14">
        <v>6164.1</v>
      </c>
      <c r="I14" s="12" t="s">
        <v>69</v>
      </c>
      <c r="J14" s="14">
        <v>5900</v>
      </c>
      <c r="K14" s="15">
        <v>3</v>
      </c>
      <c r="L14" s="16">
        <v>125</v>
      </c>
      <c r="M14" s="16">
        <v>4759</v>
      </c>
      <c r="N14" s="17">
        <v>50</v>
      </c>
      <c r="O14" s="17">
        <v>57.1</v>
      </c>
      <c r="P14" s="17">
        <v>12.15</v>
      </c>
      <c r="Q14" s="17">
        <v>23.1</v>
      </c>
      <c r="R14" s="17">
        <v>50.05</v>
      </c>
      <c r="S14" s="17">
        <v>23.05</v>
      </c>
      <c r="T14" s="16">
        <f t="shared" si="0"/>
        <v>6256.25</v>
      </c>
      <c r="U14" s="18">
        <v>-3613.29</v>
      </c>
      <c r="V14" s="19">
        <f t="shared" si="1"/>
        <v>-0.57754885114885113</v>
      </c>
      <c r="W14" s="19">
        <f t="shared" si="2"/>
        <v>-0.5394605394605394</v>
      </c>
      <c r="X14" s="19">
        <f t="shared" si="3"/>
        <v>0.14085914085914086</v>
      </c>
      <c r="Y14" s="12" t="s">
        <v>88</v>
      </c>
      <c r="Z14" s="12" t="s">
        <v>70</v>
      </c>
      <c r="AA14" s="18">
        <v>-3613.29</v>
      </c>
      <c r="AB14" s="17">
        <v>-1.1479999999999999</v>
      </c>
      <c r="AC14" s="12" t="s">
        <v>71</v>
      </c>
      <c r="AD14" s="12" t="str">
        <f t="shared" si="4"/>
        <v>Rs 2+</v>
      </c>
      <c r="AE14" s="20">
        <v>1</v>
      </c>
    </row>
    <row r="15" spans="1:31" x14ac:dyDescent="0.3">
      <c r="A15" s="12" t="s">
        <v>94</v>
      </c>
      <c r="B15" s="12" t="s">
        <v>95</v>
      </c>
      <c r="C15" s="12" t="s">
        <v>88</v>
      </c>
      <c r="D15" s="12" t="s">
        <v>68</v>
      </c>
      <c r="E15" s="13">
        <v>256.8</v>
      </c>
      <c r="F15" s="13">
        <v>1682.9</v>
      </c>
      <c r="G15" s="13">
        <v>0.5</v>
      </c>
      <c r="H15" s="14">
        <v>362.1</v>
      </c>
      <c r="I15" s="12" t="s">
        <v>69</v>
      </c>
      <c r="J15" s="14">
        <v>355</v>
      </c>
      <c r="K15" s="15">
        <v>1</v>
      </c>
      <c r="L15" s="16">
        <v>2025</v>
      </c>
      <c r="M15" s="16">
        <v>3259</v>
      </c>
      <c r="N15" s="17">
        <v>3.1</v>
      </c>
      <c r="O15" s="17">
        <v>8.6</v>
      </c>
      <c r="P15" s="17">
        <v>1.3</v>
      </c>
      <c r="Q15" s="17">
        <v>7.8</v>
      </c>
      <c r="R15" s="17">
        <v>3.15</v>
      </c>
      <c r="S15" s="17">
        <v>7.75</v>
      </c>
      <c r="T15" s="16">
        <f t="shared" si="0"/>
        <v>6378.75</v>
      </c>
      <c r="U15" s="18">
        <v>8793.32</v>
      </c>
      <c r="V15" s="19">
        <f t="shared" si="1"/>
        <v>1.3785334117185968</v>
      </c>
      <c r="W15" s="19">
        <f t="shared" si="2"/>
        <v>1.4603174603174605</v>
      </c>
      <c r="X15" s="19">
        <f t="shared" si="3"/>
        <v>1.7301587301587302</v>
      </c>
      <c r="Y15" s="12" t="s">
        <v>96</v>
      </c>
      <c r="Z15" s="12" t="s">
        <v>84</v>
      </c>
      <c r="AA15" s="18">
        <v>9189.4500000000007</v>
      </c>
      <c r="AB15" s="17">
        <v>5.7060000000000004</v>
      </c>
      <c r="AC15" s="12" t="s">
        <v>71</v>
      </c>
      <c r="AD15" s="12" t="str">
        <f t="shared" si="4"/>
        <v>Rs 2+</v>
      </c>
      <c r="AE15" s="20">
        <v>1</v>
      </c>
    </row>
    <row r="16" spans="1:31" x14ac:dyDescent="0.3">
      <c r="A16" s="12" t="s">
        <v>97</v>
      </c>
      <c r="B16" s="12" t="s">
        <v>95</v>
      </c>
      <c r="C16" s="12" t="s">
        <v>88</v>
      </c>
      <c r="D16" s="12" t="s">
        <v>68</v>
      </c>
      <c r="E16" s="13">
        <v>159.9</v>
      </c>
      <c r="F16" s="13">
        <v>80</v>
      </c>
      <c r="G16" s="13">
        <v>4.8</v>
      </c>
      <c r="H16" s="14">
        <v>366.6</v>
      </c>
      <c r="I16" s="12" t="s">
        <v>69</v>
      </c>
      <c r="J16" s="14">
        <v>355</v>
      </c>
      <c r="K16" s="15">
        <v>2</v>
      </c>
      <c r="L16" s="16">
        <v>1700</v>
      </c>
      <c r="M16" s="16">
        <v>2882</v>
      </c>
      <c r="N16" s="17">
        <v>2.9</v>
      </c>
      <c r="O16" s="17">
        <v>4.5</v>
      </c>
      <c r="P16" s="17">
        <v>1.1000000000000001</v>
      </c>
      <c r="Q16" s="17">
        <v>1.5</v>
      </c>
      <c r="R16" s="17">
        <v>2.95</v>
      </c>
      <c r="S16" s="17">
        <v>1.45</v>
      </c>
      <c r="T16" s="16">
        <f t="shared" si="0"/>
        <v>5015</v>
      </c>
      <c r="U16" s="18">
        <v>-2753.8</v>
      </c>
      <c r="V16" s="19">
        <f t="shared" si="1"/>
        <v>-0.54911266201395814</v>
      </c>
      <c r="W16" s="19">
        <f t="shared" si="2"/>
        <v>-0.50847457627118642</v>
      </c>
      <c r="X16" s="19">
        <f t="shared" si="3"/>
        <v>0.52542372881355925</v>
      </c>
      <c r="Y16" s="12" t="s">
        <v>95</v>
      </c>
      <c r="Z16" s="12" t="s">
        <v>70</v>
      </c>
      <c r="AA16" s="18">
        <v>-2753.8</v>
      </c>
      <c r="AB16" s="17">
        <v>-0.20399999999999999</v>
      </c>
      <c r="AC16" s="12" t="s">
        <v>71</v>
      </c>
      <c r="AD16" s="12" t="str">
        <f t="shared" si="4"/>
        <v>Rs 2+</v>
      </c>
      <c r="AE16" s="20">
        <v>1</v>
      </c>
    </row>
    <row r="17" spans="1:31" x14ac:dyDescent="0.3">
      <c r="A17" s="12" t="s">
        <v>98</v>
      </c>
      <c r="B17" s="12" t="s">
        <v>95</v>
      </c>
      <c r="C17" s="12" t="s">
        <v>88</v>
      </c>
      <c r="D17" s="12" t="s">
        <v>68</v>
      </c>
      <c r="E17" s="13">
        <v>14.5</v>
      </c>
      <c r="F17" s="13">
        <v>1.1000000000000001</v>
      </c>
      <c r="G17" s="13">
        <v>6.7</v>
      </c>
      <c r="H17" s="14">
        <v>2918.95</v>
      </c>
      <c r="I17" s="12" t="s">
        <v>69</v>
      </c>
      <c r="J17" s="14">
        <v>2700</v>
      </c>
      <c r="K17" s="15">
        <v>4</v>
      </c>
      <c r="L17" s="16">
        <v>275</v>
      </c>
      <c r="M17" s="16">
        <v>16096</v>
      </c>
      <c r="N17" s="17">
        <v>17</v>
      </c>
      <c r="O17" s="17">
        <v>29.4</v>
      </c>
      <c r="P17" s="17">
        <v>2.4</v>
      </c>
      <c r="Q17" s="17">
        <v>2.65</v>
      </c>
      <c r="R17" s="17">
        <v>17.05</v>
      </c>
      <c r="S17" s="17">
        <v>2.6</v>
      </c>
      <c r="T17" s="16">
        <f t="shared" si="0"/>
        <v>4688.75</v>
      </c>
      <c r="U17" s="18">
        <v>-4132.51</v>
      </c>
      <c r="V17" s="19">
        <f t="shared" si="1"/>
        <v>-0.88136710210610514</v>
      </c>
      <c r="W17" s="19">
        <f t="shared" si="2"/>
        <v>-0.84750733137829914</v>
      </c>
      <c r="X17" s="19">
        <f t="shared" si="3"/>
        <v>0.72434017595307898</v>
      </c>
      <c r="Y17" s="12" t="s">
        <v>95</v>
      </c>
      <c r="Z17" s="12" t="s">
        <v>70</v>
      </c>
      <c r="AA17" s="18">
        <v>-4132.51</v>
      </c>
      <c r="AB17" s="17">
        <v>-5.1840000000000002</v>
      </c>
      <c r="AC17" s="12" t="s">
        <v>71</v>
      </c>
      <c r="AD17" s="12" t="str">
        <f t="shared" si="4"/>
        <v>Rs 2+</v>
      </c>
      <c r="AE17" s="20">
        <v>1</v>
      </c>
    </row>
    <row r="18" spans="1:31" x14ac:dyDescent="0.3">
      <c r="A18" s="12" t="s">
        <v>99</v>
      </c>
      <c r="B18" s="12" t="s">
        <v>95</v>
      </c>
      <c r="C18" s="12" t="s">
        <v>88</v>
      </c>
      <c r="D18" s="12" t="s">
        <v>68</v>
      </c>
      <c r="E18" s="13">
        <v>12.8</v>
      </c>
      <c r="F18" s="13">
        <v>5</v>
      </c>
      <c r="G18" s="13">
        <v>11.8</v>
      </c>
      <c r="H18" s="14">
        <v>542.6</v>
      </c>
      <c r="I18" s="12" t="s">
        <v>69</v>
      </c>
      <c r="J18" s="14">
        <v>510</v>
      </c>
      <c r="K18" s="15">
        <v>3</v>
      </c>
      <c r="L18" s="16">
        <v>775</v>
      </c>
      <c r="M18" s="16">
        <v>810</v>
      </c>
      <c r="N18" s="17">
        <v>9.0500000000000007</v>
      </c>
      <c r="O18" s="17">
        <v>9.0500000000000007</v>
      </c>
      <c r="P18" s="17">
        <v>2.5499999999999998</v>
      </c>
      <c r="Q18" s="17">
        <v>3.15</v>
      </c>
      <c r="R18" s="17">
        <v>9.1</v>
      </c>
      <c r="S18" s="17">
        <v>3.1</v>
      </c>
      <c r="T18" s="16">
        <f t="shared" si="0"/>
        <v>7052.5</v>
      </c>
      <c r="U18" s="18">
        <v>-4894.08</v>
      </c>
      <c r="V18" s="19">
        <f t="shared" si="1"/>
        <v>-0.69394966323998586</v>
      </c>
      <c r="W18" s="19">
        <f t="shared" si="2"/>
        <v>-0.65934065934065933</v>
      </c>
      <c r="X18" s="19">
        <f t="shared" si="3"/>
        <v>-5.494505494505364E-3</v>
      </c>
      <c r="Y18" s="12" t="s">
        <v>95</v>
      </c>
      <c r="Z18" s="12" t="s">
        <v>70</v>
      </c>
      <c r="AA18" s="18">
        <v>-4894.08</v>
      </c>
      <c r="AB18" s="17">
        <v>-2.9510000000000001</v>
      </c>
      <c r="AC18" s="12" t="s">
        <v>71</v>
      </c>
      <c r="AD18" s="12" t="str">
        <f t="shared" si="4"/>
        <v>Rs 2+</v>
      </c>
      <c r="AE18" s="20">
        <v>1</v>
      </c>
    </row>
    <row r="19" spans="1:31" x14ac:dyDescent="0.3">
      <c r="A19" s="12" t="s">
        <v>100</v>
      </c>
      <c r="B19" s="12" t="s">
        <v>101</v>
      </c>
      <c r="C19" s="12" t="s">
        <v>95</v>
      </c>
      <c r="D19" s="12" t="s">
        <v>68</v>
      </c>
      <c r="E19" s="13">
        <v>36.6</v>
      </c>
      <c r="F19" s="13">
        <v>8.9</v>
      </c>
      <c r="G19" s="13">
        <v>19.600000000000001</v>
      </c>
      <c r="H19" s="14">
        <v>98.35</v>
      </c>
      <c r="I19" s="12" t="s">
        <v>69</v>
      </c>
      <c r="J19" s="14">
        <v>98</v>
      </c>
      <c r="K19" s="15">
        <v>0</v>
      </c>
      <c r="L19" s="16">
        <v>4825</v>
      </c>
      <c r="M19" s="16">
        <v>786</v>
      </c>
      <c r="N19" s="17">
        <v>1.25</v>
      </c>
      <c r="O19" s="17">
        <v>1.25</v>
      </c>
      <c r="P19" s="17">
        <v>0.2</v>
      </c>
      <c r="Q19" s="17">
        <v>0.3</v>
      </c>
      <c r="R19" s="17">
        <v>1.3</v>
      </c>
      <c r="S19" s="17">
        <v>0.25</v>
      </c>
      <c r="T19" s="16">
        <f t="shared" si="0"/>
        <v>6272.5</v>
      </c>
      <c r="U19" s="18">
        <v>-5268.18</v>
      </c>
      <c r="V19" s="19">
        <f t="shared" si="1"/>
        <v>-0.83988521323236354</v>
      </c>
      <c r="W19" s="19">
        <f t="shared" si="2"/>
        <v>-0.80769230769230771</v>
      </c>
      <c r="X19" s="19">
        <f t="shared" si="3"/>
        <v>-3.8461538461538547E-2</v>
      </c>
      <c r="Y19" s="12" t="s">
        <v>101</v>
      </c>
      <c r="Z19" s="12" t="s">
        <v>70</v>
      </c>
      <c r="AA19" s="18">
        <v>-5268.18</v>
      </c>
      <c r="AB19" s="17">
        <v>-4.29</v>
      </c>
      <c r="AC19" s="12" t="s">
        <v>102</v>
      </c>
      <c r="AD19" s="12" t="str">
        <f t="shared" si="4"/>
        <v>Rs 1-2</v>
      </c>
      <c r="AE19" s="20">
        <v>1</v>
      </c>
    </row>
    <row r="20" spans="1:31" x14ac:dyDescent="0.3">
      <c r="A20" s="12" t="s">
        <v>103</v>
      </c>
      <c r="B20" s="12" t="s">
        <v>101</v>
      </c>
      <c r="C20" s="12" t="s">
        <v>95</v>
      </c>
      <c r="D20" s="12" t="s">
        <v>68</v>
      </c>
      <c r="E20" s="13">
        <v>298.2</v>
      </c>
      <c r="F20" s="13">
        <v>365.9</v>
      </c>
      <c r="G20" s="13">
        <v>18.399999999999999</v>
      </c>
      <c r="H20" s="14">
        <v>602.6</v>
      </c>
      <c r="I20" s="12" t="s">
        <v>69</v>
      </c>
      <c r="J20" s="14">
        <v>560</v>
      </c>
      <c r="K20" s="15">
        <v>4</v>
      </c>
      <c r="L20" s="16">
        <v>1700</v>
      </c>
      <c r="M20" s="16">
        <v>4856</v>
      </c>
      <c r="N20" s="17">
        <v>4</v>
      </c>
      <c r="O20" s="17">
        <v>53</v>
      </c>
      <c r="P20" s="17">
        <v>3.25</v>
      </c>
      <c r="Q20" s="17">
        <v>29.55</v>
      </c>
      <c r="R20" s="17">
        <v>4.05</v>
      </c>
      <c r="S20" s="17">
        <v>29.5</v>
      </c>
      <c r="T20" s="16">
        <f t="shared" si="0"/>
        <v>6885</v>
      </c>
      <c r="U20" s="18">
        <v>41407.32</v>
      </c>
      <c r="V20" s="19">
        <f t="shared" si="1"/>
        <v>6.0141350762527237</v>
      </c>
      <c r="W20" s="19">
        <f t="shared" si="2"/>
        <v>6.283950617283951</v>
      </c>
      <c r="X20" s="19">
        <f t="shared" si="3"/>
        <v>12.086419753086421</v>
      </c>
      <c r="Y20" s="12" t="s">
        <v>104</v>
      </c>
      <c r="Z20" s="12" t="s">
        <v>84</v>
      </c>
      <c r="AA20" s="18">
        <v>21987.66</v>
      </c>
      <c r="AB20" s="17">
        <v>12.352</v>
      </c>
      <c r="AC20" s="12" t="s">
        <v>71</v>
      </c>
      <c r="AD20" s="12" t="str">
        <f t="shared" si="4"/>
        <v>Rs 2+</v>
      </c>
      <c r="AE20" s="20">
        <v>1</v>
      </c>
    </row>
    <row r="21" spans="1:31" x14ac:dyDescent="0.3">
      <c r="A21" s="12" t="s">
        <v>105</v>
      </c>
      <c r="B21" s="12" t="s">
        <v>101</v>
      </c>
      <c r="C21" s="12" t="s">
        <v>106</v>
      </c>
      <c r="D21" s="12" t="s">
        <v>68</v>
      </c>
      <c r="E21" s="13">
        <v>87</v>
      </c>
      <c r="F21" s="13">
        <v>123.3</v>
      </c>
      <c r="G21" s="13">
        <v>39.299999999999997</v>
      </c>
      <c r="H21" s="14">
        <v>1099.55</v>
      </c>
      <c r="I21" s="12" t="s">
        <v>69</v>
      </c>
      <c r="J21" s="14">
        <v>1060</v>
      </c>
      <c r="K21" s="15">
        <v>2</v>
      </c>
      <c r="L21" s="16">
        <v>450</v>
      </c>
      <c r="M21" s="16">
        <v>1987</v>
      </c>
      <c r="N21" s="17">
        <v>3.1</v>
      </c>
      <c r="O21" s="17">
        <v>17.649999999999999</v>
      </c>
      <c r="P21" s="17">
        <v>3.1</v>
      </c>
      <c r="Q21" s="17">
        <v>7.45</v>
      </c>
      <c r="R21" s="17">
        <v>3.15</v>
      </c>
      <c r="S21" s="17">
        <v>7.4</v>
      </c>
      <c r="T21" s="16">
        <f t="shared" si="0"/>
        <v>1417.5</v>
      </c>
      <c r="U21" s="18">
        <v>1810.81</v>
      </c>
      <c r="V21" s="19">
        <f t="shared" si="1"/>
        <v>1.2774673721340388</v>
      </c>
      <c r="W21" s="19">
        <f t="shared" si="2"/>
        <v>1.3492063492063493</v>
      </c>
      <c r="X21" s="19">
        <f t="shared" si="3"/>
        <v>4.6031746031746028</v>
      </c>
      <c r="Y21" s="12" t="s">
        <v>96</v>
      </c>
      <c r="Z21" s="12" t="s">
        <v>70</v>
      </c>
      <c r="AA21" s="18">
        <v>-723.62</v>
      </c>
      <c r="AB21" s="17">
        <v>-0.318</v>
      </c>
      <c r="AC21" s="12" t="s">
        <v>71</v>
      </c>
      <c r="AD21" s="12" t="str">
        <f t="shared" si="4"/>
        <v>Rs 2+</v>
      </c>
      <c r="AE21" s="20">
        <v>1</v>
      </c>
    </row>
    <row r="22" spans="1:31" x14ac:dyDescent="0.3">
      <c r="A22" s="12" t="s">
        <v>107</v>
      </c>
      <c r="B22" s="12" t="s">
        <v>101</v>
      </c>
      <c r="C22" s="12" t="s">
        <v>95</v>
      </c>
      <c r="D22" s="12" t="s">
        <v>68</v>
      </c>
      <c r="E22" s="13">
        <v>73.400000000000006</v>
      </c>
      <c r="F22" s="13">
        <v>50.9</v>
      </c>
      <c r="G22" s="13">
        <v>15</v>
      </c>
      <c r="H22" s="14">
        <v>527.45000000000005</v>
      </c>
      <c r="I22" s="12" t="s">
        <v>69</v>
      </c>
      <c r="J22" s="14">
        <v>520</v>
      </c>
      <c r="K22" s="15">
        <v>1</v>
      </c>
      <c r="L22" s="16">
        <v>750</v>
      </c>
      <c r="M22" s="16">
        <v>6357</v>
      </c>
      <c r="N22" s="17">
        <v>8.0500000000000007</v>
      </c>
      <c r="O22" s="17">
        <v>15.4</v>
      </c>
      <c r="P22" s="17">
        <v>5.95</v>
      </c>
      <c r="Q22" s="17">
        <v>13.7</v>
      </c>
      <c r="R22" s="17">
        <v>8.1</v>
      </c>
      <c r="S22" s="17">
        <v>13.65</v>
      </c>
      <c r="T22" s="16">
        <f t="shared" si="0"/>
        <v>6075</v>
      </c>
      <c r="U22" s="18">
        <v>3929.77</v>
      </c>
      <c r="V22" s="19">
        <f t="shared" si="1"/>
        <v>0.64687572016460904</v>
      </c>
      <c r="W22" s="19">
        <f t="shared" si="2"/>
        <v>0.68518518518518534</v>
      </c>
      <c r="X22" s="19">
        <f t="shared" si="3"/>
        <v>0.9012345679012348</v>
      </c>
      <c r="Y22" s="12" t="s">
        <v>96</v>
      </c>
      <c r="Z22" s="12" t="s">
        <v>70</v>
      </c>
      <c r="AA22" s="18">
        <v>-3814.29</v>
      </c>
      <c r="AB22" s="17">
        <v>2.71</v>
      </c>
      <c r="AC22" s="12" t="s">
        <v>71</v>
      </c>
      <c r="AD22" s="12" t="str">
        <f t="shared" si="4"/>
        <v>Rs 2+</v>
      </c>
      <c r="AE22" s="20">
        <v>1</v>
      </c>
    </row>
    <row r="23" spans="1:31" x14ac:dyDescent="0.3">
      <c r="A23" s="12" t="s">
        <v>108</v>
      </c>
      <c r="B23" s="12" t="s">
        <v>101</v>
      </c>
      <c r="C23" s="12" t="s">
        <v>95</v>
      </c>
      <c r="D23" s="12" t="s">
        <v>68</v>
      </c>
      <c r="E23" s="13">
        <v>13.5</v>
      </c>
      <c r="F23" s="13">
        <v>11</v>
      </c>
      <c r="G23" s="13">
        <v>2.8</v>
      </c>
      <c r="H23" s="14">
        <v>3248.4</v>
      </c>
      <c r="I23" s="12" t="s">
        <v>69</v>
      </c>
      <c r="J23" s="14">
        <v>3200</v>
      </c>
      <c r="K23" s="15">
        <v>1</v>
      </c>
      <c r="L23" s="16">
        <v>250</v>
      </c>
      <c r="M23" s="16">
        <v>1540</v>
      </c>
      <c r="N23" s="17">
        <v>20</v>
      </c>
      <c r="O23" s="17">
        <v>33.6</v>
      </c>
      <c r="P23" s="17">
        <v>8.3000000000000007</v>
      </c>
      <c r="Q23" s="17">
        <v>10.5</v>
      </c>
      <c r="R23" s="17">
        <v>20.05</v>
      </c>
      <c r="S23" s="17">
        <v>10.45</v>
      </c>
      <c r="T23" s="16">
        <f t="shared" si="0"/>
        <v>5012.5</v>
      </c>
      <c r="U23" s="18">
        <v>-2530.73</v>
      </c>
      <c r="V23" s="19">
        <f t="shared" si="1"/>
        <v>-0.50488379052369081</v>
      </c>
      <c r="W23" s="19">
        <f t="shared" si="2"/>
        <v>-0.47880299251870329</v>
      </c>
      <c r="X23" s="19">
        <f t="shared" si="3"/>
        <v>0.67581047381546133</v>
      </c>
      <c r="Y23" s="12" t="s">
        <v>101</v>
      </c>
      <c r="Z23" s="12" t="s">
        <v>70</v>
      </c>
      <c r="AA23" s="18">
        <v>-2530.73</v>
      </c>
      <c r="AB23" s="17">
        <v>-2.7</v>
      </c>
      <c r="AC23" s="12" t="s">
        <v>71</v>
      </c>
      <c r="AD23" s="12" t="str">
        <f t="shared" si="4"/>
        <v>Rs 2+</v>
      </c>
      <c r="AE23" s="20">
        <v>1</v>
      </c>
    </row>
    <row r="24" spans="1:31" x14ac:dyDescent="0.3">
      <c r="A24" s="12" t="s">
        <v>109</v>
      </c>
      <c r="B24" s="12" t="s">
        <v>101</v>
      </c>
      <c r="C24" s="12" t="s">
        <v>106</v>
      </c>
      <c r="D24" s="12" t="s">
        <v>68</v>
      </c>
      <c r="E24" s="13">
        <v>155.30000000000001</v>
      </c>
      <c r="F24" s="13">
        <v>9.3000000000000007</v>
      </c>
      <c r="G24" s="13">
        <v>12.1</v>
      </c>
      <c r="H24" s="14">
        <v>18.239999999999998</v>
      </c>
      <c r="I24" s="12" t="s">
        <v>69</v>
      </c>
      <c r="J24" s="14">
        <v>17</v>
      </c>
      <c r="K24" s="15">
        <v>1</v>
      </c>
      <c r="L24" s="16">
        <v>26000</v>
      </c>
      <c r="M24" s="16">
        <v>587</v>
      </c>
      <c r="N24" s="17">
        <v>0.1</v>
      </c>
      <c r="O24" s="17">
        <v>0.2</v>
      </c>
      <c r="P24" s="17">
        <v>0.05</v>
      </c>
      <c r="Q24" s="17">
        <v>0.05</v>
      </c>
      <c r="R24" s="17">
        <v>0.15</v>
      </c>
      <c r="S24" s="17">
        <v>0</v>
      </c>
      <c r="T24" s="16">
        <f t="shared" si="0"/>
        <v>3900</v>
      </c>
      <c r="U24" s="18">
        <v>-4003.36</v>
      </c>
      <c r="V24" s="19">
        <f t="shared" si="1"/>
        <v>-1.0265025641025642</v>
      </c>
      <c r="W24" s="19">
        <f t="shared" si="2"/>
        <v>-1</v>
      </c>
      <c r="X24" s="19">
        <f t="shared" si="3"/>
        <v>0.33333333333333348</v>
      </c>
      <c r="Y24" s="12" t="s">
        <v>101</v>
      </c>
      <c r="Z24" s="12" t="s">
        <v>70</v>
      </c>
      <c r="AA24" s="18">
        <v>-4003.36</v>
      </c>
      <c r="AB24" s="17">
        <v>0.751</v>
      </c>
      <c r="AC24" s="12" t="s">
        <v>102</v>
      </c>
      <c r="AD24" s="12" t="str">
        <f t="shared" si="4"/>
        <v>under Rs 1</v>
      </c>
      <c r="AE24" s="20">
        <v>1</v>
      </c>
    </row>
    <row r="25" spans="1:31" x14ac:dyDescent="0.3">
      <c r="A25" s="12" t="s">
        <v>110</v>
      </c>
      <c r="B25" s="12" t="s">
        <v>96</v>
      </c>
      <c r="C25" s="12" t="s">
        <v>101</v>
      </c>
      <c r="D25" s="12" t="s">
        <v>68</v>
      </c>
      <c r="E25" s="13">
        <v>11.2</v>
      </c>
      <c r="F25" s="13">
        <v>0.6</v>
      </c>
      <c r="G25" s="13">
        <v>7.9</v>
      </c>
      <c r="H25" s="14">
        <v>91.95</v>
      </c>
      <c r="I25" s="12" t="s">
        <v>69</v>
      </c>
      <c r="J25" s="14">
        <v>92</v>
      </c>
      <c r="K25" s="15">
        <v>0</v>
      </c>
      <c r="L25" s="16">
        <v>6750</v>
      </c>
      <c r="M25" s="16">
        <v>3580</v>
      </c>
      <c r="N25" s="17">
        <v>0.75</v>
      </c>
      <c r="O25" s="17">
        <v>2.2000000000000002</v>
      </c>
      <c r="P25" s="17">
        <v>0.35</v>
      </c>
      <c r="Q25" s="17">
        <v>1.1000000000000001</v>
      </c>
      <c r="R25" s="17">
        <v>0.8</v>
      </c>
      <c r="S25" s="17">
        <v>1.05</v>
      </c>
      <c r="T25" s="16">
        <f t="shared" si="0"/>
        <v>5400</v>
      </c>
      <c r="U25" s="18">
        <v>1499.38</v>
      </c>
      <c r="V25" s="19">
        <f t="shared" si="1"/>
        <v>0.277662962962963</v>
      </c>
      <c r="W25" s="19">
        <f t="shared" si="2"/>
        <v>0.3125</v>
      </c>
      <c r="X25" s="19">
        <f t="shared" si="3"/>
        <v>1.75</v>
      </c>
      <c r="Y25" s="12" t="s">
        <v>104</v>
      </c>
      <c r="Z25" s="12" t="s">
        <v>111</v>
      </c>
      <c r="AA25" s="18">
        <v>832.41</v>
      </c>
      <c r="AB25" s="17">
        <v>2.0059999999999998</v>
      </c>
      <c r="AC25" s="12" t="s">
        <v>102</v>
      </c>
      <c r="AD25" s="12" t="str">
        <f t="shared" si="4"/>
        <v>under Rs 1</v>
      </c>
      <c r="AE25" s="20">
        <v>1</v>
      </c>
    </row>
    <row r="26" spans="1:31" x14ac:dyDescent="0.3">
      <c r="A26" s="12" t="s">
        <v>112</v>
      </c>
      <c r="B26" s="12" t="s">
        <v>96</v>
      </c>
      <c r="C26" s="12" t="s">
        <v>101</v>
      </c>
      <c r="D26" s="12" t="s">
        <v>77</v>
      </c>
      <c r="E26" s="13">
        <v>-43.4</v>
      </c>
      <c r="F26" s="13">
        <v>-61.1</v>
      </c>
      <c r="G26" s="13">
        <v>-3</v>
      </c>
      <c r="H26" s="14">
        <v>126.35</v>
      </c>
      <c r="I26" s="12" t="s">
        <v>69</v>
      </c>
      <c r="J26" s="14">
        <v>128</v>
      </c>
      <c r="K26" s="15">
        <v>2</v>
      </c>
      <c r="L26" s="16">
        <v>5500</v>
      </c>
      <c r="M26" s="16">
        <v>6983</v>
      </c>
      <c r="N26" s="17">
        <v>1.35</v>
      </c>
      <c r="O26" s="17">
        <v>3.05</v>
      </c>
      <c r="P26" s="17">
        <v>0.8</v>
      </c>
      <c r="Q26" s="17">
        <v>1.6</v>
      </c>
      <c r="R26" s="17">
        <v>1.4</v>
      </c>
      <c r="S26" s="17">
        <v>1.55</v>
      </c>
      <c r="T26" s="16">
        <f t="shared" si="0"/>
        <v>7699.9999999999991</v>
      </c>
      <c r="U26" s="18">
        <v>595.70000000000005</v>
      </c>
      <c r="V26" s="19">
        <f t="shared" si="1"/>
        <v>7.7363636363636384E-2</v>
      </c>
      <c r="W26" s="19">
        <f t="shared" si="2"/>
        <v>0.10714285714285721</v>
      </c>
      <c r="X26" s="19">
        <f t="shared" si="3"/>
        <v>1.1785714285714284</v>
      </c>
      <c r="Y26" s="12" t="s">
        <v>104</v>
      </c>
      <c r="Z26" s="12" t="s">
        <v>111</v>
      </c>
      <c r="AA26" s="18">
        <v>6573.6</v>
      </c>
      <c r="AB26" s="17">
        <v>1.78</v>
      </c>
      <c r="AC26" s="12" t="s">
        <v>102</v>
      </c>
      <c r="AD26" s="12" t="str">
        <f t="shared" si="4"/>
        <v>Rs 1-2</v>
      </c>
      <c r="AE26" s="20">
        <v>1</v>
      </c>
    </row>
    <row r="27" spans="1:31" x14ac:dyDescent="0.3">
      <c r="A27" s="12" t="s">
        <v>113</v>
      </c>
      <c r="B27" s="12" t="s">
        <v>104</v>
      </c>
      <c r="C27" s="12" t="s">
        <v>96</v>
      </c>
      <c r="D27" s="12" t="s">
        <v>77</v>
      </c>
      <c r="E27" s="13">
        <v>-11.5</v>
      </c>
      <c r="F27" s="13">
        <v>-14.5</v>
      </c>
      <c r="G27" s="13">
        <v>6.2</v>
      </c>
      <c r="H27" s="14">
        <v>29796.95</v>
      </c>
      <c r="I27" s="12" t="s">
        <v>114</v>
      </c>
      <c r="J27" s="14">
        <v>32000</v>
      </c>
      <c r="K27" s="15">
        <v>4</v>
      </c>
      <c r="L27" s="16">
        <v>25</v>
      </c>
      <c r="M27" s="16">
        <v>849</v>
      </c>
      <c r="N27" s="17">
        <v>124.4</v>
      </c>
      <c r="O27" s="17">
        <v>130.4</v>
      </c>
      <c r="P27" s="17">
        <v>77.05</v>
      </c>
      <c r="Q27" s="17">
        <v>94.85</v>
      </c>
      <c r="R27" s="17">
        <v>124.45</v>
      </c>
      <c r="S27" s="17">
        <v>94.8</v>
      </c>
      <c r="T27" s="16">
        <f t="shared" si="0"/>
        <v>3111.25</v>
      </c>
      <c r="U27" s="18">
        <v>-849.21</v>
      </c>
      <c r="V27" s="19">
        <f t="shared" si="1"/>
        <v>-0.27294817195660909</v>
      </c>
      <c r="W27" s="19">
        <f t="shared" si="2"/>
        <v>-0.23824829248694257</v>
      </c>
      <c r="X27" s="19">
        <f t="shared" si="3"/>
        <v>4.7810365608678129E-2</v>
      </c>
      <c r="Y27" s="12" t="s">
        <v>104</v>
      </c>
      <c r="Z27" s="12" t="s">
        <v>70</v>
      </c>
      <c r="AA27" s="18">
        <v>-849.21</v>
      </c>
      <c r="AB27" s="17">
        <v>-2.9119999999999999</v>
      </c>
      <c r="AC27" s="12" t="s">
        <v>71</v>
      </c>
      <c r="AD27" s="12" t="str">
        <f t="shared" si="4"/>
        <v>Rs 2+</v>
      </c>
      <c r="AE27" s="20">
        <v>1</v>
      </c>
    </row>
    <row r="28" spans="1:31" x14ac:dyDescent="0.3">
      <c r="A28" s="12" t="s">
        <v>115</v>
      </c>
      <c r="B28" s="12" t="s">
        <v>104</v>
      </c>
      <c r="C28" s="12" t="s">
        <v>96</v>
      </c>
      <c r="D28" s="12" t="s">
        <v>68</v>
      </c>
      <c r="E28" s="13">
        <v>47.4</v>
      </c>
      <c r="F28" s="13">
        <v>20.7</v>
      </c>
      <c r="G28" s="13">
        <v>7.1</v>
      </c>
      <c r="H28" s="14">
        <v>1420.55</v>
      </c>
      <c r="I28" s="12" t="s">
        <v>114</v>
      </c>
      <c r="J28" s="14">
        <v>1360</v>
      </c>
      <c r="K28" s="15">
        <v>3</v>
      </c>
      <c r="L28" s="16">
        <v>325</v>
      </c>
      <c r="M28" s="16">
        <v>489</v>
      </c>
      <c r="N28" s="17">
        <v>18.75</v>
      </c>
      <c r="O28" s="17">
        <v>25.85</v>
      </c>
      <c r="P28" s="17">
        <v>15.15</v>
      </c>
      <c r="Q28" s="17">
        <v>20.149999999999999</v>
      </c>
      <c r="R28" s="17">
        <v>18.8</v>
      </c>
      <c r="S28" s="17">
        <v>20.100000000000001</v>
      </c>
      <c r="T28" s="16">
        <f t="shared" si="0"/>
        <v>6110</v>
      </c>
      <c r="U28" s="18">
        <v>233.58</v>
      </c>
      <c r="V28" s="19">
        <f t="shared" si="1"/>
        <v>3.8229132569558101E-2</v>
      </c>
      <c r="W28" s="19">
        <f t="shared" si="2"/>
        <v>6.9148936170212894E-2</v>
      </c>
      <c r="X28" s="19">
        <f t="shared" si="3"/>
        <v>0.375</v>
      </c>
      <c r="Y28" s="12" t="s">
        <v>69</v>
      </c>
      <c r="Z28" s="12" t="s">
        <v>70</v>
      </c>
      <c r="AA28" s="18">
        <v>-2110.64</v>
      </c>
      <c r="AB28" s="17">
        <v>1.115</v>
      </c>
      <c r="AC28" s="12" t="s">
        <v>71</v>
      </c>
      <c r="AD28" s="12" t="str">
        <f t="shared" si="4"/>
        <v>Rs 2+</v>
      </c>
      <c r="AE28" s="20">
        <v>1</v>
      </c>
    </row>
    <row r="29" spans="1:31" x14ac:dyDescent="0.3">
      <c r="A29" s="12" t="s">
        <v>116</v>
      </c>
      <c r="B29" s="12" t="s">
        <v>104</v>
      </c>
      <c r="C29" s="12" t="s">
        <v>96</v>
      </c>
      <c r="D29" s="12" t="s">
        <v>77</v>
      </c>
      <c r="E29" s="13">
        <v>-32.200000000000003</v>
      </c>
      <c r="F29" s="13">
        <v>-82</v>
      </c>
      <c r="G29" s="13">
        <v>-4.0999999999999996</v>
      </c>
      <c r="H29" s="14">
        <v>504</v>
      </c>
      <c r="I29" s="12" t="s">
        <v>114</v>
      </c>
      <c r="J29" s="14">
        <v>550</v>
      </c>
      <c r="K29" s="15">
        <v>5</v>
      </c>
      <c r="L29" s="16">
        <v>750</v>
      </c>
      <c r="M29" s="16">
        <v>1163</v>
      </c>
      <c r="N29" s="17">
        <v>8</v>
      </c>
      <c r="O29" s="17">
        <v>10.45</v>
      </c>
      <c r="P29" s="17">
        <v>3.8</v>
      </c>
      <c r="Q29" s="17">
        <v>6.45</v>
      </c>
      <c r="R29" s="17">
        <v>8.0500000000000007</v>
      </c>
      <c r="S29" s="17">
        <v>6.4</v>
      </c>
      <c r="T29" s="16">
        <f t="shared" si="0"/>
        <v>6037.5000000000009</v>
      </c>
      <c r="U29" s="18">
        <v>-1405.03</v>
      </c>
      <c r="V29" s="19">
        <f t="shared" si="1"/>
        <v>-0.23271718426501031</v>
      </c>
      <c r="W29" s="19">
        <f t="shared" si="2"/>
        <v>-0.20496894409937894</v>
      </c>
      <c r="X29" s="19">
        <f t="shared" si="3"/>
        <v>0.29813664596273282</v>
      </c>
      <c r="Y29" s="12" t="s">
        <v>117</v>
      </c>
      <c r="Z29" s="12" t="s">
        <v>70</v>
      </c>
      <c r="AA29" s="18">
        <v>-3591.15</v>
      </c>
      <c r="AB29" s="17">
        <v>2.383</v>
      </c>
      <c r="AC29" s="12" t="s">
        <v>71</v>
      </c>
      <c r="AD29" s="12" t="str">
        <f t="shared" si="4"/>
        <v>Rs 2+</v>
      </c>
      <c r="AE29" s="20">
        <v>1</v>
      </c>
    </row>
    <row r="30" spans="1:31" x14ac:dyDescent="0.3">
      <c r="A30" s="12" t="s">
        <v>118</v>
      </c>
      <c r="B30" s="12" t="s">
        <v>104</v>
      </c>
      <c r="C30" s="12" t="s">
        <v>96</v>
      </c>
      <c r="D30" s="12" t="s">
        <v>77</v>
      </c>
      <c r="E30" s="13">
        <v>-30.2</v>
      </c>
      <c r="F30" s="13">
        <v>-5.2</v>
      </c>
      <c r="G30" s="13">
        <v>-0.1</v>
      </c>
      <c r="H30" s="14">
        <v>759.1</v>
      </c>
      <c r="I30" s="12" t="s">
        <v>114</v>
      </c>
      <c r="J30" s="14">
        <v>800</v>
      </c>
      <c r="K30" s="15">
        <v>8</v>
      </c>
      <c r="L30" s="16">
        <v>800</v>
      </c>
      <c r="M30" s="16">
        <v>1935</v>
      </c>
      <c r="N30" s="17">
        <v>9.5</v>
      </c>
      <c r="O30" s="17">
        <v>15.15</v>
      </c>
      <c r="P30" s="17">
        <v>5.0999999999999996</v>
      </c>
      <c r="Q30" s="17">
        <v>10.8</v>
      </c>
      <c r="R30" s="17">
        <v>9.5500000000000007</v>
      </c>
      <c r="S30" s="17">
        <v>10.75</v>
      </c>
      <c r="T30" s="16">
        <f t="shared" si="0"/>
        <v>7640.0000000000009</v>
      </c>
      <c r="U30" s="18">
        <v>568.04</v>
      </c>
      <c r="V30" s="19">
        <f t="shared" si="1"/>
        <v>7.4350785340314127E-2</v>
      </c>
      <c r="W30" s="19">
        <f t="shared" si="2"/>
        <v>0.12565445026178002</v>
      </c>
      <c r="X30" s="19">
        <f t="shared" si="3"/>
        <v>0.58638743455497377</v>
      </c>
      <c r="Y30" s="12" t="s">
        <v>119</v>
      </c>
      <c r="Z30" s="12" t="s">
        <v>84</v>
      </c>
      <c r="AA30" s="18">
        <v>19621.03</v>
      </c>
      <c r="AB30" s="17">
        <v>4.7320000000000002</v>
      </c>
      <c r="AC30" s="12" t="s">
        <v>71</v>
      </c>
      <c r="AD30" s="12" t="str">
        <f t="shared" si="4"/>
        <v>Rs 2+</v>
      </c>
      <c r="AE30" s="20">
        <v>1</v>
      </c>
    </row>
    <row r="31" spans="1:31" x14ac:dyDescent="0.3">
      <c r="A31" s="12" t="s">
        <v>120</v>
      </c>
      <c r="B31" s="12" t="s">
        <v>104</v>
      </c>
      <c r="C31" s="12" t="s">
        <v>96</v>
      </c>
      <c r="D31" s="12" t="s">
        <v>68</v>
      </c>
      <c r="E31" s="13">
        <v>19.600000000000001</v>
      </c>
      <c r="F31" s="13">
        <v>3.6</v>
      </c>
      <c r="G31" s="13">
        <v>10.1</v>
      </c>
      <c r="H31" s="14">
        <v>2335.8000000000002</v>
      </c>
      <c r="I31" s="12" t="s">
        <v>114</v>
      </c>
      <c r="J31" s="14">
        <v>2120</v>
      </c>
      <c r="K31" s="15">
        <v>11</v>
      </c>
      <c r="L31" s="16">
        <v>350</v>
      </c>
      <c r="M31" s="16">
        <v>93</v>
      </c>
      <c r="N31" s="17">
        <v>3.55</v>
      </c>
      <c r="O31" s="17">
        <v>14</v>
      </c>
      <c r="P31" s="17">
        <v>3.55</v>
      </c>
      <c r="Q31" s="17">
        <v>7.15</v>
      </c>
      <c r="R31" s="17">
        <v>3.6</v>
      </c>
      <c r="S31" s="17">
        <v>7.1</v>
      </c>
      <c r="T31" s="16">
        <f t="shared" si="0"/>
        <v>1260</v>
      </c>
      <c r="U31" s="18">
        <v>1135.01</v>
      </c>
      <c r="V31" s="19">
        <f t="shared" si="1"/>
        <v>0.90080158730158733</v>
      </c>
      <c r="W31" s="19">
        <f t="shared" si="2"/>
        <v>0.9722222222222221</v>
      </c>
      <c r="X31" s="19">
        <f t="shared" si="3"/>
        <v>2.8888888888888888</v>
      </c>
      <c r="Y31" s="12" t="s">
        <v>117</v>
      </c>
      <c r="Z31" s="12" t="s">
        <v>84</v>
      </c>
      <c r="AA31" s="18">
        <v>-161.85</v>
      </c>
      <c r="AB31" s="17">
        <v>-4.4829999999999997</v>
      </c>
      <c r="AC31" s="12" t="s">
        <v>71</v>
      </c>
      <c r="AD31" s="12" t="str">
        <f t="shared" si="4"/>
        <v>Rs 2+</v>
      </c>
      <c r="AE31" s="20">
        <v>1</v>
      </c>
    </row>
    <row r="32" spans="1:31" x14ac:dyDescent="0.3">
      <c r="A32" s="12" t="s">
        <v>121</v>
      </c>
      <c r="B32" s="12" t="s">
        <v>69</v>
      </c>
      <c r="C32" s="12" t="s">
        <v>104</v>
      </c>
      <c r="D32" s="12" t="s">
        <v>68</v>
      </c>
      <c r="E32" s="13">
        <v>140.5</v>
      </c>
      <c r="F32" s="13">
        <v>454.1</v>
      </c>
      <c r="G32" s="13">
        <v>14.8</v>
      </c>
      <c r="H32" s="14">
        <v>522.1</v>
      </c>
      <c r="I32" s="12" t="s">
        <v>114</v>
      </c>
      <c r="J32" s="14">
        <v>470</v>
      </c>
      <c r="K32" s="15">
        <v>10</v>
      </c>
      <c r="L32" s="16">
        <v>900</v>
      </c>
      <c r="M32" s="16">
        <v>757</v>
      </c>
      <c r="N32" s="17">
        <v>8.1999999999999993</v>
      </c>
      <c r="O32" s="17">
        <v>15.15</v>
      </c>
      <c r="P32" s="17">
        <v>7.5</v>
      </c>
      <c r="Q32" s="17">
        <v>7.95</v>
      </c>
      <c r="R32" s="17">
        <v>8.25</v>
      </c>
      <c r="S32" s="17">
        <v>7.9</v>
      </c>
      <c r="T32" s="16">
        <f t="shared" si="0"/>
        <v>7425</v>
      </c>
      <c r="U32" s="18">
        <v>-524.57000000000005</v>
      </c>
      <c r="V32" s="19">
        <f t="shared" si="1"/>
        <v>-7.0649158249158253E-2</v>
      </c>
      <c r="W32" s="19">
        <f t="shared" si="2"/>
        <v>-4.2424242424242364E-2</v>
      </c>
      <c r="X32" s="19">
        <f t="shared" si="3"/>
        <v>0.83636363636363642</v>
      </c>
      <c r="Y32" s="12" t="s">
        <v>122</v>
      </c>
      <c r="Z32" s="12" t="s">
        <v>70</v>
      </c>
      <c r="AA32" s="18">
        <v>-2258.63</v>
      </c>
      <c r="AB32" s="17">
        <v>3.5489999999999999</v>
      </c>
      <c r="AC32" s="12" t="s">
        <v>71</v>
      </c>
      <c r="AD32" s="12" t="str">
        <f t="shared" si="4"/>
        <v>Rs 2+</v>
      </c>
      <c r="AE32" s="20">
        <v>1</v>
      </c>
    </row>
    <row r="33" spans="1:31" x14ac:dyDescent="0.3">
      <c r="A33" s="12" t="s">
        <v>123</v>
      </c>
      <c r="B33" s="12" t="s">
        <v>69</v>
      </c>
      <c r="C33" s="12" t="s">
        <v>104</v>
      </c>
      <c r="D33" s="12" t="s">
        <v>68</v>
      </c>
      <c r="E33" s="13">
        <v>18.399999999999999</v>
      </c>
      <c r="F33" s="13">
        <v>7.3</v>
      </c>
      <c r="G33" s="13">
        <v>27.4</v>
      </c>
      <c r="H33" s="14">
        <v>7759.6</v>
      </c>
      <c r="I33" s="12" t="s">
        <v>114</v>
      </c>
      <c r="J33" s="14">
        <v>7100</v>
      </c>
      <c r="K33" s="15">
        <v>7</v>
      </c>
      <c r="L33" s="16">
        <v>125</v>
      </c>
      <c r="M33" s="16">
        <v>2181</v>
      </c>
      <c r="N33" s="17">
        <v>52.05</v>
      </c>
      <c r="O33" s="17">
        <v>52.05</v>
      </c>
      <c r="P33" s="17">
        <v>30.7</v>
      </c>
      <c r="Q33" s="17">
        <v>35.9</v>
      </c>
      <c r="R33" s="17">
        <v>52.1</v>
      </c>
      <c r="S33" s="17">
        <v>35.85</v>
      </c>
      <c r="T33" s="16">
        <f t="shared" si="0"/>
        <v>6512.5</v>
      </c>
      <c r="U33" s="18">
        <v>-2199.9299999999998</v>
      </c>
      <c r="V33" s="19">
        <f t="shared" si="1"/>
        <v>-0.33780115163147789</v>
      </c>
      <c r="W33" s="19">
        <f t="shared" si="2"/>
        <v>-0.31190019193857965</v>
      </c>
      <c r="X33" s="19">
        <f t="shared" si="3"/>
        <v>-9.5969289827257942E-4</v>
      </c>
      <c r="Y33" s="12" t="s">
        <v>69</v>
      </c>
      <c r="Z33" s="12" t="s">
        <v>70</v>
      </c>
      <c r="AA33" s="18">
        <v>-2199.9299999999998</v>
      </c>
      <c r="AB33" s="17">
        <v>-0.65600000000000003</v>
      </c>
      <c r="AC33" s="12" t="s">
        <v>71</v>
      </c>
      <c r="AD33" s="12" t="str">
        <f t="shared" si="4"/>
        <v>Rs 2+</v>
      </c>
      <c r="AE33" s="20">
        <v>1</v>
      </c>
    </row>
    <row r="34" spans="1:31" x14ac:dyDescent="0.3">
      <c r="A34" s="12" t="s">
        <v>124</v>
      </c>
      <c r="B34" s="12" t="s">
        <v>69</v>
      </c>
      <c r="C34" s="12" t="s">
        <v>104</v>
      </c>
      <c r="D34" s="12" t="s">
        <v>68</v>
      </c>
      <c r="E34" s="13">
        <v>40.200000000000003</v>
      </c>
      <c r="F34" s="13">
        <v>2.7</v>
      </c>
      <c r="G34" s="13">
        <v>27.6</v>
      </c>
      <c r="H34" s="14">
        <v>3945.2</v>
      </c>
      <c r="I34" s="12" t="s">
        <v>114</v>
      </c>
      <c r="J34" s="14">
        <v>3300</v>
      </c>
      <c r="K34" s="15">
        <v>6</v>
      </c>
      <c r="L34" s="16">
        <v>125</v>
      </c>
      <c r="M34" s="16">
        <v>232</v>
      </c>
      <c r="N34" s="17">
        <v>48.65</v>
      </c>
      <c r="O34" s="17">
        <v>101</v>
      </c>
      <c r="P34" s="17">
        <v>38</v>
      </c>
      <c r="Q34" s="17">
        <v>87.5</v>
      </c>
      <c r="R34" s="17">
        <v>48.7</v>
      </c>
      <c r="S34" s="17">
        <v>87.45</v>
      </c>
      <c r="T34" s="16">
        <f t="shared" si="0"/>
        <v>6087.5</v>
      </c>
      <c r="U34" s="18">
        <v>4262.26</v>
      </c>
      <c r="V34" s="19">
        <f t="shared" si="1"/>
        <v>0.70016591375770021</v>
      </c>
      <c r="W34" s="19">
        <f t="shared" si="2"/>
        <v>0.79568788501026688</v>
      </c>
      <c r="X34" s="19">
        <f t="shared" si="3"/>
        <v>1.0739219712525667</v>
      </c>
      <c r="Y34" s="12" t="s">
        <v>125</v>
      </c>
      <c r="Z34" s="12" t="s">
        <v>84</v>
      </c>
      <c r="AA34" s="18">
        <v>1279.3499999999999</v>
      </c>
      <c r="AB34" s="17">
        <v>8.7040000000000006</v>
      </c>
      <c r="AC34" s="12" t="s">
        <v>71</v>
      </c>
      <c r="AD34" s="12" t="str">
        <f t="shared" si="4"/>
        <v>Rs 2+</v>
      </c>
      <c r="AE34" s="20">
        <v>1</v>
      </c>
    </row>
    <row r="35" spans="1:31" x14ac:dyDescent="0.3">
      <c r="A35" s="12" t="s">
        <v>126</v>
      </c>
      <c r="B35" s="12" t="s">
        <v>69</v>
      </c>
      <c r="C35" s="12" t="s">
        <v>104</v>
      </c>
      <c r="D35" s="12" t="s">
        <v>68</v>
      </c>
      <c r="E35" s="13">
        <v>31.9</v>
      </c>
      <c r="F35" s="13">
        <v>3.9</v>
      </c>
      <c r="G35" s="13">
        <v>11</v>
      </c>
      <c r="H35" s="14">
        <v>544.75</v>
      </c>
      <c r="I35" s="12" t="s">
        <v>114</v>
      </c>
      <c r="J35" s="14">
        <v>480</v>
      </c>
      <c r="K35" s="15">
        <v>6</v>
      </c>
      <c r="L35" s="16">
        <v>950</v>
      </c>
      <c r="M35" s="16">
        <v>64</v>
      </c>
      <c r="N35" s="17">
        <v>5</v>
      </c>
      <c r="O35" s="17">
        <v>5.15</v>
      </c>
      <c r="P35" s="17">
        <v>3.55</v>
      </c>
      <c r="Q35" s="17">
        <v>4.4000000000000004</v>
      </c>
      <c r="R35" s="17">
        <v>5.05</v>
      </c>
      <c r="S35" s="17">
        <v>4.3499999999999996</v>
      </c>
      <c r="T35" s="16">
        <f t="shared" si="0"/>
        <v>4797.5</v>
      </c>
      <c r="U35" s="18">
        <v>-900.89</v>
      </c>
      <c r="V35" s="19">
        <f t="shared" si="1"/>
        <v>-0.18778322042730589</v>
      </c>
      <c r="W35" s="19">
        <f t="shared" si="2"/>
        <v>-0.13861386138613863</v>
      </c>
      <c r="X35" s="19">
        <f t="shared" si="3"/>
        <v>1.980198019801982E-2</v>
      </c>
      <c r="Y35" s="12" t="s">
        <v>122</v>
      </c>
      <c r="Z35" s="12" t="s">
        <v>70</v>
      </c>
      <c r="AA35" s="18">
        <v>-2341.11</v>
      </c>
      <c r="AB35" s="17">
        <v>0.755</v>
      </c>
      <c r="AC35" s="12" t="s">
        <v>71</v>
      </c>
      <c r="AD35" s="12" t="str">
        <f t="shared" si="4"/>
        <v>Rs 2+</v>
      </c>
      <c r="AE35" s="20">
        <v>1</v>
      </c>
    </row>
    <row r="36" spans="1:31" x14ac:dyDescent="0.3">
      <c r="A36" s="12" t="s">
        <v>127</v>
      </c>
      <c r="B36" s="12" t="s">
        <v>69</v>
      </c>
      <c r="C36" s="12" t="s">
        <v>104</v>
      </c>
      <c r="D36" s="12" t="s">
        <v>68</v>
      </c>
      <c r="E36" s="13">
        <v>16.2</v>
      </c>
      <c r="F36" s="13">
        <v>20.100000000000001</v>
      </c>
      <c r="G36" s="13">
        <v>15.7</v>
      </c>
      <c r="H36" s="14">
        <v>11977.8</v>
      </c>
      <c r="I36" s="12" t="s">
        <v>114</v>
      </c>
      <c r="J36" s="14">
        <v>11400</v>
      </c>
      <c r="K36" s="15">
        <v>6</v>
      </c>
      <c r="L36" s="16">
        <v>50</v>
      </c>
      <c r="M36" s="16">
        <v>532</v>
      </c>
      <c r="N36" s="17">
        <v>125.6</v>
      </c>
      <c r="O36" s="17">
        <v>159.15</v>
      </c>
      <c r="P36" s="17">
        <v>122</v>
      </c>
      <c r="Q36" s="17">
        <v>132.44999999999999</v>
      </c>
      <c r="R36" s="17">
        <v>125.65</v>
      </c>
      <c r="S36" s="17">
        <v>132.4</v>
      </c>
      <c r="T36" s="16">
        <f t="shared" si="0"/>
        <v>6282.5</v>
      </c>
      <c r="U36" s="18">
        <v>145.72999999999999</v>
      </c>
      <c r="V36" s="19">
        <f t="shared" si="1"/>
        <v>2.3196179864703539E-2</v>
      </c>
      <c r="W36" s="19">
        <f t="shared" si="2"/>
        <v>5.3720652606446428E-2</v>
      </c>
      <c r="X36" s="19">
        <f t="shared" si="3"/>
        <v>0.26661360923199373</v>
      </c>
      <c r="Y36" s="12" t="s">
        <v>122</v>
      </c>
      <c r="Z36" s="12" t="s">
        <v>70</v>
      </c>
      <c r="AA36" s="18">
        <v>-2697.46</v>
      </c>
      <c r="AB36" s="17">
        <v>0.17499999999999999</v>
      </c>
      <c r="AC36" s="12" t="s">
        <v>71</v>
      </c>
      <c r="AD36" s="12" t="str">
        <f t="shared" si="4"/>
        <v>Rs 2+</v>
      </c>
      <c r="AE36" s="20">
        <v>1</v>
      </c>
    </row>
    <row r="37" spans="1:31" x14ac:dyDescent="0.3">
      <c r="A37" s="12" t="s">
        <v>128</v>
      </c>
      <c r="B37" s="12" t="s">
        <v>122</v>
      </c>
      <c r="C37" s="12" t="s">
        <v>69</v>
      </c>
      <c r="D37" s="12" t="s">
        <v>77</v>
      </c>
      <c r="E37" s="13">
        <v>-88.4</v>
      </c>
      <c r="F37" s="13">
        <v>-88.5</v>
      </c>
      <c r="G37" s="13">
        <v>-19.399999999999999</v>
      </c>
      <c r="H37" s="14">
        <v>2252.6</v>
      </c>
      <c r="I37" s="12" t="s">
        <v>114</v>
      </c>
      <c r="J37" s="14">
        <v>2520</v>
      </c>
      <c r="K37" s="15">
        <v>13</v>
      </c>
      <c r="L37" s="16">
        <v>300</v>
      </c>
      <c r="M37" s="16">
        <v>686</v>
      </c>
      <c r="N37" s="17">
        <v>20.149999999999999</v>
      </c>
      <c r="O37" s="17">
        <v>31.65</v>
      </c>
      <c r="P37" s="17">
        <v>20.100000000000001</v>
      </c>
      <c r="Q37" s="17">
        <v>29.7</v>
      </c>
      <c r="R37" s="17">
        <v>20.2</v>
      </c>
      <c r="S37" s="17">
        <v>29.65</v>
      </c>
      <c r="T37" s="16">
        <f t="shared" si="0"/>
        <v>6060</v>
      </c>
      <c r="U37" s="18">
        <v>2618.44</v>
      </c>
      <c r="V37" s="19">
        <f t="shared" si="1"/>
        <v>0.4320858085808581</v>
      </c>
      <c r="W37" s="19">
        <f t="shared" si="2"/>
        <v>0.46782178217821779</v>
      </c>
      <c r="X37" s="19">
        <f t="shared" si="3"/>
        <v>0.56683168316831689</v>
      </c>
      <c r="Y37" s="12" t="s">
        <v>117</v>
      </c>
      <c r="Z37" s="12" t="s">
        <v>84</v>
      </c>
      <c r="AA37" s="18">
        <v>232.22</v>
      </c>
      <c r="AB37" s="17">
        <v>2.1859999999999999</v>
      </c>
      <c r="AC37" s="12" t="s">
        <v>71</v>
      </c>
      <c r="AD37" s="12" t="str">
        <f t="shared" si="4"/>
        <v>Rs 2+</v>
      </c>
      <c r="AE37" s="20">
        <v>1</v>
      </c>
    </row>
    <row r="38" spans="1:31" x14ac:dyDescent="0.3">
      <c r="A38" s="12" t="s">
        <v>129</v>
      </c>
      <c r="B38" s="12" t="s">
        <v>122</v>
      </c>
      <c r="C38" s="12" t="s">
        <v>69</v>
      </c>
      <c r="D38" s="12" t="s">
        <v>68</v>
      </c>
      <c r="E38" s="13">
        <v>14</v>
      </c>
      <c r="F38" s="13">
        <v>4.4000000000000004</v>
      </c>
      <c r="G38" s="13">
        <v>15.1</v>
      </c>
      <c r="H38" s="14">
        <v>1077.05</v>
      </c>
      <c r="I38" s="12" t="s">
        <v>114</v>
      </c>
      <c r="J38" s="14">
        <v>1000</v>
      </c>
      <c r="K38" s="15">
        <v>4</v>
      </c>
      <c r="L38" s="16">
        <v>400</v>
      </c>
      <c r="M38" s="16">
        <v>3327</v>
      </c>
      <c r="N38" s="17">
        <v>18.8</v>
      </c>
      <c r="O38" s="17">
        <v>19.2</v>
      </c>
      <c r="P38" s="17">
        <v>10.050000000000001</v>
      </c>
      <c r="Q38" s="17">
        <v>12.05</v>
      </c>
      <c r="R38" s="17">
        <v>18.850000000000001</v>
      </c>
      <c r="S38" s="17">
        <v>12</v>
      </c>
      <c r="T38" s="16">
        <f t="shared" si="0"/>
        <v>7540.0000000000009</v>
      </c>
      <c r="U38" s="18">
        <v>-2923.22</v>
      </c>
      <c r="V38" s="19">
        <f t="shared" si="1"/>
        <v>-0.38769496021220151</v>
      </c>
      <c r="W38" s="19">
        <f t="shared" si="2"/>
        <v>-0.36339522546419101</v>
      </c>
      <c r="X38" s="19">
        <f t="shared" si="3"/>
        <v>1.8567639257294211E-2</v>
      </c>
      <c r="Y38" s="12" t="s">
        <v>122</v>
      </c>
      <c r="Z38" s="12" t="s">
        <v>70</v>
      </c>
      <c r="AA38" s="18">
        <v>-2923.22</v>
      </c>
      <c r="AB38" s="17">
        <v>-1.323</v>
      </c>
      <c r="AC38" s="12" t="s">
        <v>71</v>
      </c>
      <c r="AD38" s="12" t="str">
        <f t="shared" si="4"/>
        <v>Rs 2+</v>
      </c>
      <c r="AE38" s="20">
        <v>1</v>
      </c>
    </row>
    <row r="39" spans="1:31" x14ac:dyDescent="0.3">
      <c r="A39" s="12" t="s">
        <v>130</v>
      </c>
      <c r="B39" s="12" t="s">
        <v>122</v>
      </c>
      <c r="C39" s="12" t="s">
        <v>69</v>
      </c>
      <c r="D39" s="12" t="s">
        <v>68</v>
      </c>
      <c r="E39" s="13">
        <v>52.5</v>
      </c>
      <c r="F39" s="13">
        <v>20</v>
      </c>
      <c r="G39" s="13">
        <v>38.6</v>
      </c>
      <c r="H39" s="14">
        <v>278.75</v>
      </c>
      <c r="I39" s="12" t="s">
        <v>114</v>
      </c>
      <c r="J39" s="14">
        <v>250</v>
      </c>
      <c r="K39" s="15">
        <v>6</v>
      </c>
      <c r="L39" s="16">
        <v>2850</v>
      </c>
      <c r="M39" s="16">
        <v>2380</v>
      </c>
      <c r="N39" s="17">
        <v>2.7</v>
      </c>
      <c r="O39" s="17">
        <v>3.45</v>
      </c>
      <c r="P39" s="17">
        <v>1.4</v>
      </c>
      <c r="Q39" s="17">
        <v>1.7</v>
      </c>
      <c r="R39" s="17">
        <v>2.75</v>
      </c>
      <c r="S39" s="17">
        <v>1.65</v>
      </c>
      <c r="T39" s="16">
        <f t="shared" si="0"/>
        <v>7837.5</v>
      </c>
      <c r="U39" s="18">
        <v>-3320.15</v>
      </c>
      <c r="V39" s="19">
        <f t="shared" si="1"/>
        <v>-0.42362360446570974</v>
      </c>
      <c r="W39" s="19">
        <f t="shared" si="2"/>
        <v>-0.4</v>
      </c>
      <c r="X39" s="19">
        <f t="shared" si="3"/>
        <v>0.25454545454545463</v>
      </c>
      <c r="Y39" s="12" t="s">
        <v>122</v>
      </c>
      <c r="Z39" s="12" t="s">
        <v>70</v>
      </c>
      <c r="AA39" s="18">
        <v>-3320.15</v>
      </c>
      <c r="AB39" s="17">
        <v>-3.0819999999999999</v>
      </c>
      <c r="AC39" s="12" t="s">
        <v>71</v>
      </c>
      <c r="AD39" s="12" t="str">
        <f t="shared" si="4"/>
        <v>Rs 2+</v>
      </c>
      <c r="AE39" s="20">
        <v>1</v>
      </c>
    </row>
    <row r="40" spans="1:31" x14ac:dyDescent="0.3">
      <c r="A40" s="12" t="s">
        <v>131</v>
      </c>
      <c r="B40" s="12" t="s">
        <v>122</v>
      </c>
      <c r="C40" s="12" t="s">
        <v>69</v>
      </c>
      <c r="D40" s="12" t="s">
        <v>68</v>
      </c>
      <c r="E40" s="13">
        <v>27.9</v>
      </c>
      <c r="F40" s="13">
        <v>51.8</v>
      </c>
      <c r="G40" s="13">
        <v>6.2</v>
      </c>
      <c r="H40" s="14">
        <v>167.1</v>
      </c>
      <c r="I40" s="12" t="s">
        <v>114</v>
      </c>
      <c r="J40" s="14">
        <v>155</v>
      </c>
      <c r="K40" s="15">
        <v>5</v>
      </c>
      <c r="L40" s="16">
        <v>2350</v>
      </c>
      <c r="M40" s="16">
        <v>872</v>
      </c>
      <c r="N40" s="17">
        <v>2.7</v>
      </c>
      <c r="O40" s="17">
        <v>2.8</v>
      </c>
      <c r="P40" s="17">
        <v>0.95</v>
      </c>
      <c r="Q40" s="17">
        <v>1</v>
      </c>
      <c r="R40" s="17">
        <v>2.75</v>
      </c>
      <c r="S40" s="17">
        <v>0.95</v>
      </c>
      <c r="T40" s="16">
        <f t="shared" si="0"/>
        <v>6462.5</v>
      </c>
      <c r="U40" s="18">
        <v>-4371.34</v>
      </c>
      <c r="V40" s="19">
        <f t="shared" si="1"/>
        <v>-0.67641624758220509</v>
      </c>
      <c r="W40" s="19">
        <f t="shared" si="2"/>
        <v>-0.65454545454545454</v>
      </c>
      <c r="X40" s="19">
        <f t="shared" si="3"/>
        <v>1.8181818181818077E-2</v>
      </c>
      <c r="Y40" s="12" t="s">
        <v>122</v>
      </c>
      <c r="Z40" s="12" t="s">
        <v>70</v>
      </c>
      <c r="AA40" s="18">
        <v>-4371.34</v>
      </c>
      <c r="AB40" s="17">
        <v>-4.6500000000000004</v>
      </c>
      <c r="AC40" s="12" t="s">
        <v>71</v>
      </c>
      <c r="AD40" s="12" t="str">
        <f t="shared" si="4"/>
        <v>Rs 2+</v>
      </c>
      <c r="AE40" s="20">
        <v>1</v>
      </c>
    </row>
    <row r="41" spans="1:31" x14ac:dyDescent="0.3">
      <c r="A41" s="12" t="s">
        <v>132</v>
      </c>
      <c r="B41" s="12" t="s">
        <v>122</v>
      </c>
      <c r="C41" s="12" t="s">
        <v>69</v>
      </c>
      <c r="D41" s="12" t="s">
        <v>68</v>
      </c>
      <c r="E41" s="13">
        <v>21.2</v>
      </c>
      <c r="F41" s="13">
        <v>67.8</v>
      </c>
      <c r="G41" s="13">
        <v>39.5</v>
      </c>
      <c r="H41" s="14">
        <v>440.65</v>
      </c>
      <c r="I41" s="12" t="s">
        <v>114</v>
      </c>
      <c r="J41" s="14">
        <v>360</v>
      </c>
      <c r="K41" s="15">
        <v>4</v>
      </c>
      <c r="L41" s="16">
        <v>775</v>
      </c>
      <c r="M41" s="16">
        <v>1567</v>
      </c>
      <c r="N41" s="17">
        <v>10</v>
      </c>
      <c r="O41" s="17">
        <v>10.75</v>
      </c>
      <c r="P41" s="17">
        <v>2.5499999999999998</v>
      </c>
      <c r="Q41" s="17">
        <v>2.95</v>
      </c>
      <c r="R41" s="17">
        <v>10.050000000000001</v>
      </c>
      <c r="S41" s="17">
        <v>2.9</v>
      </c>
      <c r="T41" s="16">
        <f t="shared" si="0"/>
        <v>7788.7500000000009</v>
      </c>
      <c r="U41" s="18">
        <v>-5797</v>
      </c>
      <c r="V41" s="19">
        <f t="shared" si="1"/>
        <v>-0.74427860696517401</v>
      </c>
      <c r="W41" s="19">
        <f t="shared" si="2"/>
        <v>-0.71144278606965172</v>
      </c>
      <c r="X41" s="19">
        <f t="shared" si="3"/>
        <v>6.9651741293532243E-2</v>
      </c>
      <c r="Y41" s="12" t="s">
        <v>122</v>
      </c>
      <c r="Z41" s="12" t="s">
        <v>70</v>
      </c>
      <c r="AA41" s="18">
        <v>-5797</v>
      </c>
      <c r="AB41" s="17">
        <v>-9.3580000000000005</v>
      </c>
      <c r="AC41" s="12" t="s">
        <v>71</v>
      </c>
      <c r="AD41" s="12" t="str">
        <f t="shared" si="4"/>
        <v>Rs 2+</v>
      </c>
      <c r="AE41" s="20">
        <v>1</v>
      </c>
    </row>
    <row r="42" spans="1:31" x14ac:dyDescent="0.3">
      <c r="A42" s="12" t="s">
        <v>133</v>
      </c>
      <c r="B42" s="12" t="s">
        <v>122</v>
      </c>
      <c r="C42" s="12" t="s">
        <v>69</v>
      </c>
      <c r="D42" s="12" t="s">
        <v>77</v>
      </c>
      <c r="E42" s="13">
        <v>-17.5</v>
      </c>
      <c r="F42" s="13">
        <v>-15.3</v>
      </c>
      <c r="G42" s="13">
        <v>40</v>
      </c>
      <c r="H42" s="14">
        <v>1043.8499999999999</v>
      </c>
      <c r="I42" s="12" t="s">
        <v>114</v>
      </c>
      <c r="J42" s="14">
        <v>1200</v>
      </c>
      <c r="K42" s="15">
        <v>8</v>
      </c>
      <c r="L42" s="16">
        <v>525</v>
      </c>
      <c r="M42" s="16">
        <v>330</v>
      </c>
      <c r="N42" s="17">
        <v>12</v>
      </c>
      <c r="O42" s="17">
        <v>12.4</v>
      </c>
      <c r="P42" s="17">
        <v>5.6</v>
      </c>
      <c r="Q42" s="17">
        <v>7.35</v>
      </c>
      <c r="R42" s="17">
        <v>12.05</v>
      </c>
      <c r="S42" s="17">
        <v>7.3</v>
      </c>
      <c r="T42" s="16">
        <f t="shared" si="0"/>
        <v>6326.25</v>
      </c>
      <c r="U42" s="18">
        <v>-2754.35</v>
      </c>
      <c r="V42" s="19">
        <f t="shared" si="1"/>
        <v>-0.43538431140090889</v>
      </c>
      <c r="W42" s="19">
        <f t="shared" si="2"/>
        <v>-0.39419087136929465</v>
      </c>
      <c r="X42" s="19">
        <f t="shared" si="3"/>
        <v>2.9045643153526868E-2</v>
      </c>
      <c r="Y42" s="12" t="s">
        <v>122</v>
      </c>
      <c r="Z42" s="12" t="s">
        <v>70</v>
      </c>
      <c r="AA42" s="18">
        <v>-2754.35</v>
      </c>
      <c r="AB42" s="17">
        <v>1.458</v>
      </c>
      <c r="AC42" s="12" t="s">
        <v>71</v>
      </c>
      <c r="AD42" s="12" t="str">
        <f t="shared" si="4"/>
        <v>Rs 2+</v>
      </c>
      <c r="AE42" s="20">
        <v>1</v>
      </c>
    </row>
    <row r="43" spans="1:31" x14ac:dyDescent="0.3">
      <c r="A43" s="12" t="s">
        <v>134</v>
      </c>
      <c r="B43" s="12" t="s">
        <v>122</v>
      </c>
      <c r="C43" s="12" t="s">
        <v>69</v>
      </c>
      <c r="D43" s="12" t="s">
        <v>68</v>
      </c>
      <c r="E43" s="13">
        <v>92.2</v>
      </c>
      <c r="F43" s="13">
        <v>40.299999999999997</v>
      </c>
      <c r="G43" s="13">
        <v>48.3</v>
      </c>
      <c r="H43" s="14">
        <v>1656.05</v>
      </c>
      <c r="I43" s="12" t="s">
        <v>114</v>
      </c>
      <c r="J43" s="14">
        <v>1450</v>
      </c>
      <c r="K43" s="15">
        <v>4</v>
      </c>
      <c r="L43" s="16">
        <v>325</v>
      </c>
      <c r="M43" s="16">
        <v>70</v>
      </c>
      <c r="N43" s="17">
        <v>22.3</v>
      </c>
      <c r="O43" s="17">
        <v>22.3</v>
      </c>
      <c r="P43" s="17">
        <v>10.4</v>
      </c>
      <c r="Q43" s="17">
        <v>10.4</v>
      </c>
      <c r="R43" s="17">
        <v>22.35</v>
      </c>
      <c r="S43" s="17">
        <v>10.35</v>
      </c>
      <c r="T43" s="16">
        <f t="shared" si="0"/>
        <v>7263.7500000000009</v>
      </c>
      <c r="U43" s="18">
        <v>-4169.5</v>
      </c>
      <c r="V43" s="19">
        <f t="shared" si="1"/>
        <v>-0.57401479951815515</v>
      </c>
      <c r="W43" s="19">
        <f t="shared" si="2"/>
        <v>-0.53691275167785246</v>
      </c>
      <c r="X43" s="19">
        <f t="shared" si="3"/>
        <v>-2.2371364653244186E-3</v>
      </c>
      <c r="Y43" s="12" t="s">
        <v>122</v>
      </c>
      <c r="Z43" s="12" t="s">
        <v>70</v>
      </c>
      <c r="AA43" s="18">
        <v>-4169.5</v>
      </c>
      <c r="AB43" s="17">
        <v>-2.786</v>
      </c>
      <c r="AC43" s="12" t="s">
        <v>71</v>
      </c>
      <c r="AD43" s="12" t="str">
        <f t="shared" si="4"/>
        <v>Rs 2+</v>
      </c>
      <c r="AE43" s="20">
        <v>1</v>
      </c>
    </row>
    <row r="44" spans="1:31" x14ac:dyDescent="0.3">
      <c r="A44" s="12" t="s">
        <v>135</v>
      </c>
      <c r="B44" s="12" t="s">
        <v>122</v>
      </c>
      <c r="C44" s="12" t="s">
        <v>69</v>
      </c>
      <c r="D44" s="12" t="s">
        <v>77</v>
      </c>
      <c r="E44" s="13">
        <v>-80.400000000000006</v>
      </c>
      <c r="F44" s="13">
        <v>-86.3</v>
      </c>
      <c r="G44" s="13">
        <v>-7.9</v>
      </c>
      <c r="H44" s="14">
        <v>1342.35</v>
      </c>
      <c r="I44" s="12" t="s">
        <v>114</v>
      </c>
      <c r="J44" s="14">
        <v>1500</v>
      </c>
      <c r="K44" s="15">
        <v>3</v>
      </c>
      <c r="L44" s="16">
        <v>325</v>
      </c>
      <c r="M44" s="16">
        <v>947</v>
      </c>
      <c r="N44" s="17">
        <v>13.65</v>
      </c>
      <c r="O44" s="17">
        <v>26.85</v>
      </c>
      <c r="P44" s="17">
        <v>13.65</v>
      </c>
      <c r="Q44" s="17">
        <v>21.2</v>
      </c>
      <c r="R44" s="17">
        <v>13.7</v>
      </c>
      <c r="S44" s="17">
        <v>21.15</v>
      </c>
      <c r="T44" s="16">
        <f t="shared" si="0"/>
        <v>4452.5</v>
      </c>
      <c r="U44" s="18">
        <v>2132.3200000000002</v>
      </c>
      <c r="V44" s="19">
        <f t="shared" si="1"/>
        <v>0.47890398652442451</v>
      </c>
      <c r="W44" s="19">
        <f t="shared" si="2"/>
        <v>0.54379562043795615</v>
      </c>
      <c r="X44" s="19">
        <f t="shared" si="3"/>
        <v>0.95985401459854036</v>
      </c>
      <c r="Y44" s="12" t="s">
        <v>125</v>
      </c>
      <c r="Z44" s="12" t="s">
        <v>84</v>
      </c>
      <c r="AA44" s="18">
        <v>4341.5600000000004</v>
      </c>
      <c r="AB44" s="17">
        <v>5.8920000000000003</v>
      </c>
      <c r="AC44" s="12" t="s">
        <v>71</v>
      </c>
      <c r="AD44" s="12" t="str">
        <f t="shared" si="4"/>
        <v>Rs 2+</v>
      </c>
      <c r="AE44" s="20">
        <v>1</v>
      </c>
    </row>
    <row r="45" spans="1:31" x14ac:dyDescent="0.3">
      <c r="A45" s="12" t="s">
        <v>136</v>
      </c>
      <c r="B45" s="12" t="s">
        <v>117</v>
      </c>
      <c r="C45" s="12" t="s">
        <v>122</v>
      </c>
      <c r="D45" s="12" t="s">
        <v>77</v>
      </c>
      <c r="E45" s="13">
        <v>-41.8</v>
      </c>
      <c r="F45" s="13">
        <v>-54.5</v>
      </c>
      <c r="G45" s="13">
        <v>17.399999999999999</v>
      </c>
      <c r="H45" s="14">
        <v>151.4</v>
      </c>
      <c r="I45" s="12" t="s">
        <v>114</v>
      </c>
      <c r="J45" s="14">
        <v>162.5</v>
      </c>
      <c r="K45" s="15">
        <v>4</v>
      </c>
      <c r="L45" s="16">
        <v>2800</v>
      </c>
      <c r="M45" s="16">
        <v>984</v>
      </c>
      <c r="N45" s="17">
        <v>2.2999999999999998</v>
      </c>
      <c r="O45" s="17">
        <v>3.2</v>
      </c>
      <c r="P45" s="17">
        <v>1.65</v>
      </c>
      <c r="Q45" s="17">
        <v>2.25</v>
      </c>
      <c r="R45" s="17">
        <v>2.35</v>
      </c>
      <c r="S45" s="17">
        <v>2.2000000000000002</v>
      </c>
      <c r="T45" s="16">
        <f t="shared" si="0"/>
        <v>6580</v>
      </c>
      <c r="U45" s="18">
        <v>-864.21</v>
      </c>
      <c r="V45" s="19">
        <f t="shared" si="1"/>
        <v>-0.13133890577507598</v>
      </c>
      <c r="W45" s="19">
        <f t="shared" si="2"/>
        <v>-6.3829787234042534E-2</v>
      </c>
      <c r="X45" s="19">
        <f t="shared" si="3"/>
        <v>0.36170212765957444</v>
      </c>
      <c r="Y45" s="12" t="s">
        <v>137</v>
      </c>
      <c r="Z45" s="12" t="s">
        <v>70</v>
      </c>
      <c r="AA45" s="18">
        <v>-3710.35</v>
      </c>
      <c r="AB45" s="17">
        <v>7.0000000000000001E-3</v>
      </c>
      <c r="AC45" s="12" t="s">
        <v>71</v>
      </c>
      <c r="AD45" s="12" t="str">
        <f t="shared" si="4"/>
        <v>Rs 2+</v>
      </c>
      <c r="AE45" s="20">
        <v>1</v>
      </c>
    </row>
    <row r="46" spans="1:31" x14ac:dyDescent="0.3">
      <c r="A46" s="12" t="s">
        <v>138</v>
      </c>
      <c r="B46" s="12" t="s">
        <v>117</v>
      </c>
      <c r="C46" s="12" t="s">
        <v>122</v>
      </c>
      <c r="D46" s="12" t="s">
        <v>68</v>
      </c>
      <c r="E46" s="13">
        <v>24.8</v>
      </c>
      <c r="F46" s="13">
        <v>12.4</v>
      </c>
      <c r="G46" s="13">
        <v>34.5</v>
      </c>
      <c r="H46" s="14">
        <v>1285.8499999999999</v>
      </c>
      <c r="I46" s="12" t="s">
        <v>114</v>
      </c>
      <c r="J46" s="14">
        <v>1100</v>
      </c>
      <c r="K46" s="15">
        <v>9</v>
      </c>
      <c r="L46" s="16">
        <v>625</v>
      </c>
      <c r="M46" s="16">
        <v>750</v>
      </c>
      <c r="N46" s="17">
        <v>7</v>
      </c>
      <c r="O46" s="17">
        <v>11.1</v>
      </c>
      <c r="P46" s="17">
        <v>3</v>
      </c>
      <c r="Q46" s="17">
        <v>3.85</v>
      </c>
      <c r="R46" s="17">
        <v>7.05</v>
      </c>
      <c r="S46" s="17">
        <v>3.8</v>
      </c>
      <c r="T46" s="16">
        <f t="shared" si="0"/>
        <v>4406.25</v>
      </c>
      <c r="U46" s="18">
        <v>-2152.79</v>
      </c>
      <c r="V46" s="19">
        <f t="shared" si="1"/>
        <v>-0.4885764539007092</v>
      </c>
      <c r="W46" s="19">
        <f t="shared" si="2"/>
        <v>-0.46099290780141844</v>
      </c>
      <c r="X46" s="19">
        <f t="shared" si="3"/>
        <v>0.57446808510638303</v>
      </c>
      <c r="Y46" s="12" t="s">
        <v>117</v>
      </c>
      <c r="Z46" s="12" t="s">
        <v>70</v>
      </c>
      <c r="AA46" s="18">
        <v>-2152.79</v>
      </c>
      <c r="AB46" s="17">
        <v>2.3719999999999999</v>
      </c>
      <c r="AC46" s="12" t="s">
        <v>71</v>
      </c>
      <c r="AD46" s="12" t="str">
        <f t="shared" si="4"/>
        <v>Rs 2+</v>
      </c>
      <c r="AE46" s="20">
        <v>1</v>
      </c>
    </row>
    <row r="47" spans="1:31" x14ac:dyDescent="0.3">
      <c r="A47" s="12" t="s">
        <v>139</v>
      </c>
      <c r="B47" s="12" t="s">
        <v>117</v>
      </c>
      <c r="C47" s="12" t="s">
        <v>122</v>
      </c>
      <c r="D47" s="12" t="s">
        <v>68</v>
      </c>
      <c r="E47" s="13">
        <v>22.8</v>
      </c>
      <c r="F47" s="13">
        <v>8.1</v>
      </c>
      <c r="G47" s="13">
        <v>3.9</v>
      </c>
      <c r="H47" s="14">
        <v>598.1</v>
      </c>
      <c r="I47" s="12" t="s">
        <v>114</v>
      </c>
      <c r="J47" s="14">
        <v>550</v>
      </c>
      <c r="K47" s="15">
        <v>5</v>
      </c>
      <c r="L47" s="16">
        <v>1000</v>
      </c>
      <c r="M47" s="16">
        <v>1078</v>
      </c>
      <c r="N47" s="17">
        <v>6</v>
      </c>
      <c r="O47" s="17">
        <v>9.1999999999999993</v>
      </c>
      <c r="P47" s="17">
        <v>4.0999999999999996</v>
      </c>
      <c r="Q47" s="17">
        <v>6.35</v>
      </c>
      <c r="R47" s="17">
        <v>6.05</v>
      </c>
      <c r="S47" s="17">
        <v>6.3</v>
      </c>
      <c r="T47" s="16">
        <f t="shared" si="0"/>
        <v>6050</v>
      </c>
      <c r="U47" s="18">
        <v>-59.03</v>
      </c>
      <c r="V47" s="19">
        <f t="shared" si="1"/>
        <v>-9.7570247933884292E-3</v>
      </c>
      <c r="W47" s="19">
        <f t="shared" si="2"/>
        <v>4.1322314049586861E-2</v>
      </c>
      <c r="X47" s="19">
        <f t="shared" si="3"/>
        <v>0.52066115702479321</v>
      </c>
      <c r="Y47" s="12" t="s">
        <v>125</v>
      </c>
      <c r="Z47" s="12" t="s">
        <v>84</v>
      </c>
      <c r="AA47" s="18">
        <v>1114.67</v>
      </c>
      <c r="AB47" s="17">
        <v>2.387</v>
      </c>
      <c r="AC47" s="12" t="s">
        <v>71</v>
      </c>
      <c r="AD47" s="12" t="str">
        <f t="shared" si="4"/>
        <v>Rs 2+</v>
      </c>
      <c r="AE47" s="20">
        <v>1</v>
      </c>
    </row>
    <row r="48" spans="1:31" x14ac:dyDescent="0.3">
      <c r="A48" s="12" t="s">
        <v>140</v>
      </c>
      <c r="B48" s="12" t="s">
        <v>117</v>
      </c>
      <c r="C48" s="12" t="s">
        <v>122</v>
      </c>
      <c r="D48" s="12" t="s">
        <v>68</v>
      </c>
      <c r="E48" s="13">
        <v>97.3</v>
      </c>
      <c r="F48" s="13">
        <v>1.8</v>
      </c>
      <c r="G48" s="13">
        <v>14.5</v>
      </c>
      <c r="H48" s="14">
        <v>101.2</v>
      </c>
      <c r="I48" s="12" t="s">
        <v>114</v>
      </c>
      <c r="J48" s="14">
        <v>92</v>
      </c>
      <c r="K48" s="15">
        <v>9</v>
      </c>
      <c r="L48" s="16">
        <v>8000</v>
      </c>
      <c r="M48" s="16">
        <v>258</v>
      </c>
      <c r="N48" s="17">
        <v>0.95</v>
      </c>
      <c r="O48" s="17">
        <v>1.45</v>
      </c>
      <c r="P48" s="17">
        <v>0.9</v>
      </c>
      <c r="Q48" s="17">
        <v>1.05</v>
      </c>
      <c r="R48" s="17">
        <v>1</v>
      </c>
      <c r="S48" s="17">
        <v>1</v>
      </c>
      <c r="T48" s="16">
        <f t="shared" si="0"/>
        <v>8000</v>
      </c>
      <c r="U48" s="18">
        <v>-226.16</v>
      </c>
      <c r="V48" s="19">
        <f t="shared" si="1"/>
        <v>-2.827E-2</v>
      </c>
      <c r="W48" s="19">
        <f t="shared" si="2"/>
        <v>0</v>
      </c>
      <c r="X48" s="19">
        <f t="shared" si="3"/>
        <v>0.44999999999999996</v>
      </c>
      <c r="Y48" s="12" t="s">
        <v>125</v>
      </c>
      <c r="Z48" s="12" t="s">
        <v>84</v>
      </c>
      <c r="AA48" s="18">
        <v>-1807.09</v>
      </c>
      <c r="AB48" s="17">
        <v>2.5880000000000001</v>
      </c>
      <c r="AC48" s="12" t="s">
        <v>102</v>
      </c>
      <c r="AD48" s="12" t="str">
        <f t="shared" si="4"/>
        <v>Rs 1-2</v>
      </c>
      <c r="AE48" s="20">
        <v>1</v>
      </c>
    </row>
    <row r="49" spans="1:31" x14ac:dyDescent="0.3">
      <c r="A49" s="12" t="s">
        <v>141</v>
      </c>
      <c r="B49" s="12" t="s">
        <v>125</v>
      </c>
      <c r="C49" s="12" t="s">
        <v>137</v>
      </c>
      <c r="D49" s="12" t="s">
        <v>68</v>
      </c>
      <c r="E49" s="13">
        <v>64.5</v>
      </c>
      <c r="F49" s="13">
        <v>15.5</v>
      </c>
      <c r="G49" s="13">
        <v>25</v>
      </c>
      <c r="H49" s="14">
        <v>5884.3</v>
      </c>
      <c r="I49" s="12" t="s">
        <v>114</v>
      </c>
      <c r="J49" s="14">
        <v>5700</v>
      </c>
      <c r="K49" s="15">
        <v>4</v>
      </c>
      <c r="L49" s="16">
        <v>100</v>
      </c>
      <c r="M49" s="16">
        <v>2708</v>
      </c>
      <c r="N49" s="17">
        <v>75.95</v>
      </c>
      <c r="O49" s="17">
        <v>83.25</v>
      </c>
      <c r="P49" s="17">
        <v>34.450000000000003</v>
      </c>
      <c r="Q49" s="17">
        <v>40.65</v>
      </c>
      <c r="R49" s="17">
        <v>76</v>
      </c>
      <c r="S49" s="17">
        <v>40.6</v>
      </c>
      <c r="T49" s="16">
        <f t="shared" si="0"/>
        <v>7600</v>
      </c>
      <c r="U49" s="18">
        <v>-3715.02</v>
      </c>
      <c r="V49" s="19">
        <f t="shared" si="1"/>
        <v>-0.48881842105263157</v>
      </c>
      <c r="W49" s="19">
        <f t="shared" si="2"/>
        <v>-0.46578947368421053</v>
      </c>
      <c r="X49" s="19">
        <f t="shared" si="3"/>
        <v>9.539473684210531E-2</v>
      </c>
      <c r="Y49" s="12" t="s">
        <v>125</v>
      </c>
      <c r="Z49" s="12" t="s">
        <v>70</v>
      </c>
      <c r="AA49" s="18">
        <v>-3715.02</v>
      </c>
      <c r="AB49" s="17">
        <v>-0.76500000000000001</v>
      </c>
      <c r="AC49" s="12" t="s">
        <v>71</v>
      </c>
      <c r="AD49" s="12" t="str">
        <f t="shared" si="4"/>
        <v>Rs 2+</v>
      </c>
      <c r="AE49" s="20">
        <v>1</v>
      </c>
    </row>
    <row r="50" spans="1:31" x14ac:dyDescent="0.3">
      <c r="A50" s="12" t="s">
        <v>142</v>
      </c>
      <c r="B50" s="12" t="s">
        <v>125</v>
      </c>
      <c r="C50" s="12" t="s">
        <v>137</v>
      </c>
      <c r="D50" s="12" t="s">
        <v>77</v>
      </c>
      <c r="E50" s="13">
        <v>-66</v>
      </c>
      <c r="F50" s="13">
        <v>-6.4</v>
      </c>
      <c r="G50" s="13">
        <v>14.7</v>
      </c>
      <c r="H50" s="14">
        <v>3044.8</v>
      </c>
      <c r="I50" s="12" t="s">
        <v>114</v>
      </c>
      <c r="J50" s="14">
        <v>3400</v>
      </c>
      <c r="K50" s="15">
        <v>7</v>
      </c>
      <c r="L50" s="16">
        <v>150</v>
      </c>
      <c r="M50" s="16">
        <v>493</v>
      </c>
      <c r="N50" s="17">
        <v>43.05</v>
      </c>
      <c r="O50" s="17">
        <v>52.7</v>
      </c>
      <c r="P50" s="17">
        <v>19.5</v>
      </c>
      <c r="Q50" s="17">
        <v>21.4</v>
      </c>
      <c r="R50" s="17">
        <v>43.1</v>
      </c>
      <c r="S50" s="17">
        <v>21.35</v>
      </c>
      <c r="T50" s="16">
        <f t="shared" si="0"/>
        <v>6465</v>
      </c>
      <c r="U50" s="18">
        <v>-3512.11</v>
      </c>
      <c r="V50" s="19">
        <f t="shared" si="1"/>
        <v>-0.54324980665119882</v>
      </c>
      <c r="W50" s="19">
        <f t="shared" si="2"/>
        <v>-0.50464037122969829</v>
      </c>
      <c r="X50" s="19">
        <f t="shared" si="3"/>
        <v>0.22273781902552203</v>
      </c>
      <c r="Y50" s="12" t="s">
        <v>125</v>
      </c>
      <c r="Z50" s="12" t="s">
        <v>70</v>
      </c>
      <c r="AA50" s="18">
        <v>-3512.11</v>
      </c>
      <c r="AB50" s="17">
        <v>0.112</v>
      </c>
      <c r="AC50" s="12" t="s">
        <v>71</v>
      </c>
      <c r="AD50" s="12" t="str">
        <f t="shared" si="4"/>
        <v>Rs 2+</v>
      </c>
      <c r="AE50" s="20">
        <v>1</v>
      </c>
    </row>
    <row r="51" spans="1:31" x14ac:dyDescent="0.3">
      <c r="A51" s="12" t="s">
        <v>143</v>
      </c>
      <c r="B51" s="12" t="s">
        <v>119</v>
      </c>
      <c r="C51" s="12" t="s">
        <v>125</v>
      </c>
      <c r="D51" s="12" t="s">
        <v>77</v>
      </c>
      <c r="E51" s="13">
        <v>-59.2</v>
      </c>
      <c r="F51" s="13">
        <v>-49.9</v>
      </c>
      <c r="G51" s="13">
        <v>-27.8</v>
      </c>
      <c r="H51" s="14">
        <v>1100.8499999999999</v>
      </c>
      <c r="I51" s="12" t="s">
        <v>114</v>
      </c>
      <c r="J51" s="14">
        <v>1280</v>
      </c>
      <c r="K51" s="15">
        <v>8</v>
      </c>
      <c r="L51" s="16">
        <v>800</v>
      </c>
      <c r="M51" s="16">
        <v>1764</v>
      </c>
      <c r="N51" s="17">
        <v>7.8</v>
      </c>
      <c r="O51" s="17">
        <v>10</v>
      </c>
      <c r="P51" s="17">
        <v>2.9</v>
      </c>
      <c r="Q51" s="17">
        <v>3.2</v>
      </c>
      <c r="R51" s="17">
        <v>7.85</v>
      </c>
      <c r="S51" s="17">
        <v>3.15</v>
      </c>
      <c r="T51" s="16">
        <f t="shared" si="0"/>
        <v>6280</v>
      </c>
      <c r="U51" s="18">
        <v>-3990.87</v>
      </c>
      <c r="V51" s="19">
        <f t="shared" si="1"/>
        <v>-0.63548885350318474</v>
      </c>
      <c r="W51" s="19">
        <f t="shared" si="2"/>
        <v>-0.59872611464968151</v>
      </c>
      <c r="X51" s="19">
        <f t="shared" si="3"/>
        <v>0.2738853503184715</v>
      </c>
      <c r="Y51" s="12" t="s">
        <v>119</v>
      </c>
      <c r="Z51" s="12" t="s">
        <v>70</v>
      </c>
      <c r="AA51" s="18">
        <v>-3990.87</v>
      </c>
      <c r="AB51" s="17">
        <v>-1.28</v>
      </c>
      <c r="AC51" s="12" t="s">
        <v>71</v>
      </c>
      <c r="AD51" s="12" t="str">
        <f t="shared" si="4"/>
        <v>Rs 2+</v>
      </c>
      <c r="AE51" s="20">
        <v>1</v>
      </c>
    </row>
    <row r="52" spans="1:31" x14ac:dyDescent="0.3">
      <c r="A52" s="12" t="s">
        <v>144</v>
      </c>
      <c r="B52" s="12" t="s">
        <v>119</v>
      </c>
      <c r="C52" s="12" t="s">
        <v>125</v>
      </c>
      <c r="D52" s="12" t="s">
        <v>68</v>
      </c>
      <c r="E52" s="13">
        <v>10.4</v>
      </c>
      <c r="F52" s="13">
        <v>8.6</v>
      </c>
      <c r="G52" s="13">
        <v>5.0999999999999996</v>
      </c>
      <c r="H52" s="14">
        <v>362.05</v>
      </c>
      <c r="I52" s="12" t="s">
        <v>114</v>
      </c>
      <c r="J52" s="14">
        <v>350</v>
      </c>
      <c r="K52" s="15">
        <v>2</v>
      </c>
      <c r="L52" s="16">
        <v>1350</v>
      </c>
      <c r="M52" s="16">
        <v>5052</v>
      </c>
      <c r="N52" s="17">
        <v>5.85</v>
      </c>
      <c r="O52" s="17">
        <v>6</v>
      </c>
      <c r="P52" s="17">
        <v>2.95</v>
      </c>
      <c r="Q52" s="17">
        <v>5.0999999999999996</v>
      </c>
      <c r="R52" s="17">
        <v>5.9</v>
      </c>
      <c r="S52" s="17">
        <v>5.05</v>
      </c>
      <c r="T52" s="16">
        <f t="shared" si="0"/>
        <v>7965.0000000000009</v>
      </c>
      <c r="U52" s="18">
        <v>-1359.22</v>
      </c>
      <c r="V52" s="19">
        <f t="shared" si="1"/>
        <v>-0.17064908976773382</v>
      </c>
      <c r="W52" s="19">
        <f t="shared" si="2"/>
        <v>-0.14406779661016955</v>
      </c>
      <c r="X52" s="19">
        <f t="shared" si="3"/>
        <v>1.6949152542372836E-2</v>
      </c>
      <c r="Y52" s="12" t="s">
        <v>145</v>
      </c>
      <c r="Z52" s="12" t="s">
        <v>70</v>
      </c>
      <c r="AA52" s="18">
        <v>-1892.77</v>
      </c>
      <c r="AB52" s="17">
        <v>6.8000000000000005E-2</v>
      </c>
      <c r="AC52" s="12" t="s">
        <v>71</v>
      </c>
      <c r="AD52" s="12" t="str">
        <f t="shared" si="4"/>
        <v>Rs 2+</v>
      </c>
      <c r="AE52" s="20">
        <v>1</v>
      </c>
    </row>
    <row r="53" spans="1:31" x14ac:dyDescent="0.3">
      <c r="A53" s="12" t="s">
        <v>146</v>
      </c>
      <c r="B53" s="12" t="s">
        <v>145</v>
      </c>
      <c r="C53" s="12" t="s">
        <v>119</v>
      </c>
      <c r="D53" s="12" t="s">
        <v>68</v>
      </c>
      <c r="E53" s="13">
        <v>11.9</v>
      </c>
      <c r="F53" s="13">
        <v>24.3</v>
      </c>
      <c r="G53" s="13">
        <v>21.8</v>
      </c>
      <c r="H53" s="14">
        <v>2921.15</v>
      </c>
      <c r="I53" s="12" t="s">
        <v>114</v>
      </c>
      <c r="J53" s="14">
        <v>2850</v>
      </c>
      <c r="K53" s="15">
        <v>1</v>
      </c>
      <c r="L53" s="16">
        <v>150</v>
      </c>
      <c r="M53" s="16">
        <v>1621</v>
      </c>
      <c r="N53" s="17">
        <v>50</v>
      </c>
      <c r="O53" s="17">
        <v>74.3</v>
      </c>
      <c r="P53" s="17">
        <v>45.05</v>
      </c>
      <c r="Q53" s="17">
        <v>56.8</v>
      </c>
      <c r="R53" s="17">
        <v>50.05</v>
      </c>
      <c r="S53" s="17">
        <v>56.75</v>
      </c>
      <c r="T53" s="16">
        <f t="shared" si="0"/>
        <v>7507.5</v>
      </c>
      <c r="U53" s="18">
        <v>777.86</v>
      </c>
      <c r="V53" s="19">
        <f t="shared" si="1"/>
        <v>0.10361105561105562</v>
      </c>
      <c r="W53" s="19">
        <f t="shared" si="2"/>
        <v>0.133866133866134</v>
      </c>
      <c r="X53" s="19">
        <f t="shared" si="3"/>
        <v>0.48451548451548465</v>
      </c>
      <c r="Y53" s="12" t="s">
        <v>147</v>
      </c>
      <c r="Z53" s="12" t="s">
        <v>84</v>
      </c>
      <c r="AA53" s="18">
        <v>2245.16</v>
      </c>
      <c r="AB53" s="17">
        <v>3.3220000000000001</v>
      </c>
      <c r="AC53" s="12" t="s">
        <v>71</v>
      </c>
      <c r="AD53" s="12" t="str">
        <f t="shared" si="4"/>
        <v>Rs 2+</v>
      </c>
      <c r="AE53" s="20">
        <v>1</v>
      </c>
    </row>
    <row r="54" spans="1:31" x14ac:dyDescent="0.3">
      <c r="A54" s="12" t="s">
        <v>148</v>
      </c>
      <c r="B54" s="12" t="s">
        <v>145</v>
      </c>
      <c r="C54" s="12" t="s">
        <v>119</v>
      </c>
      <c r="D54" s="12" t="s">
        <v>68</v>
      </c>
      <c r="E54" s="13">
        <v>141.5</v>
      </c>
      <c r="F54" s="13">
        <v>240.4</v>
      </c>
      <c r="G54" s="13">
        <v>15.2</v>
      </c>
      <c r="H54" s="14">
        <v>7941.15</v>
      </c>
      <c r="I54" s="12" t="s">
        <v>114</v>
      </c>
      <c r="J54" s="14">
        <v>7700</v>
      </c>
      <c r="K54" s="15">
        <v>2</v>
      </c>
      <c r="L54" s="16">
        <v>75</v>
      </c>
      <c r="M54" s="16">
        <v>1612</v>
      </c>
      <c r="N54" s="17">
        <v>97.1</v>
      </c>
      <c r="O54" s="17">
        <v>129.80000000000001</v>
      </c>
      <c r="P54" s="17">
        <v>72.400000000000006</v>
      </c>
      <c r="Q54" s="17">
        <v>101</v>
      </c>
      <c r="R54" s="17">
        <v>97.15</v>
      </c>
      <c r="S54" s="17">
        <v>100.95</v>
      </c>
      <c r="T54" s="16">
        <f t="shared" si="0"/>
        <v>7286.25</v>
      </c>
      <c r="U54" s="18">
        <v>71.38</v>
      </c>
      <c r="V54" s="19">
        <f t="shared" si="1"/>
        <v>9.7965345685366266E-3</v>
      </c>
      <c r="W54" s="19">
        <f t="shared" si="2"/>
        <v>3.9114770972722646E-2</v>
      </c>
      <c r="X54" s="19">
        <f t="shared" si="3"/>
        <v>0.33607822954194555</v>
      </c>
      <c r="Y54" s="12" t="s">
        <v>149</v>
      </c>
      <c r="Z54" s="12" t="s">
        <v>84</v>
      </c>
      <c r="AA54" s="18">
        <v>8371.26</v>
      </c>
      <c r="AB54" s="17">
        <v>0.60199999999999998</v>
      </c>
      <c r="AC54" s="12" t="s">
        <v>71</v>
      </c>
      <c r="AD54" s="12" t="str">
        <f t="shared" si="4"/>
        <v>Rs 2+</v>
      </c>
      <c r="AE54" s="20">
        <v>1</v>
      </c>
    </row>
    <row r="55" spans="1:31" x14ac:dyDescent="0.3">
      <c r="A55" s="12" t="s">
        <v>150</v>
      </c>
      <c r="B55" s="12" t="s">
        <v>145</v>
      </c>
      <c r="C55" s="12" t="s">
        <v>119</v>
      </c>
      <c r="D55" s="12" t="s">
        <v>68</v>
      </c>
      <c r="E55" s="13">
        <v>34.299999999999997</v>
      </c>
      <c r="F55" s="13">
        <v>4.8</v>
      </c>
      <c r="G55" s="13">
        <v>6.9</v>
      </c>
      <c r="H55" s="14">
        <v>45795.199999999997</v>
      </c>
      <c r="I55" s="12" t="s">
        <v>114</v>
      </c>
      <c r="J55" s="14">
        <v>42000</v>
      </c>
      <c r="K55" s="15">
        <v>8</v>
      </c>
      <c r="L55" s="16">
        <v>15</v>
      </c>
      <c r="M55" s="16">
        <v>7709</v>
      </c>
      <c r="N55" s="17">
        <v>375</v>
      </c>
      <c r="O55" s="17">
        <v>791.2</v>
      </c>
      <c r="P55" s="17">
        <v>375</v>
      </c>
      <c r="Q55" s="17">
        <v>657.8</v>
      </c>
      <c r="R55" s="17">
        <v>375.05</v>
      </c>
      <c r="S55" s="17">
        <v>657.75</v>
      </c>
      <c r="T55" s="16">
        <f t="shared" si="0"/>
        <v>5625.75</v>
      </c>
      <c r="U55" s="18">
        <v>3861.97</v>
      </c>
      <c r="V55" s="19">
        <f t="shared" si="1"/>
        <v>0.68648091365595698</v>
      </c>
      <c r="W55" s="19">
        <f t="shared" si="2"/>
        <v>0.75376616451139844</v>
      </c>
      <c r="X55" s="19">
        <f t="shared" si="3"/>
        <v>1.1095853886148515</v>
      </c>
      <c r="Y55" s="12" t="s">
        <v>151</v>
      </c>
      <c r="Z55" s="12" t="s">
        <v>84</v>
      </c>
      <c r="AA55" s="18">
        <v>7846.68</v>
      </c>
      <c r="AB55" s="17">
        <v>3.1669999999999998</v>
      </c>
      <c r="AC55" s="12" t="s">
        <v>71</v>
      </c>
      <c r="AD55" s="12" t="str">
        <f t="shared" si="4"/>
        <v>Rs 2+</v>
      </c>
      <c r="AE55" s="20">
        <v>1</v>
      </c>
    </row>
    <row r="56" spans="1:31" x14ac:dyDescent="0.3">
      <c r="A56" s="12" t="s">
        <v>152</v>
      </c>
      <c r="B56" s="12" t="s">
        <v>145</v>
      </c>
      <c r="C56" s="12" t="s">
        <v>119</v>
      </c>
      <c r="D56" s="12" t="s">
        <v>68</v>
      </c>
      <c r="E56" s="13">
        <v>52.1</v>
      </c>
      <c r="F56" s="13">
        <v>11.1</v>
      </c>
      <c r="G56" s="13">
        <v>38.1</v>
      </c>
      <c r="H56" s="14">
        <v>9653.65</v>
      </c>
      <c r="I56" s="12" t="s">
        <v>114</v>
      </c>
      <c r="J56" s="14">
        <v>8500</v>
      </c>
      <c r="K56" s="15">
        <v>12</v>
      </c>
      <c r="L56" s="16">
        <v>75</v>
      </c>
      <c r="M56" s="16">
        <v>751</v>
      </c>
      <c r="N56" s="17">
        <v>60</v>
      </c>
      <c r="O56" s="17">
        <v>244.9</v>
      </c>
      <c r="P56" s="17">
        <v>60</v>
      </c>
      <c r="Q56" s="17">
        <v>168.05</v>
      </c>
      <c r="R56" s="17">
        <v>60.05</v>
      </c>
      <c r="S56" s="17">
        <v>168</v>
      </c>
      <c r="T56" s="16">
        <f t="shared" si="0"/>
        <v>4503.75</v>
      </c>
      <c r="U56" s="18">
        <v>7680.74</v>
      </c>
      <c r="V56" s="19">
        <f t="shared" si="1"/>
        <v>1.7054099361643076</v>
      </c>
      <c r="W56" s="19">
        <f t="shared" si="2"/>
        <v>1.79766860949209</v>
      </c>
      <c r="X56" s="19">
        <f t="shared" si="3"/>
        <v>3.0782681099084099</v>
      </c>
      <c r="Y56" s="12" t="s">
        <v>153</v>
      </c>
      <c r="Z56" s="12" t="s">
        <v>84</v>
      </c>
      <c r="AA56" s="18">
        <v>3275.72</v>
      </c>
      <c r="AB56" s="17">
        <v>6.99</v>
      </c>
      <c r="AC56" s="12" t="s">
        <v>71</v>
      </c>
      <c r="AD56" s="12" t="str">
        <f t="shared" si="4"/>
        <v>Rs 2+</v>
      </c>
      <c r="AE56" s="20">
        <v>1</v>
      </c>
    </row>
    <row r="57" spans="1:31" x14ac:dyDescent="0.3">
      <c r="A57" s="12" t="s">
        <v>154</v>
      </c>
      <c r="B57" s="12" t="s">
        <v>145</v>
      </c>
      <c r="C57" s="12" t="s">
        <v>119</v>
      </c>
      <c r="D57" s="12" t="s">
        <v>68</v>
      </c>
      <c r="E57" s="13">
        <v>29.9</v>
      </c>
      <c r="F57" s="13">
        <v>11.5</v>
      </c>
      <c r="G57" s="13">
        <v>17</v>
      </c>
      <c r="H57" s="14">
        <v>977.05</v>
      </c>
      <c r="I57" s="12" t="s">
        <v>114</v>
      </c>
      <c r="J57" s="14">
        <v>930</v>
      </c>
      <c r="K57" s="15">
        <v>5</v>
      </c>
      <c r="L57" s="16">
        <v>900</v>
      </c>
      <c r="M57" s="16">
        <v>728</v>
      </c>
      <c r="N57" s="17">
        <v>8.5</v>
      </c>
      <c r="O57" s="17">
        <v>9.9499999999999993</v>
      </c>
      <c r="P57" s="17">
        <v>3.55</v>
      </c>
      <c r="Q57" s="17">
        <v>3.85</v>
      </c>
      <c r="R57" s="17">
        <v>8.5500000000000007</v>
      </c>
      <c r="S57" s="17">
        <v>3.8</v>
      </c>
      <c r="T57" s="16">
        <f t="shared" si="0"/>
        <v>7695.0000000000009</v>
      </c>
      <c r="U57" s="18">
        <v>-4443.38</v>
      </c>
      <c r="V57" s="19">
        <f t="shared" si="1"/>
        <v>-0.57743729694606882</v>
      </c>
      <c r="W57" s="19">
        <f t="shared" si="2"/>
        <v>-0.55555555555555558</v>
      </c>
      <c r="X57" s="19">
        <f t="shared" si="3"/>
        <v>0.1637426900584793</v>
      </c>
      <c r="Y57" s="12" t="s">
        <v>145</v>
      </c>
      <c r="Z57" s="12" t="s">
        <v>70</v>
      </c>
      <c r="AA57" s="18">
        <v>-4443.38</v>
      </c>
      <c r="AB57" s="17">
        <v>-2.4590000000000001</v>
      </c>
      <c r="AC57" s="12" t="s">
        <v>71</v>
      </c>
      <c r="AD57" s="12" t="str">
        <f t="shared" si="4"/>
        <v>Rs 2+</v>
      </c>
      <c r="AE57" s="20">
        <v>1</v>
      </c>
    </row>
    <row r="58" spans="1:31" x14ac:dyDescent="0.3">
      <c r="A58" s="12" t="s">
        <v>155</v>
      </c>
      <c r="B58" s="12" t="s">
        <v>156</v>
      </c>
      <c r="C58" s="12" t="s">
        <v>145</v>
      </c>
      <c r="D58" s="12" t="s">
        <v>68</v>
      </c>
      <c r="E58" s="13">
        <v>460.9</v>
      </c>
      <c r="F58" s="13">
        <v>288.5</v>
      </c>
      <c r="G58" s="13">
        <v>19.100000000000001</v>
      </c>
      <c r="H58" s="14">
        <v>1619.75</v>
      </c>
      <c r="I58" s="12" t="s">
        <v>114</v>
      </c>
      <c r="J58" s="14">
        <v>1580</v>
      </c>
      <c r="K58" s="15">
        <v>2</v>
      </c>
      <c r="L58" s="16">
        <v>475</v>
      </c>
      <c r="M58" s="16">
        <v>6601</v>
      </c>
      <c r="N58" s="17">
        <v>12</v>
      </c>
      <c r="O58" s="17">
        <v>12</v>
      </c>
      <c r="P58" s="17">
        <v>4.6500000000000004</v>
      </c>
      <c r="Q58" s="17">
        <v>5.5</v>
      </c>
      <c r="R58" s="17">
        <v>12.05</v>
      </c>
      <c r="S58" s="17">
        <v>5.45</v>
      </c>
      <c r="T58" s="16">
        <f t="shared" si="0"/>
        <v>5723.75</v>
      </c>
      <c r="U58" s="18">
        <v>-3272.88</v>
      </c>
      <c r="V58" s="19">
        <f t="shared" si="1"/>
        <v>-0.5718069447477615</v>
      </c>
      <c r="W58" s="19">
        <f t="shared" si="2"/>
        <v>-0.5477178423236515</v>
      </c>
      <c r="X58" s="19">
        <f t="shared" si="3"/>
        <v>-4.1493775933610921E-3</v>
      </c>
      <c r="Y58" s="12" t="s">
        <v>156</v>
      </c>
      <c r="Z58" s="12" t="s">
        <v>70</v>
      </c>
      <c r="AA58" s="18">
        <v>-3272.88</v>
      </c>
      <c r="AB58" s="17">
        <v>-2.5499999999999998</v>
      </c>
      <c r="AC58" s="12" t="s">
        <v>71</v>
      </c>
      <c r="AD58" s="12" t="str">
        <f t="shared" si="4"/>
        <v>Rs 2+</v>
      </c>
      <c r="AE58" s="20">
        <v>1</v>
      </c>
    </row>
    <row r="59" spans="1:31" x14ac:dyDescent="0.3">
      <c r="A59" s="12" t="s">
        <v>157</v>
      </c>
      <c r="B59" s="12" t="s">
        <v>156</v>
      </c>
      <c r="C59" s="12" t="s">
        <v>145</v>
      </c>
      <c r="D59" s="12" t="s">
        <v>68</v>
      </c>
      <c r="E59" s="13">
        <v>26.8</v>
      </c>
      <c r="F59" s="13">
        <v>55.3</v>
      </c>
      <c r="G59" s="13">
        <v>21.4</v>
      </c>
      <c r="H59" s="14">
        <v>65.13</v>
      </c>
      <c r="I59" s="12" t="s">
        <v>114</v>
      </c>
      <c r="J59" s="14">
        <v>60</v>
      </c>
      <c r="K59" s="15">
        <v>6</v>
      </c>
      <c r="L59" s="16">
        <v>13500</v>
      </c>
      <c r="M59" s="16">
        <v>624</v>
      </c>
      <c r="N59" s="17">
        <v>0.5</v>
      </c>
      <c r="O59" s="17">
        <v>0.5</v>
      </c>
      <c r="P59" s="17">
        <v>0.3</v>
      </c>
      <c r="Q59" s="17">
        <v>0.4</v>
      </c>
      <c r="R59" s="17">
        <v>0.55000000000000004</v>
      </c>
      <c r="S59" s="17">
        <v>0.35</v>
      </c>
      <c r="T59" s="16">
        <f t="shared" si="0"/>
        <v>7425.0000000000009</v>
      </c>
      <c r="U59" s="18">
        <v>-3002.62</v>
      </c>
      <c r="V59" s="19">
        <f t="shared" si="1"/>
        <v>-0.40439326599326592</v>
      </c>
      <c r="W59" s="19">
        <f t="shared" si="2"/>
        <v>-0.36363636363636376</v>
      </c>
      <c r="X59" s="19">
        <f t="shared" si="3"/>
        <v>-9.0909090909090939E-2</v>
      </c>
      <c r="Y59" s="12" t="s">
        <v>156</v>
      </c>
      <c r="Z59" s="12" t="s">
        <v>70</v>
      </c>
      <c r="AA59" s="18">
        <v>-3002.62</v>
      </c>
      <c r="AB59" s="17">
        <v>-1.849</v>
      </c>
      <c r="AC59" s="12" t="s">
        <v>102</v>
      </c>
      <c r="AD59" s="12" t="str">
        <f t="shared" si="4"/>
        <v>under Rs 1</v>
      </c>
      <c r="AE59" s="20">
        <v>1</v>
      </c>
    </row>
    <row r="60" spans="1:31" x14ac:dyDescent="0.3">
      <c r="A60" s="12" t="s">
        <v>158</v>
      </c>
      <c r="B60" s="12" t="s">
        <v>156</v>
      </c>
      <c r="C60" s="12" t="s">
        <v>145</v>
      </c>
      <c r="D60" s="12" t="s">
        <v>77</v>
      </c>
      <c r="E60" s="13">
        <v>-16.899999999999999</v>
      </c>
      <c r="F60" s="13">
        <v>-26.7</v>
      </c>
      <c r="G60" s="13">
        <v>0.2</v>
      </c>
      <c r="H60" s="14">
        <v>3641.4</v>
      </c>
      <c r="I60" s="12" t="s">
        <v>114</v>
      </c>
      <c r="J60" s="14">
        <v>3700</v>
      </c>
      <c r="K60" s="15">
        <v>1</v>
      </c>
      <c r="L60" s="16">
        <v>125</v>
      </c>
      <c r="M60" s="16">
        <v>3909</v>
      </c>
      <c r="N60" s="17">
        <v>60.05</v>
      </c>
      <c r="O60" s="17">
        <v>74.150000000000006</v>
      </c>
      <c r="P60" s="17">
        <v>36.4</v>
      </c>
      <c r="Q60" s="17">
        <v>44.85</v>
      </c>
      <c r="R60" s="17">
        <v>60.1</v>
      </c>
      <c r="S60" s="17">
        <v>44.8</v>
      </c>
      <c r="T60" s="16">
        <f t="shared" si="0"/>
        <v>7512.5</v>
      </c>
      <c r="U60" s="18">
        <v>-2236.1</v>
      </c>
      <c r="V60" s="19">
        <f t="shared" si="1"/>
        <v>-0.29765058236272879</v>
      </c>
      <c r="W60" s="19">
        <f t="shared" si="2"/>
        <v>-0.2545757071547422</v>
      </c>
      <c r="X60" s="19">
        <f t="shared" si="3"/>
        <v>0.23377703826955076</v>
      </c>
      <c r="Y60" s="12" t="s">
        <v>156</v>
      </c>
      <c r="Z60" s="12" t="s">
        <v>70</v>
      </c>
      <c r="AA60" s="18">
        <v>-2236.1</v>
      </c>
      <c r="AB60" s="17">
        <v>0.439</v>
      </c>
      <c r="AC60" s="12" t="s">
        <v>71</v>
      </c>
      <c r="AD60" s="12" t="str">
        <f t="shared" si="4"/>
        <v>Rs 2+</v>
      </c>
      <c r="AE60" s="20">
        <v>1</v>
      </c>
    </row>
    <row r="61" spans="1:31" x14ac:dyDescent="0.3">
      <c r="A61" s="12" t="s">
        <v>159</v>
      </c>
      <c r="B61" s="12" t="s">
        <v>156</v>
      </c>
      <c r="C61" s="12" t="s">
        <v>145</v>
      </c>
      <c r="D61" s="12" t="s">
        <v>68</v>
      </c>
      <c r="E61" s="13">
        <v>23.2</v>
      </c>
      <c r="F61" s="13">
        <v>1</v>
      </c>
      <c r="G61" s="13">
        <v>18.399999999999999</v>
      </c>
      <c r="H61" s="14">
        <v>434.15</v>
      </c>
      <c r="I61" s="12" t="s">
        <v>114</v>
      </c>
      <c r="J61" s="14">
        <v>400</v>
      </c>
      <c r="K61" s="15">
        <v>3</v>
      </c>
      <c r="L61" s="16">
        <v>1000</v>
      </c>
      <c r="M61" s="16">
        <v>7563</v>
      </c>
      <c r="N61" s="17">
        <v>7.6</v>
      </c>
      <c r="O61" s="17">
        <v>7.9</v>
      </c>
      <c r="P61" s="17">
        <v>2.75</v>
      </c>
      <c r="Q61" s="17">
        <v>4</v>
      </c>
      <c r="R61" s="17">
        <v>7.65</v>
      </c>
      <c r="S61" s="17">
        <v>3.95</v>
      </c>
      <c r="T61" s="16">
        <f t="shared" si="0"/>
        <v>7650</v>
      </c>
      <c r="U61" s="18">
        <v>-3874.22</v>
      </c>
      <c r="V61" s="19">
        <f t="shared" si="1"/>
        <v>-0.5064339869281046</v>
      </c>
      <c r="W61" s="19">
        <f t="shared" si="2"/>
        <v>-0.4836601307189542</v>
      </c>
      <c r="X61" s="19">
        <f t="shared" si="3"/>
        <v>3.2679738562091609E-2</v>
      </c>
      <c r="Y61" s="12" t="s">
        <v>156</v>
      </c>
      <c r="Z61" s="12" t="s">
        <v>70</v>
      </c>
      <c r="AA61" s="18">
        <v>-3874.22</v>
      </c>
      <c r="AB61" s="17">
        <v>-2.5569999999999999</v>
      </c>
      <c r="AC61" s="12" t="s">
        <v>71</v>
      </c>
      <c r="AD61" s="12" t="str">
        <f t="shared" si="4"/>
        <v>Rs 2+</v>
      </c>
      <c r="AE61" s="20">
        <v>1</v>
      </c>
    </row>
    <row r="62" spans="1:31" x14ac:dyDescent="0.3">
      <c r="A62" s="12" t="s">
        <v>160</v>
      </c>
      <c r="B62" s="12" t="s">
        <v>156</v>
      </c>
      <c r="C62" s="12" t="s">
        <v>145</v>
      </c>
      <c r="D62" s="12" t="s">
        <v>68</v>
      </c>
      <c r="E62" s="13">
        <v>34</v>
      </c>
      <c r="F62" s="13">
        <v>48.2</v>
      </c>
      <c r="G62" s="13">
        <v>34.299999999999997</v>
      </c>
      <c r="H62" s="14">
        <v>5277</v>
      </c>
      <c r="I62" s="12" t="s">
        <v>114</v>
      </c>
      <c r="J62" s="14">
        <v>4800</v>
      </c>
      <c r="K62" s="15">
        <v>5</v>
      </c>
      <c r="L62" s="16">
        <v>100</v>
      </c>
      <c r="M62" s="16">
        <v>9896</v>
      </c>
      <c r="N62" s="17">
        <v>74.5</v>
      </c>
      <c r="O62" s="17">
        <v>74.5</v>
      </c>
      <c r="P62" s="17">
        <v>21.25</v>
      </c>
      <c r="Q62" s="17">
        <v>23.6</v>
      </c>
      <c r="R62" s="17">
        <v>74.55</v>
      </c>
      <c r="S62" s="17">
        <v>23.55</v>
      </c>
      <c r="T62" s="16">
        <f t="shared" si="0"/>
        <v>7455</v>
      </c>
      <c r="U62" s="18">
        <v>-5253.18</v>
      </c>
      <c r="V62" s="19">
        <f t="shared" si="1"/>
        <v>-0.7046519114688129</v>
      </c>
      <c r="W62" s="19">
        <f t="shared" si="2"/>
        <v>-0.68410462776659964</v>
      </c>
      <c r="X62" s="19">
        <f t="shared" si="3"/>
        <v>-6.7069081153581234E-4</v>
      </c>
      <c r="Y62" s="12" t="s">
        <v>156</v>
      </c>
      <c r="Z62" s="12" t="s">
        <v>70</v>
      </c>
      <c r="AA62" s="18">
        <v>-5253.18</v>
      </c>
      <c r="AB62" s="17">
        <v>-2.4990000000000001</v>
      </c>
      <c r="AC62" s="12" t="s">
        <v>71</v>
      </c>
      <c r="AD62" s="12" t="str">
        <f t="shared" si="4"/>
        <v>Rs 2+</v>
      </c>
      <c r="AE62" s="20">
        <v>1</v>
      </c>
    </row>
    <row r="63" spans="1:31" x14ac:dyDescent="0.3">
      <c r="A63" s="12" t="s">
        <v>161</v>
      </c>
      <c r="B63" s="12" t="s">
        <v>153</v>
      </c>
      <c r="C63" s="12" t="s">
        <v>156</v>
      </c>
      <c r="D63" s="12" t="s">
        <v>68</v>
      </c>
      <c r="E63" s="13">
        <v>113.4</v>
      </c>
      <c r="F63" s="13">
        <v>145</v>
      </c>
      <c r="G63" s="13">
        <v>8.4</v>
      </c>
      <c r="H63" s="14">
        <v>315.10000000000002</v>
      </c>
      <c r="I63" s="12" t="s">
        <v>114</v>
      </c>
      <c r="J63" s="14">
        <v>285</v>
      </c>
      <c r="K63" s="15">
        <v>6</v>
      </c>
      <c r="L63" s="16">
        <v>1525</v>
      </c>
      <c r="M63" s="16">
        <v>1138</v>
      </c>
      <c r="N63" s="17">
        <v>3.35</v>
      </c>
      <c r="O63" s="17">
        <v>7.85</v>
      </c>
      <c r="P63" s="17">
        <v>2.95</v>
      </c>
      <c r="Q63" s="17">
        <v>6.05</v>
      </c>
      <c r="R63" s="17">
        <v>3.4</v>
      </c>
      <c r="S63" s="17">
        <v>6</v>
      </c>
      <c r="T63" s="16">
        <f t="shared" si="0"/>
        <v>5185</v>
      </c>
      <c r="U63" s="18">
        <v>3467.84</v>
      </c>
      <c r="V63" s="19">
        <f t="shared" si="1"/>
        <v>0.66882160077145614</v>
      </c>
      <c r="W63" s="19">
        <f t="shared" si="2"/>
        <v>0.76470588235294112</v>
      </c>
      <c r="X63" s="19">
        <f t="shared" si="3"/>
        <v>1.3088235294117645</v>
      </c>
      <c r="Y63" s="12" t="s">
        <v>149</v>
      </c>
      <c r="Z63" s="12" t="s">
        <v>84</v>
      </c>
      <c r="AA63" s="18">
        <v>10111.280000000001</v>
      </c>
      <c r="AB63" s="17">
        <v>5.9340000000000002</v>
      </c>
      <c r="AC63" s="12" t="s">
        <v>71</v>
      </c>
      <c r="AD63" s="12" t="str">
        <f t="shared" si="4"/>
        <v>Rs 2+</v>
      </c>
      <c r="AE63" s="20">
        <v>1</v>
      </c>
    </row>
    <row r="64" spans="1:31" x14ac:dyDescent="0.3">
      <c r="A64" s="12" t="s">
        <v>162</v>
      </c>
      <c r="B64" s="12" t="s">
        <v>153</v>
      </c>
      <c r="C64" s="12" t="s">
        <v>156</v>
      </c>
      <c r="D64" s="12" t="s">
        <v>68</v>
      </c>
      <c r="E64" s="13">
        <v>21.7</v>
      </c>
      <c r="F64" s="13">
        <v>7.8</v>
      </c>
      <c r="G64" s="13">
        <v>17.5</v>
      </c>
      <c r="H64" s="14">
        <v>3198.45</v>
      </c>
      <c r="I64" s="12" t="s">
        <v>114</v>
      </c>
      <c r="J64" s="14">
        <v>3150</v>
      </c>
      <c r="K64" s="15">
        <v>1</v>
      </c>
      <c r="L64" s="16">
        <v>175</v>
      </c>
      <c r="M64" s="16">
        <v>11002</v>
      </c>
      <c r="N64" s="17">
        <v>43.35</v>
      </c>
      <c r="O64" s="17">
        <v>82.8</v>
      </c>
      <c r="P64" s="17">
        <v>29.1</v>
      </c>
      <c r="Q64" s="17">
        <v>78.900000000000006</v>
      </c>
      <c r="R64" s="17">
        <v>43.4</v>
      </c>
      <c r="S64" s="17">
        <v>78.849999999999994</v>
      </c>
      <c r="T64" s="16">
        <f t="shared" si="0"/>
        <v>7595</v>
      </c>
      <c r="U64" s="18">
        <v>5912.69</v>
      </c>
      <c r="V64" s="19">
        <f t="shared" si="1"/>
        <v>0.77849769585253448</v>
      </c>
      <c r="W64" s="19">
        <f t="shared" si="2"/>
        <v>0.81682027649769573</v>
      </c>
      <c r="X64" s="19">
        <f t="shared" si="3"/>
        <v>0.90783410138248843</v>
      </c>
      <c r="Y64" s="12" t="s">
        <v>163</v>
      </c>
      <c r="Z64" s="12" t="s">
        <v>111</v>
      </c>
      <c r="AA64" s="18">
        <v>56360.33</v>
      </c>
      <c r="AB64" s="17">
        <v>2.242</v>
      </c>
      <c r="AC64" s="12" t="s">
        <v>71</v>
      </c>
      <c r="AD64" s="12" t="str">
        <f t="shared" si="4"/>
        <v>Rs 2+</v>
      </c>
      <c r="AE64" s="20">
        <v>1</v>
      </c>
    </row>
    <row r="65" spans="1:31" x14ac:dyDescent="0.3">
      <c r="A65" s="12" t="s">
        <v>164</v>
      </c>
      <c r="B65" s="12" t="s">
        <v>153</v>
      </c>
      <c r="C65" s="12" t="s">
        <v>156</v>
      </c>
      <c r="D65" s="12" t="s">
        <v>77</v>
      </c>
      <c r="E65" s="13">
        <v>-47.5</v>
      </c>
      <c r="F65" s="13">
        <v>-69.099999999999994</v>
      </c>
      <c r="G65" s="13">
        <v>11.3</v>
      </c>
      <c r="H65" s="14">
        <v>77.430000000000007</v>
      </c>
      <c r="I65" s="12" t="s">
        <v>114</v>
      </c>
      <c r="J65" s="14">
        <v>80</v>
      </c>
      <c r="K65" s="15">
        <v>3</v>
      </c>
      <c r="L65" s="16">
        <v>6400</v>
      </c>
      <c r="M65" s="16">
        <v>1057</v>
      </c>
      <c r="N65" s="17">
        <v>1</v>
      </c>
      <c r="O65" s="17">
        <v>1.8</v>
      </c>
      <c r="P65" s="17">
        <v>0.5</v>
      </c>
      <c r="Q65" s="17">
        <v>0.7</v>
      </c>
      <c r="R65" s="17">
        <v>1.05</v>
      </c>
      <c r="S65" s="17">
        <v>0.65</v>
      </c>
      <c r="T65" s="16">
        <f t="shared" si="0"/>
        <v>6720</v>
      </c>
      <c r="U65" s="18">
        <v>-2835.82</v>
      </c>
      <c r="V65" s="19">
        <f t="shared" si="1"/>
        <v>-0.42199702380952381</v>
      </c>
      <c r="W65" s="19">
        <f t="shared" si="2"/>
        <v>-0.38095238095238093</v>
      </c>
      <c r="X65" s="19">
        <f t="shared" si="3"/>
        <v>0.71428571428571419</v>
      </c>
      <c r="Y65" s="12" t="s">
        <v>153</v>
      </c>
      <c r="Z65" s="12" t="s">
        <v>70</v>
      </c>
      <c r="AA65" s="18">
        <v>-2835.82</v>
      </c>
      <c r="AB65" s="17">
        <v>0.224</v>
      </c>
      <c r="AC65" s="12" t="s">
        <v>102</v>
      </c>
      <c r="AD65" s="12" t="str">
        <f t="shared" si="4"/>
        <v>Rs 1-2</v>
      </c>
      <c r="AE65" s="20">
        <v>1</v>
      </c>
    </row>
    <row r="66" spans="1:31" x14ac:dyDescent="0.3">
      <c r="A66" s="12" t="s">
        <v>165</v>
      </c>
      <c r="B66" s="12" t="s">
        <v>153</v>
      </c>
      <c r="C66" s="12" t="s">
        <v>156</v>
      </c>
      <c r="D66" s="12" t="s">
        <v>77</v>
      </c>
      <c r="E66" s="13">
        <v>-44.1</v>
      </c>
      <c r="F66" s="13">
        <v>-29.6</v>
      </c>
      <c r="G66" s="13">
        <v>-16.7</v>
      </c>
      <c r="H66" s="14">
        <v>424.8</v>
      </c>
      <c r="I66" s="12" t="s">
        <v>114</v>
      </c>
      <c r="J66" s="14">
        <v>440</v>
      </c>
      <c r="K66" s="15">
        <v>2</v>
      </c>
      <c r="L66" s="16">
        <v>1075</v>
      </c>
      <c r="M66" s="16">
        <v>945</v>
      </c>
      <c r="N66" s="17">
        <v>5.05</v>
      </c>
      <c r="O66" s="17">
        <v>5.4</v>
      </c>
      <c r="P66" s="17">
        <v>2.4</v>
      </c>
      <c r="Q66" s="17">
        <v>3.05</v>
      </c>
      <c r="R66" s="17">
        <v>5.0999999999999996</v>
      </c>
      <c r="S66" s="17">
        <v>3</v>
      </c>
      <c r="T66" s="16">
        <f t="shared" ref="T66:T129" si="5">R66*L66</f>
        <v>5482.5</v>
      </c>
      <c r="U66" s="18">
        <v>-2487.52</v>
      </c>
      <c r="V66" s="19">
        <f t="shared" ref="V66:V129" si="6">U66/T66</f>
        <v>-0.45372001823985408</v>
      </c>
      <c r="W66" s="19">
        <f t="shared" ref="W66:W129" si="7">S66/R66-1</f>
        <v>-0.41176470588235292</v>
      </c>
      <c r="X66" s="19">
        <f t="shared" ref="X66:X129" si="8">IF(O66="","",O66/R66-1)</f>
        <v>5.8823529411764941E-2</v>
      </c>
      <c r="Y66" s="12" t="s">
        <v>153</v>
      </c>
      <c r="Z66" s="12" t="s">
        <v>70</v>
      </c>
      <c r="AA66" s="18">
        <v>-2487.52</v>
      </c>
      <c r="AB66" s="17">
        <v>-2.302</v>
      </c>
      <c r="AC66" s="12" t="s">
        <v>71</v>
      </c>
      <c r="AD66" s="12" t="str">
        <f t="shared" ref="AD66:AD129" si="9">IF(R66&lt;1,"under Rs 1",IF(R66&lt;2,"Rs 1-2","Rs 2+"))</f>
        <v>Rs 2+</v>
      </c>
      <c r="AE66" s="20">
        <v>1</v>
      </c>
    </row>
    <row r="67" spans="1:31" x14ac:dyDescent="0.3">
      <c r="A67" s="12" t="s">
        <v>166</v>
      </c>
      <c r="B67" s="12" t="s">
        <v>167</v>
      </c>
      <c r="C67" s="12" t="s">
        <v>153</v>
      </c>
      <c r="D67" s="12" t="s">
        <v>68</v>
      </c>
      <c r="E67" s="13">
        <v>17.5</v>
      </c>
      <c r="F67" s="13">
        <v>6.4</v>
      </c>
      <c r="G67" s="13">
        <v>19</v>
      </c>
      <c r="H67" s="14">
        <v>5335.25</v>
      </c>
      <c r="I67" s="12" t="s">
        <v>114</v>
      </c>
      <c r="J67" s="14">
        <v>4800</v>
      </c>
      <c r="K67" s="15">
        <v>11</v>
      </c>
      <c r="L67" s="16">
        <v>175</v>
      </c>
      <c r="M67" s="16">
        <v>7476</v>
      </c>
      <c r="N67" s="17">
        <v>34</v>
      </c>
      <c r="O67" s="17">
        <v>77.95</v>
      </c>
      <c r="P67" s="17">
        <v>32.5</v>
      </c>
      <c r="Q67" s="17">
        <v>45.65</v>
      </c>
      <c r="R67" s="17">
        <v>34.049999999999997</v>
      </c>
      <c r="S67" s="17">
        <v>45.6</v>
      </c>
      <c r="T67" s="16">
        <f t="shared" si="5"/>
        <v>5958.7499999999991</v>
      </c>
      <c r="U67" s="18">
        <v>1816.64</v>
      </c>
      <c r="V67" s="19">
        <f t="shared" si="6"/>
        <v>0.30486930983847288</v>
      </c>
      <c r="W67" s="19">
        <f t="shared" si="7"/>
        <v>0.33920704845814997</v>
      </c>
      <c r="X67" s="19">
        <f t="shared" si="8"/>
        <v>1.2892804698972102</v>
      </c>
      <c r="Y67" s="12" t="s">
        <v>151</v>
      </c>
      <c r="Z67" s="12" t="s">
        <v>84</v>
      </c>
      <c r="AA67" s="18">
        <v>3995.36</v>
      </c>
      <c r="AB67" s="17">
        <v>3.24</v>
      </c>
      <c r="AC67" s="12" t="s">
        <v>71</v>
      </c>
      <c r="AD67" s="12" t="str">
        <f t="shared" si="9"/>
        <v>Rs 2+</v>
      </c>
      <c r="AE67" s="20">
        <v>1</v>
      </c>
    </row>
    <row r="68" spans="1:31" x14ac:dyDescent="0.3">
      <c r="A68" s="12" t="s">
        <v>168</v>
      </c>
      <c r="B68" s="12" t="s">
        <v>167</v>
      </c>
      <c r="C68" s="12" t="s">
        <v>153</v>
      </c>
      <c r="D68" s="12" t="s">
        <v>68</v>
      </c>
      <c r="E68" s="13">
        <v>232.8</v>
      </c>
      <c r="F68" s="13">
        <v>49.7</v>
      </c>
      <c r="G68" s="13">
        <v>39.299999999999997</v>
      </c>
      <c r="H68" s="14">
        <v>191.05</v>
      </c>
      <c r="I68" s="12" t="s">
        <v>114</v>
      </c>
      <c r="J68" s="14">
        <v>170</v>
      </c>
      <c r="K68" s="15">
        <v>4</v>
      </c>
      <c r="L68" s="16">
        <v>3750</v>
      </c>
      <c r="M68" s="16">
        <v>2960</v>
      </c>
      <c r="N68" s="17">
        <v>1.05</v>
      </c>
      <c r="O68" s="17">
        <v>3.15</v>
      </c>
      <c r="P68" s="17">
        <v>0.75</v>
      </c>
      <c r="Q68" s="17">
        <v>2.15</v>
      </c>
      <c r="R68" s="17">
        <v>1.1000000000000001</v>
      </c>
      <c r="S68" s="17">
        <v>2.1</v>
      </c>
      <c r="T68" s="16">
        <f t="shared" si="5"/>
        <v>4125</v>
      </c>
      <c r="U68" s="18">
        <v>3445.82</v>
      </c>
      <c r="V68" s="19">
        <f t="shared" si="6"/>
        <v>0.83535030303030311</v>
      </c>
      <c r="W68" s="19">
        <f t="shared" si="7"/>
        <v>0.90909090909090895</v>
      </c>
      <c r="X68" s="19">
        <f t="shared" si="8"/>
        <v>1.8636363636363633</v>
      </c>
      <c r="Y68" s="12" t="s">
        <v>169</v>
      </c>
      <c r="Z68" s="12" t="s">
        <v>84</v>
      </c>
      <c r="AA68" s="18">
        <v>-588.74</v>
      </c>
      <c r="AB68" s="17">
        <v>6.2069999999999999</v>
      </c>
      <c r="AC68" s="12" t="s">
        <v>102</v>
      </c>
      <c r="AD68" s="12" t="str">
        <f t="shared" si="9"/>
        <v>Rs 1-2</v>
      </c>
      <c r="AE68" s="20">
        <v>1</v>
      </c>
    </row>
    <row r="69" spans="1:31" x14ac:dyDescent="0.3">
      <c r="A69" s="12" t="s">
        <v>170</v>
      </c>
      <c r="B69" s="12" t="s">
        <v>167</v>
      </c>
      <c r="C69" s="12" t="s">
        <v>153</v>
      </c>
      <c r="D69" s="12" t="s">
        <v>68</v>
      </c>
      <c r="E69" s="13">
        <v>51.3</v>
      </c>
      <c r="F69" s="13">
        <v>103.6</v>
      </c>
      <c r="G69" s="13">
        <v>26.7</v>
      </c>
      <c r="H69" s="14">
        <v>169.45</v>
      </c>
      <c r="I69" s="12" t="s">
        <v>114</v>
      </c>
      <c r="J69" s="14">
        <v>165</v>
      </c>
      <c r="K69" s="15">
        <v>2</v>
      </c>
      <c r="L69" s="16">
        <v>2950</v>
      </c>
      <c r="M69" s="16">
        <v>1734</v>
      </c>
      <c r="N69" s="17">
        <v>2.6</v>
      </c>
      <c r="O69" s="17">
        <v>5.65</v>
      </c>
      <c r="P69" s="17">
        <v>2.5</v>
      </c>
      <c r="Q69" s="17">
        <v>4.45</v>
      </c>
      <c r="R69" s="17">
        <v>2.65</v>
      </c>
      <c r="S69" s="17">
        <v>4.4000000000000004</v>
      </c>
      <c r="T69" s="16">
        <f t="shared" si="5"/>
        <v>7817.5</v>
      </c>
      <c r="U69" s="18">
        <v>4670.91</v>
      </c>
      <c r="V69" s="19">
        <f t="shared" si="6"/>
        <v>0.5974940837863767</v>
      </c>
      <c r="W69" s="19">
        <f t="shared" si="7"/>
        <v>0.66037735849056634</v>
      </c>
      <c r="X69" s="19">
        <f t="shared" si="8"/>
        <v>1.1320754716981134</v>
      </c>
      <c r="Y69" s="12" t="s">
        <v>169</v>
      </c>
      <c r="Z69" s="12" t="s">
        <v>84</v>
      </c>
      <c r="AA69" s="18">
        <v>-378.44</v>
      </c>
      <c r="AB69" s="17">
        <v>2.17</v>
      </c>
      <c r="AC69" s="12" t="s">
        <v>71</v>
      </c>
      <c r="AD69" s="12" t="str">
        <f t="shared" si="9"/>
        <v>Rs 2+</v>
      </c>
      <c r="AE69" s="20">
        <v>1</v>
      </c>
    </row>
    <row r="70" spans="1:31" x14ac:dyDescent="0.3">
      <c r="A70" s="12" t="s">
        <v>171</v>
      </c>
      <c r="B70" s="12" t="s">
        <v>169</v>
      </c>
      <c r="C70" s="12" t="s">
        <v>167</v>
      </c>
      <c r="D70" s="12" t="s">
        <v>68</v>
      </c>
      <c r="E70" s="13">
        <v>25.4</v>
      </c>
      <c r="F70" s="13">
        <v>13.8</v>
      </c>
      <c r="G70" s="13">
        <v>17.2</v>
      </c>
      <c r="H70" s="14">
        <v>85.36</v>
      </c>
      <c r="I70" s="12" t="s">
        <v>114</v>
      </c>
      <c r="J70" s="14">
        <v>77.5</v>
      </c>
      <c r="K70" s="15">
        <v>3</v>
      </c>
      <c r="L70" s="16">
        <v>5800</v>
      </c>
      <c r="M70" s="16">
        <v>85</v>
      </c>
      <c r="N70" s="17">
        <v>0.9</v>
      </c>
      <c r="O70" s="17">
        <v>1</v>
      </c>
      <c r="P70" s="17">
        <v>0.85</v>
      </c>
      <c r="Q70" s="17">
        <v>1</v>
      </c>
      <c r="R70" s="17">
        <v>0.95</v>
      </c>
      <c r="S70" s="17">
        <v>0.95</v>
      </c>
      <c r="T70" s="16">
        <f t="shared" si="5"/>
        <v>5510</v>
      </c>
      <c r="U70" s="18">
        <v>-390.88</v>
      </c>
      <c r="V70" s="19">
        <f t="shared" si="6"/>
        <v>-7.094010889292196E-2</v>
      </c>
      <c r="W70" s="19">
        <f t="shared" si="7"/>
        <v>0</v>
      </c>
      <c r="X70" s="19">
        <f t="shared" si="8"/>
        <v>5.2631578947368363E-2</v>
      </c>
      <c r="Y70" s="12" t="s">
        <v>151</v>
      </c>
      <c r="Z70" s="12" t="s">
        <v>84</v>
      </c>
      <c r="AA70" s="18">
        <v>170.62</v>
      </c>
      <c r="AB70" s="17">
        <v>1.1850000000000001</v>
      </c>
      <c r="AC70" s="12" t="s">
        <v>102</v>
      </c>
      <c r="AD70" s="12" t="str">
        <f t="shared" si="9"/>
        <v>under Rs 1</v>
      </c>
      <c r="AE70" s="20">
        <v>1</v>
      </c>
    </row>
    <row r="71" spans="1:31" x14ac:dyDescent="0.3">
      <c r="A71" s="12" t="s">
        <v>172</v>
      </c>
      <c r="B71" s="12" t="s">
        <v>169</v>
      </c>
      <c r="C71" s="12" t="s">
        <v>167</v>
      </c>
      <c r="D71" s="12" t="s">
        <v>77</v>
      </c>
      <c r="E71" s="13">
        <v>-66.400000000000006</v>
      </c>
      <c r="F71" s="13">
        <v>-84.2</v>
      </c>
      <c r="G71" s="13">
        <v>4.9000000000000004</v>
      </c>
      <c r="H71" s="14">
        <v>100.05</v>
      </c>
      <c r="I71" s="12" t="s">
        <v>114</v>
      </c>
      <c r="J71" s="14">
        <v>107.5</v>
      </c>
      <c r="K71" s="15">
        <v>3</v>
      </c>
      <c r="L71" s="16">
        <v>4000</v>
      </c>
      <c r="M71" s="16">
        <v>4634</v>
      </c>
      <c r="N71" s="17">
        <v>1.4</v>
      </c>
      <c r="O71" s="17">
        <v>3.15</v>
      </c>
      <c r="P71" s="17">
        <v>1.1000000000000001</v>
      </c>
      <c r="Q71" s="17">
        <v>2.75</v>
      </c>
      <c r="R71" s="17">
        <v>1.45</v>
      </c>
      <c r="S71" s="17">
        <v>2.7</v>
      </c>
      <c r="T71" s="16">
        <f t="shared" si="5"/>
        <v>5800</v>
      </c>
      <c r="U71" s="18">
        <v>4597.45</v>
      </c>
      <c r="V71" s="19">
        <f t="shared" si="6"/>
        <v>0.79266379310344826</v>
      </c>
      <c r="W71" s="19">
        <f t="shared" si="7"/>
        <v>0.86206896551724155</v>
      </c>
      <c r="X71" s="19">
        <f t="shared" si="8"/>
        <v>1.1724137931034484</v>
      </c>
      <c r="Y71" s="12" t="s">
        <v>173</v>
      </c>
      <c r="Z71" s="12" t="s">
        <v>84</v>
      </c>
      <c r="AA71" s="18">
        <v>4206.21</v>
      </c>
      <c r="AB71" s="17">
        <v>5.6440000000000001</v>
      </c>
      <c r="AC71" s="12" t="s">
        <v>102</v>
      </c>
      <c r="AD71" s="12" t="str">
        <f t="shared" si="9"/>
        <v>Rs 1-2</v>
      </c>
      <c r="AE71" s="20">
        <v>1</v>
      </c>
    </row>
    <row r="72" spans="1:31" x14ac:dyDescent="0.3">
      <c r="A72" s="12" t="s">
        <v>174</v>
      </c>
      <c r="B72" s="12" t="s">
        <v>149</v>
      </c>
      <c r="C72" s="12" t="s">
        <v>169</v>
      </c>
      <c r="D72" s="12" t="s">
        <v>68</v>
      </c>
      <c r="E72" s="13">
        <v>34.6</v>
      </c>
      <c r="F72" s="13">
        <v>6.9</v>
      </c>
      <c r="G72" s="13">
        <v>8.1</v>
      </c>
      <c r="H72" s="14">
        <v>219.35</v>
      </c>
      <c r="I72" s="12" t="s">
        <v>114</v>
      </c>
      <c r="J72" s="14">
        <v>215</v>
      </c>
      <c r="K72" s="15">
        <v>2</v>
      </c>
      <c r="L72" s="16">
        <v>2500</v>
      </c>
      <c r="M72" s="16">
        <v>6022</v>
      </c>
      <c r="N72" s="17">
        <v>3.1</v>
      </c>
      <c r="O72" s="17">
        <v>4.55</v>
      </c>
      <c r="P72" s="17">
        <v>2.6</v>
      </c>
      <c r="Q72" s="17">
        <v>4.05</v>
      </c>
      <c r="R72" s="17">
        <v>3.15</v>
      </c>
      <c r="S72" s="17">
        <v>4</v>
      </c>
      <c r="T72" s="16">
        <f t="shared" si="5"/>
        <v>7875</v>
      </c>
      <c r="U72" s="18">
        <v>1697.54</v>
      </c>
      <c r="V72" s="19">
        <f t="shared" si="6"/>
        <v>0.2155606349206349</v>
      </c>
      <c r="W72" s="19">
        <f t="shared" si="7"/>
        <v>0.26984126984126977</v>
      </c>
      <c r="X72" s="19">
        <f t="shared" si="8"/>
        <v>0.44444444444444442</v>
      </c>
      <c r="Y72" s="12" t="s">
        <v>175</v>
      </c>
      <c r="Z72" s="12" t="s">
        <v>70</v>
      </c>
      <c r="AA72" s="18">
        <v>-2826.08</v>
      </c>
      <c r="AB72" s="17">
        <v>1.587</v>
      </c>
      <c r="AC72" s="12" t="s">
        <v>71</v>
      </c>
      <c r="AD72" s="12" t="str">
        <f t="shared" si="9"/>
        <v>Rs 2+</v>
      </c>
      <c r="AE72" s="20">
        <v>1</v>
      </c>
    </row>
    <row r="73" spans="1:31" x14ac:dyDescent="0.3">
      <c r="A73" s="12" t="s">
        <v>176</v>
      </c>
      <c r="B73" s="12" t="s">
        <v>149</v>
      </c>
      <c r="C73" s="12" t="s">
        <v>169</v>
      </c>
      <c r="D73" s="12" t="s">
        <v>77</v>
      </c>
      <c r="E73" s="13">
        <v>-16.399999999999999</v>
      </c>
      <c r="F73" s="13">
        <v>-12.5</v>
      </c>
      <c r="G73" s="13">
        <v>-10.1</v>
      </c>
      <c r="H73" s="14">
        <v>1104.6500000000001</v>
      </c>
      <c r="I73" s="12" t="s">
        <v>114</v>
      </c>
      <c r="J73" s="14">
        <v>1120</v>
      </c>
      <c r="K73" s="15">
        <v>1</v>
      </c>
      <c r="L73" s="16">
        <v>500</v>
      </c>
      <c r="M73" s="16">
        <v>3752</v>
      </c>
      <c r="N73" s="17">
        <v>15</v>
      </c>
      <c r="O73" s="17">
        <v>19.600000000000001</v>
      </c>
      <c r="P73" s="17">
        <v>9.9</v>
      </c>
      <c r="Q73" s="17">
        <v>12.65</v>
      </c>
      <c r="R73" s="17">
        <v>15.05</v>
      </c>
      <c r="S73" s="17">
        <v>12.6</v>
      </c>
      <c r="T73" s="16">
        <f t="shared" si="5"/>
        <v>7525</v>
      </c>
      <c r="U73" s="18">
        <v>-1564.19</v>
      </c>
      <c r="V73" s="19">
        <f t="shared" si="6"/>
        <v>-0.20786578073089701</v>
      </c>
      <c r="W73" s="19">
        <f t="shared" si="7"/>
        <v>-0.16279069767441867</v>
      </c>
      <c r="X73" s="19">
        <f t="shared" si="8"/>
        <v>0.30232558139534893</v>
      </c>
      <c r="Y73" s="12" t="s">
        <v>173</v>
      </c>
      <c r="Z73" s="12" t="s">
        <v>70</v>
      </c>
      <c r="AA73" s="18">
        <v>-1906.52</v>
      </c>
      <c r="AB73" s="17">
        <v>0.112</v>
      </c>
      <c r="AC73" s="12" t="s">
        <v>71</v>
      </c>
      <c r="AD73" s="12" t="str">
        <f t="shared" si="9"/>
        <v>Rs 2+</v>
      </c>
      <c r="AE73" s="20">
        <v>1</v>
      </c>
    </row>
    <row r="74" spans="1:31" x14ac:dyDescent="0.3">
      <c r="A74" s="12" t="s">
        <v>177</v>
      </c>
      <c r="B74" s="12" t="s">
        <v>149</v>
      </c>
      <c r="C74" s="12" t="s">
        <v>169</v>
      </c>
      <c r="D74" s="12" t="s">
        <v>77</v>
      </c>
      <c r="E74" s="13">
        <v>-34.200000000000003</v>
      </c>
      <c r="F74" s="13">
        <v>-35</v>
      </c>
      <c r="G74" s="13">
        <v>56.1</v>
      </c>
      <c r="H74" s="14">
        <v>641</v>
      </c>
      <c r="I74" s="12" t="s">
        <v>114</v>
      </c>
      <c r="J74" s="14">
        <v>680</v>
      </c>
      <c r="K74" s="15">
        <v>4</v>
      </c>
      <c r="L74" s="16">
        <v>1250</v>
      </c>
      <c r="M74" s="16">
        <v>6904</v>
      </c>
      <c r="N74" s="17">
        <v>4.95</v>
      </c>
      <c r="O74" s="17">
        <v>23.4</v>
      </c>
      <c r="P74" s="17">
        <v>4.95</v>
      </c>
      <c r="Q74" s="17">
        <v>10.199999999999999</v>
      </c>
      <c r="R74" s="17">
        <v>5</v>
      </c>
      <c r="S74" s="17">
        <v>10.15</v>
      </c>
      <c r="T74" s="16">
        <f t="shared" si="5"/>
        <v>6250</v>
      </c>
      <c r="U74" s="18">
        <v>5984.37</v>
      </c>
      <c r="V74" s="19">
        <f t="shared" si="6"/>
        <v>0.95749919999999999</v>
      </c>
      <c r="W74" s="19">
        <f t="shared" si="7"/>
        <v>1.0300000000000002</v>
      </c>
      <c r="X74" s="19">
        <f t="shared" si="8"/>
        <v>3.6799999999999997</v>
      </c>
      <c r="Y74" s="12" t="s">
        <v>178</v>
      </c>
      <c r="Z74" s="12" t="s">
        <v>84</v>
      </c>
      <c r="AA74" s="18">
        <v>16009.68</v>
      </c>
      <c r="AB74" s="17">
        <v>3.4529999999999998</v>
      </c>
      <c r="AC74" s="12" t="s">
        <v>71</v>
      </c>
      <c r="AD74" s="12" t="str">
        <f t="shared" si="9"/>
        <v>Rs 2+</v>
      </c>
      <c r="AE74" s="20">
        <v>1</v>
      </c>
    </row>
    <row r="75" spans="1:31" x14ac:dyDescent="0.3">
      <c r="A75" s="12" t="s">
        <v>179</v>
      </c>
      <c r="B75" s="12" t="s">
        <v>149</v>
      </c>
      <c r="C75" s="12" t="s">
        <v>169</v>
      </c>
      <c r="D75" s="12" t="s">
        <v>68</v>
      </c>
      <c r="E75" s="13">
        <v>21.5</v>
      </c>
      <c r="F75" s="13">
        <v>5.3</v>
      </c>
      <c r="G75" s="13">
        <v>35.9</v>
      </c>
      <c r="H75" s="14">
        <v>2182.85</v>
      </c>
      <c r="I75" s="12" t="s">
        <v>114</v>
      </c>
      <c r="J75" s="14">
        <v>2160</v>
      </c>
      <c r="K75" s="15">
        <v>1</v>
      </c>
      <c r="L75" s="16">
        <v>275</v>
      </c>
      <c r="M75" s="16">
        <v>882</v>
      </c>
      <c r="N75" s="17">
        <v>28.05</v>
      </c>
      <c r="O75" s="17">
        <v>28.05</v>
      </c>
      <c r="P75" s="17">
        <v>9.1999999999999993</v>
      </c>
      <c r="Q75" s="17">
        <v>10.4</v>
      </c>
      <c r="R75" s="17">
        <v>28.1</v>
      </c>
      <c r="S75" s="17">
        <v>10.35</v>
      </c>
      <c r="T75" s="16">
        <f t="shared" si="5"/>
        <v>7727.5</v>
      </c>
      <c r="U75" s="18">
        <v>-5148.88</v>
      </c>
      <c r="V75" s="19">
        <f t="shared" si="6"/>
        <v>-0.66630604982206409</v>
      </c>
      <c r="W75" s="19">
        <f t="shared" si="7"/>
        <v>-0.6316725978647687</v>
      </c>
      <c r="X75" s="19">
        <f t="shared" si="8"/>
        <v>-1.779359430605032E-3</v>
      </c>
      <c r="Y75" s="12" t="s">
        <v>149</v>
      </c>
      <c r="Z75" s="12" t="s">
        <v>70</v>
      </c>
      <c r="AA75" s="18">
        <v>-5148.88</v>
      </c>
      <c r="AB75" s="17">
        <v>-3.0680000000000001</v>
      </c>
      <c r="AC75" s="12" t="s">
        <v>71</v>
      </c>
      <c r="AD75" s="12" t="str">
        <f t="shared" si="9"/>
        <v>Rs 2+</v>
      </c>
      <c r="AE75" s="20">
        <v>1</v>
      </c>
    </row>
    <row r="76" spans="1:31" x14ac:dyDescent="0.3">
      <c r="A76" s="12" t="s">
        <v>180</v>
      </c>
      <c r="B76" s="12" t="s">
        <v>149</v>
      </c>
      <c r="C76" s="12" t="s">
        <v>169</v>
      </c>
      <c r="D76" s="12" t="s">
        <v>68</v>
      </c>
      <c r="E76" s="13">
        <v>12228.5</v>
      </c>
      <c r="F76" s="13">
        <v>7.5</v>
      </c>
      <c r="G76" s="13">
        <v>11268.6</v>
      </c>
      <c r="H76" s="14">
        <v>373.85</v>
      </c>
      <c r="I76" s="12" t="s">
        <v>114</v>
      </c>
      <c r="J76" s="14">
        <v>350</v>
      </c>
      <c r="K76" s="15">
        <v>2</v>
      </c>
      <c r="L76" s="16">
        <v>1300</v>
      </c>
      <c r="M76" s="16">
        <v>3138</v>
      </c>
      <c r="N76" s="17">
        <v>4.5</v>
      </c>
      <c r="O76" s="17">
        <v>4.5</v>
      </c>
      <c r="P76" s="17">
        <v>2</v>
      </c>
      <c r="Q76" s="17">
        <v>2.85</v>
      </c>
      <c r="R76" s="17">
        <v>4.55</v>
      </c>
      <c r="S76" s="17">
        <v>2.8</v>
      </c>
      <c r="T76" s="16">
        <f t="shared" si="5"/>
        <v>5915</v>
      </c>
      <c r="U76" s="18">
        <v>-2427.4</v>
      </c>
      <c r="V76" s="19">
        <f t="shared" si="6"/>
        <v>-0.41038038884192735</v>
      </c>
      <c r="W76" s="19">
        <f t="shared" si="7"/>
        <v>-0.38461538461538458</v>
      </c>
      <c r="X76" s="19">
        <f t="shared" si="8"/>
        <v>-1.098901098901095E-2</v>
      </c>
      <c r="Y76" s="12" t="s">
        <v>149</v>
      </c>
      <c r="Z76" s="12" t="s">
        <v>70</v>
      </c>
      <c r="AA76" s="18">
        <v>-2427.4</v>
      </c>
      <c r="AB76" s="17">
        <v>-1.9890000000000001</v>
      </c>
      <c r="AC76" s="12" t="s">
        <v>71</v>
      </c>
      <c r="AD76" s="12" t="str">
        <f t="shared" si="9"/>
        <v>Rs 2+</v>
      </c>
      <c r="AE76" s="20">
        <v>1</v>
      </c>
    </row>
    <row r="77" spans="1:31" x14ac:dyDescent="0.3">
      <c r="A77" s="12" t="s">
        <v>181</v>
      </c>
      <c r="B77" s="12" t="s">
        <v>173</v>
      </c>
      <c r="C77" s="12" t="s">
        <v>149</v>
      </c>
      <c r="D77" s="12" t="s">
        <v>77</v>
      </c>
      <c r="E77" s="13">
        <v>-51.6</v>
      </c>
      <c r="F77" s="13">
        <v>-51.3</v>
      </c>
      <c r="G77" s="13">
        <v>11</v>
      </c>
      <c r="H77" s="14">
        <v>194.05</v>
      </c>
      <c r="I77" s="12" t="s">
        <v>114</v>
      </c>
      <c r="J77" s="14">
        <v>205</v>
      </c>
      <c r="K77" s="15">
        <v>4</v>
      </c>
      <c r="L77" s="16">
        <v>3000</v>
      </c>
      <c r="M77" s="16">
        <v>80</v>
      </c>
      <c r="N77" s="17">
        <v>1.35</v>
      </c>
      <c r="O77" s="17">
        <v>2.1</v>
      </c>
      <c r="P77" s="17">
        <v>0.8</v>
      </c>
      <c r="Q77" s="17">
        <v>1.1000000000000001</v>
      </c>
      <c r="R77" s="17">
        <v>1.4</v>
      </c>
      <c r="S77" s="17">
        <v>1.05</v>
      </c>
      <c r="T77" s="16">
        <f t="shared" si="5"/>
        <v>4200</v>
      </c>
      <c r="U77" s="18">
        <v>-1325.64</v>
      </c>
      <c r="V77" s="19">
        <f t="shared" si="6"/>
        <v>-0.31562857142857143</v>
      </c>
      <c r="W77" s="19">
        <f t="shared" si="7"/>
        <v>-0.24999999999999989</v>
      </c>
      <c r="X77" s="19">
        <f t="shared" si="8"/>
        <v>0.50000000000000022</v>
      </c>
      <c r="Y77" s="12" t="s">
        <v>173</v>
      </c>
      <c r="Z77" s="12" t="s">
        <v>70</v>
      </c>
      <c r="AA77" s="18">
        <v>-1325.64</v>
      </c>
      <c r="AB77" s="17">
        <v>-5.2389999999999999</v>
      </c>
      <c r="AC77" s="12" t="s">
        <v>102</v>
      </c>
      <c r="AD77" s="12" t="str">
        <f t="shared" si="9"/>
        <v>Rs 1-2</v>
      </c>
      <c r="AE77" s="20">
        <v>1</v>
      </c>
    </row>
    <row r="78" spans="1:31" x14ac:dyDescent="0.3">
      <c r="A78" s="12" t="s">
        <v>182</v>
      </c>
      <c r="B78" s="12" t="s">
        <v>175</v>
      </c>
      <c r="C78" s="12" t="s">
        <v>173</v>
      </c>
      <c r="D78" s="12" t="s">
        <v>68</v>
      </c>
      <c r="E78" s="13">
        <v>55.4</v>
      </c>
      <c r="F78" s="13">
        <v>3.7</v>
      </c>
      <c r="G78" s="13">
        <v>7.7</v>
      </c>
      <c r="H78" s="14">
        <v>126.2</v>
      </c>
      <c r="I78" s="12" t="s">
        <v>114</v>
      </c>
      <c r="J78" s="14">
        <v>117.5</v>
      </c>
      <c r="K78" s="15">
        <v>3</v>
      </c>
      <c r="L78" s="16">
        <v>3550</v>
      </c>
      <c r="M78" s="16">
        <v>764</v>
      </c>
      <c r="N78" s="17">
        <v>2</v>
      </c>
      <c r="O78" s="17">
        <v>2.0499999999999998</v>
      </c>
      <c r="P78" s="17">
        <v>0.9</v>
      </c>
      <c r="Q78" s="17">
        <v>0.95</v>
      </c>
      <c r="R78" s="17">
        <v>2.0499999999999998</v>
      </c>
      <c r="S78" s="17">
        <v>0.9</v>
      </c>
      <c r="T78" s="16">
        <f t="shared" si="5"/>
        <v>7277.4999999999991</v>
      </c>
      <c r="U78" s="18">
        <v>-4243.8500000000004</v>
      </c>
      <c r="V78" s="19">
        <f t="shared" si="6"/>
        <v>-0.58314668498797673</v>
      </c>
      <c r="W78" s="19">
        <f t="shared" si="7"/>
        <v>-0.5609756097560975</v>
      </c>
      <c r="X78" s="19">
        <f t="shared" si="8"/>
        <v>0</v>
      </c>
      <c r="Y78" s="12" t="s">
        <v>175</v>
      </c>
      <c r="Z78" s="12" t="s">
        <v>70</v>
      </c>
      <c r="AA78" s="18">
        <v>-4243.8500000000004</v>
      </c>
      <c r="AB78" s="17">
        <v>1.129</v>
      </c>
      <c r="AC78" s="12" t="s">
        <v>71</v>
      </c>
      <c r="AD78" s="12" t="str">
        <f t="shared" si="9"/>
        <v>Rs 2+</v>
      </c>
      <c r="AE78" s="20">
        <v>1</v>
      </c>
    </row>
    <row r="79" spans="1:31" x14ac:dyDescent="0.3">
      <c r="A79" s="12" t="s">
        <v>183</v>
      </c>
      <c r="B79" s="12" t="s">
        <v>184</v>
      </c>
      <c r="C79" s="12" t="s">
        <v>185</v>
      </c>
      <c r="D79" s="12" t="s">
        <v>68</v>
      </c>
      <c r="E79" s="13">
        <v>47.5</v>
      </c>
      <c r="F79" s="13">
        <v>30.9</v>
      </c>
      <c r="G79" s="13">
        <v>16</v>
      </c>
      <c r="H79" s="14">
        <v>1231.0999999999999</v>
      </c>
      <c r="I79" s="12" t="s">
        <v>186</v>
      </c>
      <c r="J79" s="14">
        <v>1080</v>
      </c>
      <c r="K79" s="15">
        <v>8</v>
      </c>
      <c r="L79" s="16">
        <v>400</v>
      </c>
      <c r="M79" s="16">
        <v>443</v>
      </c>
      <c r="N79" s="17">
        <v>17</v>
      </c>
      <c r="O79" s="17">
        <v>19.95</v>
      </c>
      <c r="P79" s="17">
        <v>7.75</v>
      </c>
      <c r="Q79" s="17">
        <v>9.65</v>
      </c>
      <c r="R79" s="17">
        <v>17.05</v>
      </c>
      <c r="S79" s="17">
        <v>9.6</v>
      </c>
      <c r="T79" s="16">
        <f t="shared" si="5"/>
        <v>6820</v>
      </c>
      <c r="U79" s="18">
        <v>-3250.84</v>
      </c>
      <c r="V79" s="19">
        <f t="shared" si="6"/>
        <v>-0.47666275659824048</v>
      </c>
      <c r="W79" s="19">
        <f t="shared" si="7"/>
        <v>-0.43695014662756604</v>
      </c>
      <c r="X79" s="19">
        <f t="shared" si="8"/>
        <v>0.17008797653958929</v>
      </c>
      <c r="Y79" s="12" t="s">
        <v>184</v>
      </c>
      <c r="Z79" s="12" t="s">
        <v>70</v>
      </c>
      <c r="AA79" s="18">
        <v>-3250.84</v>
      </c>
      <c r="AB79" s="17">
        <v>-2.9129999999999998</v>
      </c>
      <c r="AC79" s="12" t="s">
        <v>71</v>
      </c>
      <c r="AD79" s="12" t="str">
        <f t="shared" si="9"/>
        <v>Rs 2+</v>
      </c>
      <c r="AE79" s="20">
        <v>1</v>
      </c>
    </row>
    <row r="80" spans="1:31" x14ac:dyDescent="0.3">
      <c r="A80" s="12" t="s">
        <v>123</v>
      </c>
      <c r="B80" s="12" t="s">
        <v>187</v>
      </c>
      <c r="C80" s="12" t="s">
        <v>184</v>
      </c>
      <c r="D80" s="12" t="s">
        <v>68</v>
      </c>
      <c r="E80" s="13">
        <v>18.899999999999999</v>
      </c>
      <c r="F80" s="13">
        <v>5.5</v>
      </c>
      <c r="G80" s="13">
        <v>23.7</v>
      </c>
      <c r="H80" s="14">
        <v>9093</v>
      </c>
      <c r="I80" s="12" t="s">
        <v>186</v>
      </c>
      <c r="J80" s="14">
        <v>8100</v>
      </c>
      <c r="K80" s="15">
        <v>10</v>
      </c>
      <c r="L80" s="16">
        <v>125</v>
      </c>
      <c r="M80" s="16">
        <v>4715</v>
      </c>
      <c r="N80" s="17">
        <v>50.05</v>
      </c>
      <c r="O80" s="17">
        <v>111.15</v>
      </c>
      <c r="P80" s="17">
        <v>50.05</v>
      </c>
      <c r="Q80" s="17">
        <v>80.349999999999994</v>
      </c>
      <c r="R80" s="17">
        <v>50.1</v>
      </c>
      <c r="S80" s="17">
        <v>80.3</v>
      </c>
      <c r="T80" s="16">
        <f t="shared" si="5"/>
        <v>6262.5</v>
      </c>
      <c r="U80" s="18">
        <v>3542.69</v>
      </c>
      <c r="V80" s="19">
        <f t="shared" si="6"/>
        <v>0.56569900199600798</v>
      </c>
      <c r="W80" s="19">
        <f t="shared" si="7"/>
        <v>0.60279441117764465</v>
      </c>
      <c r="X80" s="19">
        <f t="shared" si="8"/>
        <v>1.2185628742514969</v>
      </c>
      <c r="Y80" s="12" t="s">
        <v>188</v>
      </c>
      <c r="Z80" s="12" t="s">
        <v>84</v>
      </c>
      <c r="AA80" s="18">
        <v>-946.89</v>
      </c>
      <c r="AB80" s="17">
        <v>2.3250000000000002</v>
      </c>
      <c r="AC80" s="12" t="s">
        <v>71</v>
      </c>
      <c r="AD80" s="12" t="str">
        <f t="shared" si="9"/>
        <v>Rs 2+</v>
      </c>
      <c r="AE80" s="20">
        <v>1</v>
      </c>
    </row>
    <row r="81" spans="1:31" x14ac:dyDescent="0.3">
      <c r="A81" s="12" t="s">
        <v>189</v>
      </c>
      <c r="B81" s="12" t="s">
        <v>188</v>
      </c>
      <c r="C81" s="12" t="s">
        <v>187</v>
      </c>
      <c r="D81" s="12" t="s">
        <v>68</v>
      </c>
      <c r="E81" s="13">
        <v>12.4</v>
      </c>
      <c r="F81" s="13">
        <v>15.5</v>
      </c>
      <c r="G81" s="13">
        <v>12.1</v>
      </c>
      <c r="H81" s="14">
        <v>196.68</v>
      </c>
      <c r="I81" s="12" t="s">
        <v>186</v>
      </c>
      <c r="J81" s="14">
        <v>177.5</v>
      </c>
      <c r="K81" s="15">
        <v>8</v>
      </c>
      <c r="L81" s="16">
        <v>5000</v>
      </c>
      <c r="M81" s="16">
        <v>249</v>
      </c>
      <c r="N81" s="17">
        <v>1.5</v>
      </c>
      <c r="O81" s="17">
        <v>2.25</v>
      </c>
      <c r="P81" s="17">
        <v>1.1499999999999999</v>
      </c>
      <c r="Q81" s="17">
        <v>1.75</v>
      </c>
      <c r="R81" s="17">
        <v>1.55</v>
      </c>
      <c r="S81" s="17">
        <v>1.7</v>
      </c>
      <c r="T81" s="16">
        <f t="shared" si="5"/>
        <v>7750</v>
      </c>
      <c r="U81" s="18">
        <v>357.98</v>
      </c>
      <c r="V81" s="19">
        <f t="shared" si="6"/>
        <v>4.6190967741935485E-2</v>
      </c>
      <c r="W81" s="19">
        <f t="shared" si="7"/>
        <v>9.6774193548387011E-2</v>
      </c>
      <c r="X81" s="19">
        <f t="shared" si="8"/>
        <v>0.45161290322580649</v>
      </c>
      <c r="Y81" s="12" t="s">
        <v>190</v>
      </c>
      <c r="Z81" s="12" t="s">
        <v>70</v>
      </c>
      <c r="AA81" s="18">
        <v>-2331.73</v>
      </c>
      <c r="AB81" s="17">
        <v>3.19</v>
      </c>
      <c r="AC81" s="12" t="s">
        <v>102</v>
      </c>
      <c r="AD81" s="12" t="str">
        <f t="shared" si="9"/>
        <v>Rs 1-2</v>
      </c>
      <c r="AE81" s="20">
        <v>1</v>
      </c>
    </row>
    <row r="82" spans="1:31" x14ac:dyDescent="0.3">
      <c r="A82" s="12" t="s">
        <v>191</v>
      </c>
      <c r="B82" s="12" t="s">
        <v>188</v>
      </c>
      <c r="C82" s="12" t="s">
        <v>187</v>
      </c>
      <c r="D82" s="12" t="s">
        <v>68</v>
      </c>
      <c r="E82" s="13">
        <v>33.5</v>
      </c>
      <c r="F82" s="13">
        <v>273.8</v>
      </c>
      <c r="G82" s="13">
        <v>29.2</v>
      </c>
      <c r="H82" s="14">
        <v>522.35</v>
      </c>
      <c r="I82" s="12" t="s">
        <v>186</v>
      </c>
      <c r="J82" s="14">
        <v>480</v>
      </c>
      <c r="K82" s="15">
        <v>4</v>
      </c>
      <c r="L82" s="16">
        <v>875</v>
      </c>
      <c r="M82" s="16">
        <v>369</v>
      </c>
      <c r="N82" s="17">
        <v>8.65</v>
      </c>
      <c r="O82" s="17">
        <v>10.45</v>
      </c>
      <c r="P82" s="17">
        <v>6.1</v>
      </c>
      <c r="Q82" s="17">
        <v>6.45</v>
      </c>
      <c r="R82" s="17">
        <v>8.6999999999999993</v>
      </c>
      <c r="S82" s="17">
        <v>6.4</v>
      </c>
      <c r="T82" s="16">
        <f t="shared" si="5"/>
        <v>7612.4999999999991</v>
      </c>
      <c r="U82" s="18">
        <v>-2206.0100000000002</v>
      </c>
      <c r="V82" s="19">
        <f t="shared" si="6"/>
        <v>-0.28978784893267656</v>
      </c>
      <c r="W82" s="19">
        <f t="shared" si="7"/>
        <v>-0.26436781609195392</v>
      </c>
      <c r="X82" s="19">
        <f t="shared" si="8"/>
        <v>0.20114942528735624</v>
      </c>
      <c r="Y82" s="12" t="s">
        <v>188</v>
      </c>
      <c r="Z82" s="12" t="s">
        <v>70</v>
      </c>
      <c r="AA82" s="18">
        <v>-2206.0100000000002</v>
      </c>
      <c r="AB82" s="17">
        <v>0.45600000000000002</v>
      </c>
      <c r="AC82" s="12" t="s">
        <v>71</v>
      </c>
      <c r="AD82" s="12" t="str">
        <f t="shared" si="9"/>
        <v>Rs 2+</v>
      </c>
      <c r="AE82" s="20">
        <v>1</v>
      </c>
    </row>
    <row r="83" spans="1:31" x14ac:dyDescent="0.3">
      <c r="A83" s="12" t="s">
        <v>192</v>
      </c>
      <c r="B83" s="12" t="s">
        <v>190</v>
      </c>
      <c r="C83" s="12" t="s">
        <v>193</v>
      </c>
      <c r="D83" s="12" t="s">
        <v>77</v>
      </c>
      <c r="E83" s="13">
        <v>-22.4</v>
      </c>
      <c r="F83" s="13">
        <v>-22.7</v>
      </c>
      <c r="G83" s="13">
        <v>-6.8</v>
      </c>
      <c r="H83" s="14">
        <v>1328.2</v>
      </c>
      <c r="I83" s="12" t="s">
        <v>186</v>
      </c>
      <c r="J83" s="14">
        <v>1360</v>
      </c>
      <c r="K83" s="15">
        <v>2</v>
      </c>
      <c r="L83" s="16">
        <v>350</v>
      </c>
      <c r="M83" s="16">
        <v>5515</v>
      </c>
      <c r="N83" s="17">
        <v>17.05</v>
      </c>
      <c r="O83" s="17">
        <v>35.700000000000003</v>
      </c>
      <c r="P83" s="17">
        <v>11.9</v>
      </c>
      <c r="Q83" s="17">
        <v>29.9</v>
      </c>
      <c r="R83" s="17">
        <v>17.100000000000001</v>
      </c>
      <c r="S83" s="17">
        <v>29.85</v>
      </c>
      <c r="T83" s="16">
        <f t="shared" si="5"/>
        <v>5985.0000000000009</v>
      </c>
      <c r="U83" s="18">
        <v>3899.57</v>
      </c>
      <c r="V83" s="19">
        <f t="shared" si="6"/>
        <v>0.65155722639933156</v>
      </c>
      <c r="W83" s="19">
        <f t="shared" si="7"/>
        <v>0.74561403508771917</v>
      </c>
      <c r="X83" s="19">
        <f t="shared" si="8"/>
        <v>1.0877192982456139</v>
      </c>
      <c r="Y83" s="12" t="s">
        <v>194</v>
      </c>
      <c r="Z83" s="12" t="s">
        <v>70</v>
      </c>
      <c r="AA83" s="18">
        <v>-2843.11</v>
      </c>
      <c r="AB83" s="17">
        <v>2.625</v>
      </c>
      <c r="AC83" s="12" t="s">
        <v>71</v>
      </c>
      <c r="AD83" s="12" t="str">
        <f t="shared" si="9"/>
        <v>Rs 2+</v>
      </c>
      <c r="AE83" s="20">
        <v>1</v>
      </c>
    </row>
    <row r="84" spans="1:31" x14ac:dyDescent="0.3">
      <c r="A84" s="12" t="s">
        <v>126</v>
      </c>
      <c r="B84" s="12" t="s">
        <v>190</v>
      </c>
      <c r="C84" s="12" t="s">
        <v>193</v>
      </c>
      <c r="D84" s="12" t="s">
        <v>68</v>
      </c>
      <c r="E84" s="13">
        <v>29.9</v>
      </c>
      <c r="F84" s="13">
        <v>2.5</v>
      </c>
      <c r="G84" s="13">
        <v>8.4</v>
      </c>
      <c r="H84" s="14">
        <v>558.1</v>
      </c>
      <c r="I84" s="12" t="s">
        <v>186</v>
      </c>
      <c r="J84" s="14">
        <v>530</v>
      </c>
      <c r="K84" s="15">
        <v>3</v>
      </c>
      <c r="L84" s="16">
        <v>950</v>
      </c>
      <c r="M84" s="16">
        <v>844</v>
      </c>
      <c r="N84" s="17">
        <v>7.5</v>
      </c>
      <c r="O84" s="17">
        <v>11.85</v>
      </c>
      <c r="P84" s="17">
        <v>3.9</v>
      </c>
      <c r="Q84" s="17">
        <v>4.8499999999999996</v>
      </c>
      <c r="R84" s="17">
        <v>7.55</v>
      </c>
      <c r="S84" s="17">
        <v>4.8</v>
      </c>
      <c r="T84" s="16">
        <f t="shared" si="5"/>
        <v>7172.5</v>
      </c>
      <c r="U84" s="18">
        <v>-2906.34</v>
      </c>
      <c r="V84" s="19">
        <f t="shared" si="6"/>
        <v>-0.40520599512025096</v>
      </c>
      <c r="W84" s="19">
        <f t="shared" si="7"/>
        <v>-0.36423841059602646</v>
      </c>
      <c r="X84" s="19">
        <f t="shared" si="8"/>
        <v>0.56953642384105962</v>
      </c>
      <c r="Y84" s="12" t="s">
        <v>190</v>
      </c>
      <c r="Z84" s="12" t="s">
        <v>70</v>
      </c>
      <c r="AA84" s="18">
        <v>-2906.34</v>
      </c>
      <c r="AB84" s="17">
        <v>-1.3180000000000001</v>
      </c>
      <c r="AC84" s="12" t="s">
        <v>71</v>
      </c>
      <c r="AD84" s="12" t="str">
        <f t="shared" si="9"/>
        <v>Rs 2+</v>
      </c>
      <c r="AE84" s="20">
        <v>1</v>
      </c>
    </row>
    <row r="85" spans="1:31" x14ac:dyDescent="0.3">
      <c r="A85" s="12" t="s">
        <v>195</v>
      </c>
      <c r="B85" s="12" t="s">
        <v>194</v>
      </c>
      <c r="C85" s="12" t="s">
        <v>190</v>
      </c>
      <c r="D85" s="12" t="s">
        <v>68</v>
      </c>
      <c r="E85" s="13">
        <v>34.1</v>
      </c>
      <c r="F85" s="13">
        <v>20.100000000000001</v>
      </c>
      <c r="G85" s="13">
        <v>44.6</v>
      </c>
      <c r="H85" s="14">
        <v>7496.5</v>
      </c>
      <c r="I85" s="12" t="s">
        <v>186</v>
      </c>
      <c r="J85" s="14">
        <v>7300</v>
      </c>
      <c r="K85" s="15">
        <v>2</v>
      </c>
      <c r="L85" s="16">
        <v>75</v>
      </c>
      <c r="M85" s="16">
        <v>5728</v>
      </c>
      <c r="N85" s="17">
        <v>92.7</v>
      </c>
      <c r="O85" s="17">
        <v>254.95</v>
      </c>
      <c r="P85" s="17">
        <v>82.55</v>
      </c>
      <c r="Q85" s="17">
        <v>241.35</v>
      </c>
      <c r="R85" s="17">
        <v>92.75</v>
      </c>
      <c r="S85" s="17">
        <v>241.3</v>
      </c>
      <c r="T85" s="16">
        <f t="shared" si="5"/>
        <v>6956.25</v>
      </c>
      <c r="U85" s="18">
        <v>10555.07</v>
      </c>
      <c r="V85" s="19">
        <f t="shared" si="6"/>
        <v>1.5173505840071877</v>
      </c>
      <c r="W85" s="19">
        <f t="shared" si="7"/>
        <v>1.6016172506738546</v>
      </c>
      <c r="X85" s="19">
        <f t="shared" si="8"/>
        <v>1.7487870619946091</v>
      </c>
      <c r="Y85" s="12" t="s">
        <v>196</v>
      </c>
      <c r="Z85" s="12" t="s">
        <v>84</v>
      </c>
      <c r="AA85" s="18">
        <v>4807.6499999999996</v>
      </c>
      <c r="AB85" s="17">
        <v>5.4009999999999998</v>
      </c>
      <c r="AC85" s="12" t="s">
        <v>71</v>
      </c>
      <c r="AD85" s="12" t="str">
        <f t="shared" si="9"/>
        <v>Rs 2+</v>
      </c>
      <c r="AE85" s="20">
        <v>1</v>
      </c>
    </row>
    <row r="86" spans="1:31" x14ac:dyDescent="0.3">
      <c r="A86" s="12" t="s">
        <v>141</v>
      </c>
      <c r="B86" s="12" t="s">
        <v>197</v>
      </c>
      <c r="C86" s="12" t="s">
        <v>198</v>
      </c>
      <c r="D86" s="12" t="s">
        <v>68</v>
      </c>
      <c r="E86" s="13">
        <v>23</v>
      </c>
      <c r="F86" s="13">
        <v>12.4</v>
      </c>
      <c r="G86" s="13">
        <v>12.2</v>
      </c>
      <c r="H86" s="14">
        <v>6279.5</v>
      </c>
      <c r="I86" s="12" t="s">
        <v>186</v>
      </c>
      <c r="J86" s="14">
        <v>6150</v>
      </c>
      <c r="K86" s="15">
        <v>3</v>
      </c>
      <c r="L86" s="16">
        <v>100</v>
      </c>
      <c r="M86" s="16">
        <v>2475</v>
      </c>
      <c r="N86" s="17">
        <v>62.55</v>
      </c>
      <c r="O86" s="17">
        <v>72.2</v>
      </c>
      <c r="P86" s="17">
        <v>20.3</v>
      </c>
      <c r="Q86" s="17">
        <v>28.8</v>
      </c>
      <c r="R86" s="17">
        <v>62.6</v>
      </c>
      <c r="S86" s="17">
        <v>28.75</v>
      </c>
      <c r="T86" s="16">
        <f t="shared" si="5"/>
        <v>6260</v>
      </c>
      <c r="U86" s="18">
        <v>-3531.88</v>
      </c>
      <c r="V86" s="19">
        <f t="shared" si="6"/>
        <v>-0.56419808306709263</v>
      </c>
      <c r="W86" s="19">
        <f t="shared" si="7"/>
        <v>-0.54073482428115016</v>
      </c>
      <c r="X86" s="19">
        <f t="shared" si="8"/>
        <v>0.15335463258785942</v>
      </c>
      <c r="Y86" s="12" t="s">
        <v>197</v>
      </c>
      <c r="Z86" s="12" t="s">
        <v>70</v>
      </c>
      <c r="AA86" s="18">
        <v>-3531.88</v>
      </c>
      <c r="AB86" s="17">
        <v>-2.8119999999999998</v>
      </c>
      <c r="AC86" s="12" t="s">
        <v>71</v>
      </c>
      <c r="AD86" s="12" t="str">
        <f t="shared" si="9"/>
        <v>Rs 2+</v>
      </c>
      <c r="AE86" s="20">
        <v>1</v>
      </c>
    </row>
    <row r="87" spans="1:31" x14ac:dyDescent="0.3">
      <c r="A87" s="12" t="s">
        <v>130</v>
      </c>
      <c r="B87" s="12" t="s">
        <v>199</v>
      </c>
      <c r="C87" s="12" t="s">
        <v>197</v>
      </c>
      <c r="D87" s="12" t="s">
        <v>68</v>
      </c>
      <c r="E87" s="13">
        <v>18.399999999999999</v>
      </c>
      <c r="F87" s="13">
        <v>62.2</v>
      </c>
      <c r="G87" s="13">
        <v>6.8</v>
      </c>
      <c r="H87" s="14">
        <v>363.75</v>
      </c>
      <c r="I87" s="12" t="s">
        <v>186</v>
      </c>
      <c r="J87" s="14">
        <v>345</v>
      </c>
      <c r="K87" s="15">
        <v>4</v>
      </c>
      <c r="L87" s="16">
        <v>2850</v>
      </c>
      <c r="M87" s="16">
        <v>6327</v>
      </c>
      <c r="N87" s="17">
        <v>2.5</v>
      </c>
      <c r="O87" s="17">
        <v>4.1500000000000004</v>
      </c>
      <c r="P87" s="17">
        <v>1.55</v>
      </c>
      <c r="Q87" s="17">
        <v>2.2999999999999998</v>
      </c>
      <c r="R87" s="17">
        <v>2.5499999999999998</v>
      </c>
      <c r="S87" s="17">
        <v>2.25</v>
      </c>
      <c r="T87" s="16">
        <f t="shared" si="5"/>
        <v>7267.4999999999991</v>
      </c>
      <c r="U87" s="18">
        <v>-1054.5999999999999</v>
      </c>
      <c r="V87" s="19">
        <f t="shared" si="6"/>
        <v>-0.14511179910560715</v>
      </c>
      <c r="W87" s="19">
        <f t="shared" si="7"/>
        <v>-0.11764705882352933</v>
      </c>
      <c r="X87" s="19">
        <f t="shared" si="8"/>
        <v>0.62745098039215708</v>
      </c>
      <c r="Y87" s="12" t="s">
        <v>200</v>
      </c>
      <c r="Z87" s="12" t="s">
        <v>70</v>
      </c>
      <c r="AA87" s="18">
        <v>-5560.24</v>
      </c>
      <c r="AB87" s="17">
        <v>1.516</v>
      </c>
      <c r="AC87" s="12" t="s">
        <v>71</v>
      </c>
      <c r="AD87" s="12" t="str">
        <f t="shared" si="9"/>
        <v>Rs 2+</v>
      </c>
      <c r="AE87" s="20">
        <v>1</v>
      </c>
    </row>
    <row r="88" spans="1:31" x14ac:dyDescent="0.3">
      <c r="A88" s="12" t="s">
        <v>201</v>
      </c>
      <c r="B88" s="12" t="s">
        <v>199</v>
      </c>
      <c r="C88" s="12" t="s">
        <v>197</v>
      </c>
      <c r="D88" s="12" t="s">
        <v>68</v>
      </c>
      <c r="E88" s="13">
        <v>39.4</v>
      </c>
      <c r="F88" s="13">
        <v>21.1</v>
      </c>
      <c r="G88" s="13">
        <v>46.5</v>
      </c>
      <c r="H88" s="14">
        <v>737.65</v>
      </c>
      <c r="I88" s="12" t="s">
        <v>186</v>
      </c>
      <c r="J88" s="14">
        <v>740</v>
      </c>
      <c r="K88" s="15">
        <v>0</v>
      </c>
      <c r="L88" s="16">
        <v>825</v>
      </c>
      <c r="M88" s="16">
        <v>12504</v>
      </c>
      <c r="N88" s="17">
        <v>9.4499999999999993</v>
      </c>
      <c r="O88" s="17">
        <v>16.649999999999999</v>
      </c>
      <c r="P88" s="17">
        <v>4.75</v>
      </c>
      <c r="Q88" s="17">
        <v>9.4</v>
      </c>
      <c r="R88" s="17">
        <v>9.5</v>
      </c>
      <c r="S88" s="17">
        <v>9.35</v>
      </c>
      <c r="T88" s="16">
        <f t="shared" si="5"/>
        <v>7837.5</v>
      </c>
      <c r="U88" s="18">
        <v>-344.8</v>
      </c>
      <c r="V88" s="19">
        <f t="shared" si="6"/>
        <v>-4.399362041467305E-2</v>
      </c>
      <c r="W88" s="19">
        <f t="shared" si="7"/>
        <v>-1.5789473684210575E-2</v>
      </c>
      <c r="X88" s="19">
        <f t="shared" si="8"/>
        <v>0.75263157894736832</v>
      </c>
      <c r="Y88" s="12" t="s">
        <v>200</v>
      </c>
      <c r="Z88" s="12" t="s">
        <v>70</v>
      </c>
      <c r="AA88" s="18">
        <v>-4950.49</v>
      </c>
      <c r="AB88" s="17">
        <v>2.1429999999999998</v>
      </c>
      <c r="AC88" s="12" t="s">
        <v>71</v>
      </c>
      <c r="AD88" s="12" t="str">
        <f t="shared" si="9"/>
        <v>Rs 2+</v>
      </c>
      <c r="AE88" s="20">
        <v>1</v>
      </c>
    </row>
    <row r="89" spans="1:31" x14ac:dyDescent="0.3">
      <c r="A89" s="12" t="s">
        <v>158</v>
      </c>
      <c r="B89" s="12" t="s">
        <v>199</v>
      </c>
      <c r="C89" s="12" t="s">
        <v>197</v>
      </c>
      <c r="D89" s="12" t="s">
        <v>77</v>
      </c>
      <c r="E89" s="13">
        <v>-10.6</v>
      </c>
      <c r="F89" s="13">
        <v>-11.3</v>
      </c>
      <c r="G89" s="13">
        <v>2.6</v>
      </c>
      <c r="H89" s="14">
        <v>3759.1</v>
      </c>
      <c r="I89" s="12" t="s">
        <v>186</v>
      </c>
      <c r="J89" s="14">
        <v>3850</v>
      </c>
      <c r="K89" s="15">
        <v>2</v>
      </c>
      <c r="L89" s="16">
        <v>125</v>
      </c>
      <c r="M89" s="16">
        <v>4698</v>
      </c>
      <c r="N89" s="17">
        <v>47.95</v>
      </c>
      <c r="O89" s="17">
        <v>95.55</v>
      </c>
      <c r="P89" s="17">
        <v>40</v>
      </c>
      <c r="Q89" s="17">
        <v>41.95</v>
      </c>
      <c r="R89" s="17">
        <v>48</v>
      </c>
      <c r="S89" s="17">
        <v>41.9</v>
      </c>
      <c r="T89" s="16">
        <f t="shared" si="5"/>
        <v>6000</v>
      </c>
      <c r="U89" s="18">
        <v>-1047.22</v>
      </c>
      <c r="V89" s="19">
        <f t="shared" si="6"/>
        <v>-0.17453666666666667</v>
      </c>
      <c r="W89" s="19">
        <f t="shared" si="7"/>
        <v>-0.12708333333333333</v>
      </c>
      <c r="X89" s="19">
        <f t="shared" si="8"/>
        <v>0.99062499999999987</v>
      </c>
      <c r="Y89" s="12" t="s">
        <v>200</v>
      </c>
      <c r="Z89" s="12" t="s">
        <v>70</v>
      </c>
      <c r="AA89" s="18">
        <v>-3088.95</v>
      </c>
      <c r="AB89" s="17">
        <v>0.78900000000000003</v>
      </c>
      <c r="AC89" s="12" t="s">
        <v>71</v>
      </c>
      <c r="AD89" s="12" t="str">
        <f t="shared" si="9"/>
        <v>Rs 2+</v>
      </c>
      <c r="AE89" s="20">
        <v>1</v>
      </c>
    </row>
    <row r="90" spans="1:31" x14ac:dyDescent="0.3">
      <c r="A90" s="12" t="s">
        <v>202</v>
      </c>
      <c r="B90" s="12" t="s">
        <v>200</v>
      </c>
      <c r="C90" s="12" t="s">
        <v>199</v>
      </c>
      <c r="D90" s="12" t="s">
        <v>68</v>
      </c>
      <c r="E90" s="13">
        <v>377.9</v>
      </c>
      <c r="F90" s="13">
        <v>115</v>
      </c>
      <c r="G90" s="13">
        <v>121</v>
      </c>
      <c r="H90" s="14">
        <v>16566</v>
      </c>
      <c r="I90" s="12" t="s">
        <v>186</v>
      </c>
      <c r="J90" s="14">
        <v>15250</v>
      </c>
      <c r="K90" s="15">
        <v>5</v>
      </c>
      <c r="L90" s="16">
        <v>50</v>
      </c>
      <c r="M90" s="16">
        <v>15876</v>
      </c>
      <c r="N90" s="17">
        <v>115.85</v>
      </c>
      <c r="O90" s="17">
        <v>527.79999999999995</v>
      </c>
      <c r="P90" s="17">
        <v>114.95</v>
      </c>
      <c r="Q90" s="17">
        <v>274</v>
      </c>
      <c r="R90" s="17">
        <v>115.9</v>
      </c>
      <c r="S90" s="17">
        <v>273.95</v>
      </c>
      <c r="T90" s="16">
        <f t="shared" si="5"/>
        <v>5795</v>
      </c>
      <c r="U90" s="18">
        <v>7436.53</v>
      </c>
      <c r="V90" s="19">
        <f t="shared" si="6"/>
        <v>1.2832666091458154</v>
      </c>
      <c r="W90" s="19">
        <f t="shared" si="7"/>
        <v>1.3636755823986193</v>
      </c>
      <c r="X90" s="19">
        <f t="shared" si="8"/>
        <v>3.5539257981018109</v>
      </c>
      <c r="Y90" s="12" t="s">
        <v>203</v>
      </c>
      <c r="Z90" s="12" t="s">
        <v>84</v>
      </c>
      <c r="AA90" s="18">
        <v>7663.94</v>
      </c>
      <c r="AB90" s="17">
        <v>5.7640000000000002</v>
      </c>
      <c r="AC90" s="12" t="s">
        <v>71</v>
      </c>
      <c r="AD90" s="12" t="str">
        <f t="shared" si="9"/>
        <v>Rs 2+</v>
      </c>
      <c r="AE90" s="20">
        <v>1</v>
      </c>
    </row>
    <row r="91" spans="1:31" x14ac:dyDescent="0.3">
      <c r="A91" s="12" t="s">
        <v>204</v>
      </c>
      <c r="B91" s="12" t="s">
        <v>200</v>
      </c>
      <c r="C91" s="12" t="s">
        <v>199</v>
      </c>
      <c r="D91" s="12" t="s">
        <v>68</v>
      </c>
      <c r="E91" s="13">
        <v>66.5</v>
      </c>
      <c r="F91" s="13">
        <v>41.5</v>
      </c>
      <c r="G91" s="13">
        <v>15.9</v>
      </c>
      <c r="H91" s="14">
        <v>662.75</v>
      </c>
      <c r="I91" s="12" t="s">
        <v>186</v>
      </c>
      <c r="J91" s="14">
        <v>640</v>
      </c>
      <c r="K91" s="15">
        <v>2</v>
      </c>
      <c r="L91" s="16">
        <v>1400</v>
      </c>
      <c r="M91" s="16">
        <v>2698</v>
      </c>
      <c r="N91" s="17">
        <v>5.0999999999999996</v>
      </c>
      <c r="O91" s="17">
        <v>6.45</v>
      </c>
      <c r="P91" s="17">
        <v>3.2</v>
      </c>
      <c r="Q91" s="17">
        <v>3.8</v>
      </c>
      <c r="R91" s="17">
        <v>5.15</v>
      </c>
      <c r="S91" s="17">
        <v>3.75</v>
      </c>
      <c r="T91" s="16">
        <f t="shared" si="5"/>
        <v>7210.0000000000009</v>
      </c>
      <c r="U91" s="18">
        <v>-2145.15</v>
      </c>
      <c r="V91" s="19">
        <f t="shared" si="6"/>
        <v>-0.29752427184466018</v>
      </c>
      <c r="W91" s="19">
        <f t="shared" si="7"/>
        <v>-0.27184466019417486</v>
      </c>
      <c r="X91" s="19">
        <f t="shared" si="8"/>
        <v>0.25242718446601931</v>
      </c>
      <c r="Y91" s="12" t="s">
        <v>200</v>
      </c>
      <c r="Z91" s="12" t="s">
        <v>70</v>
      </c>
      <c r="AA91" s="18">
        <v>-2145.15</v>
      </c>
      <c r="AB91" s="17">
        <v>0.61499999999999999</v>
      </c>
      <c r="AC91" s="12" t="s">
        <v>71</v>
      </c>
      <c r="AD91" s="12" t="str">
        <f t="shared" si="9"/>
        <v>Rs 2+</v>
      </c>
      <c r="AE91" s="20">
        <v>1</v>
      </c>
    </row>
    <row r="92" spans="1:31" x14ac:dyDescent="0.3">
      <c r="A92" s="12" t="s">
        <v>133</v>
      </c>
      <c r="B92" s="12" t="s">
        <v>200</v>
      </c>
      <c r="C92" s="12" t="s">
        <v>199</v>
      </c>
      <c r="D92" s="12" t="s">
        <v>68</v>
      </c>
      <c r="E92" s="13">
        <v>26.8</v>
      </c>
      <c r="F92" s="13">
        <v>33.6</v>
      </c>
      <c r="G92" s="13">
        <v>34.200000000000003</v>
      </c>
      <c r="H92" s="14">
        <v>1164.7</v>
      </c>
      <c r="I92" s="12" t="s">
        <v>186</v>
      </c>
      <c r="J92" s="14">
        <v>1140</v>
      </c>
      <c r="K92" s="15">
        <v>1</v>
      </c>
      <c r="L92" s="16">
        <v>525</v>
      </c>
      <c r="M92" s="16">
        <v>2027</v>
      </c>
      <c r="N92" s="17">
        <v>14</v>
      </c>
      <c r="O92" s="17">
        <v>29.35</v>
      </c>
      <c r="P92" s="17">
        <v>10.45</v>
      </c>
      <c r="Q92" s="17">
        <v>22.6</v>
      </c>
      <c r="R92" s="17">
        <v>14.05</v>
      </c>
      <c r="S92" s="17">
        <v>22.55</v>
      </c>
      <c r="T92" s="16">
        <f t="shared" si="5"/>
        <v>7376.25</v>
      </c>
      <c r="U92" s="18">
        <v>4004.94</v>
      </c>
      <c r="V92" s="19">
        <f t="shared" si="6"/>
        <v>0.54295068632435184</v>
      </c>
      <c r="W92" s="19">
        <f t="shared" si="7"/>
        <v>0.604982206405694</v>
      </c>
      <c r="X92" s="19">
        <f t="shared" si="8"/>
        <v>1.0889679715302489</v>
      </c>
      <c r="Y92" s="12" t="s">
        <v>205</v>
      </c>
      <c r="Z92" s="12" t="s">
        <v>84</v>
      </c>
      <c r="AA92" s="18">
        <v>230.77</v>
      </c>
      <c r="AB92" s="17">
        <v>2.5430000000000001</v>
      </c>
      <c r="AC92" s="12" t="s">
        <v>71</v>
      </c>
      <c r="AD92" s="12" t="str">
        <f t="shared" si="9"/>
        <v>Rs 2+</v>
      </c>
      <c r="AE92" s="20">
        <v>1</v>
      </c>
    </row>
    <row r="93" spans="1:31" x14ac:dyDescent="0.3">
      <c r="A93" s="12" t="s">
        <v>164</v>
      </c>
      <c r="B93" s="12" t="s">
        <v>200</v>
      </c>
      <c r="C93" s="12" t="s">
        <v>199</v>
      </c>
      <c r="D93" s="12" t="s">
        <v>68</v>
      </c>
      <c r="E93" s="13">
        <v>50.5</v>
      </c>
      <c r="F93" s="13">
        <v>178.6</v>
      </c>
      <c r="G93" s="13">
        <v>24.3</v>
      </c>
      <c r="H93" s="14">
        <v>86.61</v>
      </c>
      <c r="I93" s="12" t="s">
        <v>186</v>
      </c>
      <c r="J93" s="14">
        <v>85</v>
      </c>
      <c r="K93" s="15">
        <v>2</v>
      </c>
      <c r="L93" s="16">
        <v>6400</v>
      </c>
      <c r="M93" s="16">
        <v>710</v>
      </c>
      <c r="N93" s="17">
        <v>1.05</v>
      </c>
      <c r="O93" s="17">
        <v>1.55</v>
      </c>
      <c r="P93" s="17">
        <v>0.7</v>
      </c>
      <c r="Q93" s="17">
        <v>0.8</v>
      </c>
      <c r="R93" s="17">
        <v>1.1000000000000001</v>
      </c>
      <c r="S93" s="17">
        <v>0.75</v>
      </c>
      <c r="T93" s="16">
        <f t="shared" si="5"/>
        <v>7040.0000000000009</v>
      </c>
      <c r="U93" s="18">
        <v>-2536.39</v>
      </c>
      <c r="V93" s="19">
        <f t="shared" si="6"/>
        <v>-0.36028267045454537</v>
      </c>
      <c r="W93" s="19">
        <f t="shared" si="7"/>
        <v>-0.31818181818181823</v>
      </c>
      <c r="X93" s="19">
        <f t="shared" si="8"/>
        <v>0.40909090909090895</v>
      </c>
      <c r="Y93" s="12" t="s">
        <v>200</v>
      </c>
      <c r="Z93" s="12" t="s">
        <v>70</v>
      </c>
      <c r="AA93" s="18">
        <v>-2536.39</v>
      </c>
      <c r="AB93" s="17">
        <v>1.44</v>
      </c>
      <c r="AC93" s="12" t="s">
        <v>102</v>
      </c>
      <c r="AD93" s="12" t="str">
        <f t="shared" si="9"/>
        <v>Rs 1-2</v>
      </c>
      <c r="AE93" s="20">
        <v>1</v>
      </c>
    </row>
    <row r="94" spans="1:31" x14ac:dyDescent="0.3">
      <c r="A94" s="12" t="s">
        <v>206</v>
      </c>
      <c r="B94" s="12" t="s">
        <v>200</v>
      </c>
      <c r="C94" s="12" t="s">
        <v>199</v>
      </c>
      <c r="D94" s="12" t="s">
        <v>68</v>
      </c>
      <c r="E94" s="13">
        <v>74.7</v>
      </c>
      <c r="F94" s="13">
        <v>25.7</v>
      </c>
      <c r="G94" s="13">
        <v>1.9</v>
      </c>
      <c r="H94" s="14">
        <v>1556.6</v>
      </c>
      <c r="I94" s="12" t="s">
        <v>186</v>
      </c>
      <c r="J94" s="14">
        <v>1540</v>
      </c>
      <c r="K94" s="15">
        <v>1</v>
      </c>
      <c r="L94" s="16">
        <v>350</v>
      </c>
      <c r="M94" s="16">
        <v>3992</v>
      </c>
      <c r="N94" s="17">
        <v>22.65</v>
      </c>
      <c r="O94" s="17">
        <v>56.05</v>
      </c>
      <c r="P94" s="17">
        <v>16.95</v>
      </c>
      <c r="Q94" s="17">
        <v>18.399999999999999</v>
      </c>
      <c r="R94" s="17">
        <v>22.7</v>
      </c>
      <c r="S94" s="17">
        <v>18.350000000000001</v>
      </c>
      <c r="T94" s="16">
        <f t="shared" si="5"/>
        <v>7945</v>
      </c>
      <c r="U94" s="18">
        <v>-1729.28</v>
      </c>
      <c r="V94" s="19">
        <f t="shared" si="6"/>
        <v>-0.21765638766519824</v>
      </c>
      <c r="W94" s="19">
        <f t="shared" si="7"/>
        <v>-0.1916299559471365</v>
      </c>
      <c r="X94" s="19">
        <f t="shared" si="8"/>
        <v>1.4691629955947136</v>
      </c>
      <c r="Y94" s="12" t="s">
        <v>205</v>
      </c>
      <c r="Z94" s="12" t="s">
        <v>70</v>
      </c>
      <c r="AA94" s="18">
        <v>-4686.12</v>
      </c>
      <c r="AB94" s="17">
        <v>0.80300000000000005</v>
      </c>
      <c r="AC94" s="12" t="s">
        <v>71</v>
      </c>
      <c r="AD94" s="12" t="str">
        <f t="shared" si="9"/>
        <v>Rs 2+</v>
      </c>
      <c r="AE94" s="20">
        <v>1</v>
      </c>
    </row>
    <row r="95" spans="1:31" x14ac:dyDescent="0.3">
      <c r="A95" s="12" t="s">
        <v>207</v>
      </c>
      <c r="B95" s="12" t="s">
        <v>205</v>
      </c>
      <c r="C95" s="12" t="s">
        <v>200</v>
      </c>
      <c r="D95" s="12" t="s">
        <v>68</v>
      </c>
      <c r="E95" s="13">
        <v>61.9</v>
      </c>
      <c r="F95" s="13">
        <v>25.3</v>
      </c>
      <c r="G95" s="13">
        <v>24.3</v>
      </c>
      <c r="H95" s="14">
        <v>5461.5</v>
      </c>
      <c r="I95" s="12" t="s">
        <v>186</v>
      </c>
      <c r="J95" s="14">
        <v>5150</v>
      </c>
      <c r="K95" s="15">
        <v>6</v>
      </c>
      <c r="L95" s="16">
        <v>150</v>
      </c>
      <c r="M95" s="16">
        <v>1246</v>
      </c>
      <c r="N95" s="17">
        <v>39.9</v>
      </c>
      <c r="O95" s="17">
        <v>50.15</v>
      </c>
      <c r="P95" s="17">
        <v>10</v>
      </c>
      <c r="Q95" s="17">
        <v>11.1</v>
      </c>
      <c r="R95" s="17">
        <v>39.950000000000003</v>
      </c>
      <c r="S95" s="17">
        <v>11.05</v>
      </c>
      <c r="T95" s="16">
        <f t="shared" si="5"/>
        <v>5992.5</v>
      </c>
      <c r="U95" s="18">
        <v>-4464.59</v>
      </c>
      <c r="V95" s="19">
        <f t="shared" si="6"/>
        <v>-0.74502962035878184</v>
      </c>
      <c r="W95" s="19">
        <f t="shared" si="7"/>
        <v>-0.72340425531914887</v>
      </c>
      <c r="X95" s="19">
        <f t="shared" si="8"/>
        <v>0.25531914893617014</v>
      </c>
      <c r="Y95" s="12" t="s">
        <v>205</v>
      </c>
      <c r="Z95" s="12" t="s">
        <v>70</v>
      </c>
      <c r="AA95" s="18">
        <v>-4464.59</v>
      </c>
      <c r="AB95" s="17">
        <v>-0.69499999999999995</v>
      </c>
      <c r="AC95" s="12" t="s">
        <v>71</v>
      </c>
      <c r="AD95" s="12" t="str">
        <f t="shared" si="9"/>
        <v>Rs 2+</v>
      </c>
      <c r="AE95" s="20">
        <v>1</v>
      </c>
    </row>
    <row r="96" spans="1:31" x14ac:dyDescent="0.3">
      <c r="A96" s="12" t="s">
        <v>208</v>
      </c>
      <c r="B96" s="12" t="s">
        <v>205</v>
      </c>
      <c r="C96" s="12" t="s">
        <v>200</v>
      </c>
      <c r="D96" s="12" t="s">
        <v>77</v>
      </c>
      <c r="E96" s="13">
        <v>-199.1</v>
      </c>
      <c r="F96" s="13">
        <v>-266.10000000000002</v>
      </c>
      <c r="G96" s="13">
        <v>-12.8</v>
      </c>
      <c r="H96" s="14">
        <v>769.95</v>
      </c>
      <c r="I96" s="12" t="s">
        <v>186</v>
      </c>
      <c r="J96" s="14">
        <v>780</v>
      </c>
      <c r="K96" s="15">
        <v>1</v>
      </c>
      <c r="L96" s="16">
        <v>500</v>
      </c>
      <c r="M96" s="16">
        <v>39121</v>
      </c>
      <c r="N96" s="17">
        <v>14.95</v>
      </c>
      <c r="O96" s="17">
        <v>37.4</v>
      </c>
      <c r="P96" s="17">
        <v>6.85</v>
      </c>
      <c r="Q96" s="17">
        <v>24.6</v>
      </c>
      <c r="R96" s="17">
        <v>15</v>
      </c>
      <c r="S96" s="17">
        <v>24.55</v>
      </c>
      <c r="T96" s="16">
        <f t="shared" si="5"/>
        <v>7500</v>
      </c>
      <c r="U96" s="18">
        <v>4305.3500000000004</v>
      </c>
      <c r="V96" s="19">
        <f t="shared" si="6"/>
        <v>0.57404666666666671</v>
      </c>
      <c r="W96" s="19">
        <f t="shared" si="7"/>
        <v>0.63666666666666671</v>
      </c>
      <c r="X96" s="19">
        <f t="shared" si="8"/>
        <v>1.4933333333333332</v>
      </c>
      <c r="Y96" s="12" t="s">
        <v>209</v>
      </c>
      <c r="Z96" s="12" t="s">
        <v>84</v>
      </c>
      <c r="AA96" s="18">
        <v>4965.55</v>
      </c>
      <c r="AB96" s="17">
        <v>4.6669999999999998</v>
      </c>
      <c r="AC96" s="12" t="s">
        <v>71</v>
      </c>
      <c r="AD96" s="12" t="str">
        <f t="shared" si="9"/>
        <v>Rs 2+</v>
      </c>
      <c r="AE96" s="20">
        <v>1</v>
      </c>
    </row>
    <row r="97" spans="1:31" x14ac:dyDescent="0.3">
      <c r="A97" s="12" t="s">
        <v>168</v>
      </c>
      <c r="B97" s="12" t="s">
        <v>205</v>
      </c>
      <c r="C97" s="12" t="s">
        <v>200</v>
      </c>
      <c r="D97" s="12" t="s">
        <v>68</v>
      </c>
      <c r="E97" s="13">
        <v>107.4</v>
      </c>
      <c r="F97" s="13">
        <v>32</v>
      </c>
      <c r="G97" s="13">
        <v>47.2</v>
      </c>
      <c r="H97" s="14">
        <v>181.74</v>
      </c>
      <c r="I97" s="12" t="s">
        <v>186</v>
      </c>
      <c r="J97" s="14">
        <v>180</v>
      </c>
      <c r="K97" s="15">
        <v>0</v>
      </c>
      <c r="L97" s="16">
        <v>3750</v>
      </c>
      <c r="M97" s="16">
        <v>4195</v>
      </c>
      <c r="N97" s="17">
        <v>2</v>
      </c>
      <c r="O97" s="17">
        <v>2.95</v>
      </c>
      <c r="P97" s="17">
        <v>0.9</v>
      </c>
      <c r="Q97" s="17">
        <v>1.85</v>
      </c>
      <c r="R97" s="17">
        <v>2.0499999999999998</v>
      </c>
      <c r="S97" s="17">
        <v>1.8</v>
      </c>
      <c r="T97" s="16">
        <f t="shared" si="5"/>
        <v>7687.4999999999991</v>
      </c>
      <c r="U97" s="18">
        <v>-1289.8699999999999</v>
      </c>
      <c r="V97" s="19">
        <f t="shared" si="6"/>
        <v>-0.16778796747967481</v>
      </c>
      <c r="W97" s="19">
        <f t="shared" si="7"/>
        <v>-0.12195121951219501</v>
      </c>
      <c r="X97" s="19">
        <f t="shared" si="8"/>
        <v>0.43902439024390261</v>
      </c>
      <c r="Y97" s="12" t="s">
        <v>210</v>
      </c>
      <c r="Z97" s="12" t="s">
        <v>70</v>
      </c>
      <c r="AA97" s="18">
        <v>-2390.2199999999998</v>
      </c>
      <c r="AB97" s="17">
        <v>2.6579999999999999</v>
      </c>
      <c r="AC97" s="12" t="s">
        <v>71</v>
      </c>
      <c r="AD97" s="12" t="str">
        <f t="shared" si="9"/>
        <v>Rs 2+</v>
      </c>
      <c r="AE97" s="20">
        <v>1</v>
      </c>
    </row>
    <row r="98" spans="1:31" x14ac:dyDescent="0.3">
      <c r="A98" s="12" t="s">
        <v>211</v>
      </c>
      <c r="B98" s="12" t="s">
        <v>205</v>
      </c>
      <c r="C98" s="12" t="s">
        <v>200</v>
      </c>
      <c r="D98" s="12" t="s">
        <v>77</v>
      </c>
      <c r="E98" s="13">
        <v>-23.2</v>
      </c>
      <c r="F98" s="13">
        <v>-9.5</v>
      </c>
      <c r="G98" s="13">
        <v>2.4</v>
      </c>
      <c r="H98" s="14">
        <v>248.68</v>
      </c>
      <c r="I98" s="12" t="s">
        <v>186</v>
      </c>
      <c r="J98" s="14">
        <v>250</v>
      </c>
      <c r="K98" s="15">
        <v>1</v>
      </c>
      <c r="L98" s="16">
        <v>1925</v>
      </c>
      <c r="M98" s="16">
        <v>11769</v>
      </c>
      <c r="N98" s="17">
        <v>3.55</v>
      </c>
      <c r="O98" s="17">
        <v>4.0999999999999996</v>
      </c>
      <c r="P98" s="17">
        <v>0.95</v>
      </c>
      <c r="Q98" s="17">
        <v>1.1499999999999999</v>
      </c>
      <c r="R98" s="17">
        <v>3.6</v>
      </c>
      <c r="S98" s="17">
        <v>1.1000000000000001</v>
      </c>
      <c r="T98" s="16">
        <f t="shared" si="5"/>
        <v>6930</v>
      </c>
      <c r="U98" s="18">
        <v>-4957.37</v>
      </c>
      <c r="V98" s="19">
        <f t="shared" si="6"/>
        <v>-0.71534920634920629</v>
      </c>
      <c r="W98" s="19">
        <f t="shared" si="7"/>
        <v>-0.69444444444444442</v>
      </c>
      <c r="X98" s="19">
        <f t="shared" si="8"/>
        <v>0.13888888888888884</v>
      </c>
      <c r="Y98" s="12" t="s">
        <v>205</v>
      </c>
      <c r="Z98" s="12" t="s">
        <v>70</v>
      </c>
      <c r="AA98" s="18">
        <v>-4957.37</v>
      </c>
      <c r="AB98" s="17">
        <v>-2.819</v>
      </c>
      <c r="AC98" s="12" t="s">
        <v>71</v>
      </c>
      <c r="AD98" s="12" t="str">
        <f t="shared" si="9"/>
        <v>Rs 2+</v>
      </c>
      <c r="AE98" s="20">
        <v>1</v>
      </c>
    </row>
    <row r="99" spans="1:31" x14ac:dyDescent="0.3">
      <c r="A99" s="12" t="s">
        <v>212</v>
      </c>
      <c r="B99" s="12" t="s">
        <v>210</v>
      </c>
      <c r="C99" s="12" t="s">
        <v>205</v>
      </c>
      <c r="D99" s="12" t="s">
        <v>68</v>
      </c>
      <c r="E99" s="13">
        <v>281.60000000000002</v>
      </c>
      <c r="F99" s="13">
        <v>295.10000000000002</v>
      </c>
      <c r="G99" s="13">
        <v>4.8</v>
      </c>
      <c r="H99" s="14">
        <v>426.1</v>
      </c>
      <c r="I99" s="12" t="s">
        <v>186</v>
      </c>
      <c r="J99" s="14">
        <v>420</v>
      </c>
      <c r="K99" s="15">
        <v>1</v>
      </c>
      <c r="L99" s="16">
        <v>1600</v>
      </c>
      <c r="M99" s="16">
        <v>12924</v>
      </c>
      <c r="N99" s="17">
        <v>3.45</v>
      </c>
      <c r="O99" s="17">
        <v>3.8</v>
      </c>
      <c r="P99" s="17">
        <v>0.65</v>
      </c>
      <c r="Q99" s="17">
        <v>1.05</v>
      </c>
      <c r="R99" s="17">
        <v>3.5</v>
      </c>
      <c r="S99" s="17">
        <v>1</v>
      </c>
      <c r="T99" s="16">
        <f t="shared" si="5"/>
        <v>5600</v>
      </c>
      <c r="U99" s="18">
        <v>-4124.8</v>
      </c>
      <c r="V99" s="19">
        <f t="shared" si="6"/>
        <v>-0.73657142857142865</v>
      </c>
      <c r="W99" s="19">
        <f t="shared" si="7"/>
        <v>-0.7142857142857143</v>
      </c>
      <c r="X99" s="19">
        <f t="shared" si="8"/>
        <v>8.5714285714285632E-2</v>
      </c>
      <c r="Y99" s="12" t="s">
        <v>210</v>
      </c>
      <c r="Z99" s="12" t="s">
        <v>70</v>
      </c>
      <c r="AA99" s="18">
        <v>-4124.8</v>
      </c>
      <c r="AB99" s="17">
        <v>-0.53</v>
      </c>
      <c r="AC99" s="12" t="s">
        <v>71</v>
      </c>
      <c r="AD99" s="12" t="str">
        <f t="shared" si="9"/>
        <v>Rs 2+</v>
      </c>
      <c r="AE99" s="20">
        <v>1</v>
      </c>
    </row>
    <row r="100" spans="1:31" x14ac:dyDescent="0.3">
      <c r="A100" s="12" t="s">
        <v>213</v>
      </c>
      <c r="B100" s="12" t="s">
        <v>210</v>
      </c>
      <c r="C100" s="12" t="s">
        <v>205</v>
      </c>
      <c r="D100" s="12" t="s">
        <v>77</v>
      </c>
      <c r="E100" s="13">
        <v>-19</v>
      </c>
      <c r="F100" s="13">
        <v>-26.1</v>
      </c>
      <c r="G100" s="13">
        <v>8.1</v>
      </c>
      <c r="H100" s="14">
        <v>1718.7</v>
      </c>
      <c r="I100" s="12" t="s">
        <v>186</v>
      </c>
      <c r="J100" s="14">
        <v>1720</v>
      </c>
      <c r="K100" s="15">
        <v>0</v>
      </c>
      <c r="L100" s="16">
        <v>350</v>
      </c>
      <c r="M100" s="16">
        <v>16352</v>
      </c>
      <c r="N100" s="17">
        <v>4.2</v>
      </c>
      <c r="O100" s="17">
        <v>12.35</v>
      </c>
      <c r="P100" s="17">
        <v>2.0499999999999998</v>
      </c>
      <c r="Q100" s="17">
        <v>5.75</v>
      </c>
      <c r="R100" s="17">
        <v>4.25</v>
      </c>
      <c r="S100" s="17">
        <v>5.7</v>
      </c>
      <c r="T100" s="16">
        <f t="shared" si="5"/>
        <v>1487.5</v>
      </c>
      <c r="U100" s="18">
        <v>420.98</v>
      </c>
      <c r="V100" s="19">
        <f t="shared" si="6"/>
        <v>0.28301176470588235</v>
      </c>
      <c r="W100" s="19">
        <f t="shared" si="7"/>
        <v>0.34117647058823541</v>
      </c>
      <c r="X100" s="19">
        <f t="shared" si="8"/>
        <v>1.9058823529411764</v>
      </c>
      <c r="Y100" s="12" t="s">
        <v>203</v>
      </c>
      <c r="Z100" s="12" t="s">
        <v>84</v>
      </c>
      <c r="AA100" s="18">
        <v>-357.14</v>
      </c>
      <c r="AB100" s="17">
        <v>1.544</v>
      </c>
      <c r="AC100" s="12" t="s">
        <v>71</v>
      </c>
      <c r="AD100" s="12" t="str">
        <f t="shared" si="9"/>
        <v>Rs 2+</v>
      </c>
      <c r="AE100" s="20">
        <v>1</v>
      </c>
    </row>
    <row r="101" spans="1:31" x14ac:dyDescent="0.3">
      <c r="A101" s="12" t="s">
        <v>174</v>
      </c>
      <c r="B101" s="12" t="s">
        <v>203</v>
      </c>
      <c r="C101" s="12" t="s">
        <v>210</v>
      </c>
      <c r="D101" s="12" t="s">
        <v>68</v>
      </c>
      <c r="E101" s="13">
        <v>33.4</v>
      </c>
      <c r="F101" s="13">
        <v>52</v>
      </c>
      <c r="G101" s="13">
        <v>8.1999999999999993</v>
      </c>
      <c r="H101" s="14">
        <v>239.61</v>
      </c>
      <c r="I101" s="12" t="s">
        <v>186</v>
      </c>
      <c r="J101" s="14">
        <v>235</v>
      </c>
      <c r="K101" s="15">
        <v>2</v>
      </c>
      <c r="L101" s="16">
        <v>2500</v>
      </c>
      <c r="M101" s="16">
        <v>5816</v>
      </c>
      <c r="N101" s="17">
        <v>1.7</v>
      </c>
      <c r="O101" s="17">
        <v>2.25</v>
      </c>
      <c r="P101" s="17">
        <v>0.6</v>
      </c>
      <c r="Q101" s="17">
        <v>0.85</v>
      </c>
      <c r="R101" s="17">
        <v>1.75</v>
      </c>
      <c r="S101" s="17">
        <v>0.8</v>
      </c>
      <c r="T101" s="16">
        <f t="shared" si="5"/>
        <v>4375</v>
      </c>
      <c r="U101" s="18">
        <v>-2555.5</v>
      </c>
      <c r="V101" s="19">
        <f t="shared" si="6"/>
        <v>-0.5841142857142857</v>
      </c>
      <c r="W101" s="19">
        <f t="shared" si="7"/>
        <v>-0.54285714285714282</v>
      </c>
      <c r="X101" s="19">
        <f t="shared" si="8"/>
        <v>0.28571428571428581</v>
      </c>
      <c r="Y101" s="12" t="s">
        <v>203</v>
      </c>
      <c r="Z101" s="12" t="s">
        <v>70</v>
      </c>
      <c r="AA101" s="18">
        <v>-2555.5</v>
      </c>
      <c r="AB101" s="17">
        <v>0.78600000000000003</v>
      </c>
      <c r="AC101" s="12" t="s">
        <v>102</v>
      </c>
      <c r="AD101" s="12" t="str">
        <f t="shared" si="9"/>
        <v>Rs 1-2</v>
      </c>
      <c r="AE101" s="20">
        <v>1</v>
      </c>
    </row>
    <row r="102" spans="1:31" x14ac:dyDescent="0.3">
      <c r="A102" s="12" t="s">
        <v>214</v>
      </c>
      <c r="B102" s="12" t="s">
        <v>203</v>
      </c>
      <c r="C102" s="12" t="s">
        <v>215</v>
      </c>
      <c r="D102" s="12" t="s">
        <v>68</v>
      </c>
      <c r="E102" s="13">
        <v>21.7</v>
      </c>
      <c r="F102" s="13">
        <v>52.8</v>
      </c>
      <c r="G102" s="13">
        <v>4.5999999999999996</v>
      </c>
      <c r="H102" s="14">
        <v>344.6</v>
      </c>
      <c r="I102" s="12" t="s">
        <v>186</v>
      </c>
      <c r="J102" s="14">
        <v>345</v>
      </c>
      <c r="K102" s="15">
        <v>0</v>
      </c>
      <c r="L102" s="16">
        <v>1500</v>
      </c>
      <c r="M102" s="16">
        <v>7231</v>
      </c>
      <c r="N102" s="17">
        <v>3.5</v>
      </c>
      <c r="O102" s="17">
        <v>4.2</v>
      </c>
      <c r="P102" s="17">
        <v>1.35</v>
      </c>
      <c r="Q102" s="17">
        <v>3.95</v>
      </c>
      <c r="R102" s="17">
        <v>3.55</v>
      </c>
      <c r="S102" s="17">
        <v>3.9</v>
      </c>
      <c r="T102" s="16">
        <f t="shared" si="5"/>
        <v>5325</v>
      </c>
      <c r="U102" s="18">
        <v>352.4</v>
      </c>
      <c r="V102" s="19">
        <f t="shared" si="6"/>
        <v>6.6178403755868545E-2</v>
      </c>
      <c r="W102" s="19">
        <f t="shared" si="7"/>
        <v>9.8591549295774739E-2</v>
      </c>
      <c r="X102" s="19">
        <f t="shared" si="8"/>
        <v>0.18309859154929597</v>
      </c>
      <c r="Y102" s="12" t="s">
        <v>209</v>
      </c>
      <c r="Z102" s="12" t="s">
        <v>111</v>
      </c>
      <c r="AA102" s="18">
        <v>2205.06</v>
      </c>
      <c r="AB102" s="17">
        <v>2.137</v>
      </c>
      <c r="AC102" s="12" t="s">
        <v>71</v>
      </c>
      <c r="AD102" s="12" t="str">
        <f t="shared" si="9"/>
        <v>Rs 2+</v>
      </c>
      <c r="AE102" s="20">
        <v>1</v>
      </c>
    </row>
    <row r="103" spans="1:31" x14ac:dyDescent="0.3">
      <c r="A103" s="12" t="s">
        <v>148</v>
      </c>
      <c r="B103" s="12" t="s">
        <v>209</v>
      </c>
      <c r="C103" s="12" t="s">
        <v>216</v>
      </c>
      <c r="D103" s="12" t="s">
        <v>68</v>
      </c>
      <c r="E103" s="13">
        <v>670.7</v>
      </c>
      <c r="F103" s="13">
        <v>135</v>
      </c>
      <c r="G103" s="13">
        <v>14</v>
      </c>
      <c r="H103" s="14">
        <v>1452.5</v>
      </c>
      <c r="I103" s="12" t="s">
        <v>217</v>
      </c>
      <c r="J103" s="14">
        <v>1300</v>
      </c>
      <c r="K103" s="15">
        <v>8</v>
      </c>
      <c r="L103" s="16">
        <v>375</v>
      </c>
      <c r="M103" s="16">
        <v>652</v>
      </c>
      <c r="N103" s="17">
        <v>14.3</v>
      </c>
      <c r="O103" s="17">
        <v>19.5</v>
      </c>
      <c r="P103" s="17">
        <v>10.65</v>
      </c>
      <c r="Q103" s="17">
        <v>12</v>
      </c>
      <c r="R103" s="17">
        <v>14.35</v>
      </c>
      <c r="S103" s="17">
        <v>11.95</v>
      </c>
      <c r="T103" s="16">
        <f t="shared" si="5"/>
        <v>5381.25</v>
      </c>
      <c r="U103" s="18">
        <v>-1056.8599999999999</v>
      </c>
      <c r="V103" s="19">
        <f t="shared" si="6"/>
        <v>-0.19639674796747966</v>
      </c>
      <c r="W103" s="19">
        <f t="shared" si="7"/>
        <v>-0.16724738675958195</v>
      </c>
      <c r="X103" s="19">
        <f t="shared" si="8"/>
        <v>0.35888501742160273</v>
      </c>
      <c r="Y103" s="12" t="s">
        <v>186</v>
      </c>
      <c r="Z103" s="12" t="s">
        <v>70</v>
      </c>
      <c r="AA103" s="18">
        <v>-2409.3000000000002</v>
      </c>
      <c r="AB103" s="17">
        <v>1.512</v>
      </c>
      <c r="AC103" s="12" t="s">
        <v>71</v>
      </c>
      <c r="AD103" s="12" t="str">
        <f t="shared" si="9"/>
        <v>Rs 2+</v>
      </c>
      <c r="AE103" s="20">
        <v>1</v>
      </c>
    </row>
    <row r="104" spans="1:31" x14ac:dyDescent="0.3">
      <c r="A104" s="12" t="s">
        <v>172</v>
      </c>
      <c r="B104" s="12" t="s">
        <v>186</v>
      </c>
      <c r="C104" s="12" t="s">
        <v>209</v>
      </c>
      <c r="D104" s="12" t="s">
        <v>68</v>
      </c>
      <c r="E104" s="13">
        <v>11.1</v>
      </c>
      <c r="F104" s="13">
        <v>781.7</v>
      </c>
      <c r="G104" s="13">
        <v>4.9000000000000004</v>
      </c>
      <c r="H104" s="14">
        <v>128.94999999999999</v>
      </c>
      <c r="I104" s="12" t="s">
        <v>217</v>
      </c>
      <c r="J104" s="14">
        <v>120</v>
      </c>
      <c r="K104" s="15">
        <v>4</v>
      </c>
      <c r="L104" s="16">
        <v>4000</v>
      </c>
      <c r="M104" s="16">
        <v>1365</v>
      </c>
      <c r="N104" s="17">
        <v>1.65</v>
      </c>
      <c r="O104" s="17">
        <v>1.9</v>
      </c>
      <c r="P104" s="17">
        <v>1.25</v>
      </c>
      <c r="Q104" s="17">
        <v>1.4</v>
      </c>
      <c r="R104" s="17">
        <v>1.7</v>
      </c>
      <c r="S104" s="17">
        <v>1.35</v>
      </c>
      <c r="T104" s="16">
        <f t="shared" si="5"/>
        <v>6800</v>
      </c>
      <c r="U104" s="18">
        <v>-1704.65</v>
      </c>
      <c r="V104" s="19">
        <f t="shared" si="6"/>
        <v>-0.25068382352941176</v>
      </c>
      <c r="W104" s="19">
        <f t="shared" si="7"/>
        <v>-0.20588235294117641</v>
      </c>
      <c r="X104" s="19">
        <f t="shared" si="8"/>
        <v>0.11764705882352944</v>
      </c>
      <c r="Y104" s="12" t="s">
        <v>218</v>
      </c>
      <c r="Z104" s="12" t="s">
        <v>70</v>
      </c>
      <c r="AA104" s="18">
        <v>-2878.33</v>
      </c>
      <c r="AB104" s="17">
        <v>1.359</v>
      </c>
      <c r="AC104" s="12" t="s">
        <v>102</v>
      </c>
      <c r="AD104" s="12" t="str">
        <f t="shared" si="9"/>
        <v>Rs 1-2</v>
      </c>
      <c r="AE104" s="20">
        <v>1</v>
      </c>
    </row>
    <row r="105" spans="1:31" x14ac:dyDescent="0.3">
      <c r="A105" s="12" t="s">
        <v>219</v>
      </c>
      <c r="B105" s="12" t="s">
        <v>220</v>
      </c>
      <c r="C105" s="12" t="s">
        <v>186</v>
      </c>
      <c r="D105" s="12" t="s">
        <v>77</v>
      </c>
      <c r="E105" s="13">
        <v>-10.4</v>
      </c>
      <c r="F105" s="13">
        <v>-17.899999999999999</v>
      </c>
      <c r="G105" s="13">
        <v>9.4</v>
      </c>
      <c r="H105" s="14">
        <v>8874.5</v>
      </c>
      <c r="I105" s="12" t="s">
        <v>217</v>
      </c>
      <c r="J105" s="14">
        <v>9500</v>
      </c>
      <c r="K105" s="15">
        <v>6</v>
      </c>
      <c r="L105" s="16">
        <v>75</v>
      </c>
      <c r="M105" s="16">
        <v>11709</v>
      </c>
      <c r="N105" s="17">
        <v>84</v>
      </c>
      <c r="O105" s="17">
        <v>89.95</v>
      </c>
      <c r="P105" s="17">
        <v>37.200000000000003</v>
      </c>
      <c r="Q105" s="17">
        <v>38.5</v>
      </c>
      <c r="R105" s="17">
        <v>84.05</v>
      </c>
      <c r="S105" s="17">
        <v>38.450000000000003</v>
      </c>
      <c r="T105" s="16">
        <f t="shared" si="5"/>
        <v>6303.75</v>
      </c>
      <c r="U105" s="18">
        <v>-3567.44</v>
      </c>
      <c r="V105" s="19">
        <f t="shared" si="6"/>
        <v>-0.56592345825897283</v>
      </c>
      <c r="W105" s="19">
        <f t="shared" si="7"/>
        <v>-0.54253420582986311</v>
      </c>
      <c r="X105" s="19">
        <f t="shared" si="8"/>
        <v>7.019631171921481E-2</v>
      </c>
      <c r="Y105" s="12" t="s">
        <v>220</v>
      </c>
      <c r="Z105" s="12" t="s">
        <v>70</v>
      </c>
      <c r="AA105" s="18">
        <v>-3567.44</v>
      </c>
      <c r="AB105" s="17">
        <v>-2.048</v>
      </c>
      <c r="AC105" s="12" t="s">
        <v>71</v>
      </c>
      <c r="AD105" s="12" t="str">
        <f t="shared" si="9"/>
        <v>Rs 2+</v>
      </c>
      <c r="AE105" s="20">
        <v>1</v>
      </c>
    </row>
    <row r="106" spans="1:31" x14ac:dyDescent="0.3">
      <c r="A106" s="12" t="s">
        <v>171</v>
      </c>
      <c r="B106" s="12" t="s">
        <v>220</v>
      </c>
      <c r="C106" s="12" t="s">
        <v>186</v>
      </c>
      <c r="D106" s="12" t="s">
        <v>68</v>
      </c>
      <c r="E106" s="13">
        <v>29.1</v>
      </c>
      <c r="F106" s="13">
        <v>28.3</v>
      </c>
      <c r="G106" s="13">
        <v>15.4</v>
      </c>
      <c r="H106" s="14">
        <v>116.2</v>
      </c>
      <c r="I106" s="12" t="s">
        <v>217</v>
      </c>
      <c r="J106" s="14">
        <v>105</v>
      </c>
      <c r="K106" s="15">
        <v>11</v>
      </c>
      <c r="L106" s="16">
        <v>5800</v>
      </c>
      <c r="M106" s="16">
        <v>422</v>
      </c>
      <c r="N106" s="17">
        <v>1</v>
      </c>
      <c r="O106" s="17">
        <v>1.6</v>
      </c>
      <c r="P106" s="17">
        <v>0.6</v>
      </c>
      <c r="Q106" s="17">
        <v>0.75</v>
      </c>
      <c r="R106" s="17">
        <v>1.05</v>
      </c>
      <c r="S106" s="17">
        <v>0.7</v>
      </c>
      <c r="T106" s="16">
        <f t="shared" si="5"/>
        <v>6090</v>
      </c>
      <c r="U106" s="18">
        <v>-2392.23</v>
      </c>
      <c r="V106" s="19">
        <f t="shared" si="6"/>
        <v>-0.39281280788177342</v>
      </c>
      <c r="W106" s="19">
        <f t="shared" si="7"/>
        <v>-0.33333333333333337</v>
      </c>
      <c r="X106" s="19">
        <f t="shared" si="8"/>
        <v>0.52380952380952372</v>
      </c>
      <c r="Y106" s="12" t="s">
        <v>220</v>
      </c>
      <c r="Z106" s="12" t="s">
        <v>70</v>
      </c>
      <c r="AA106" s="18">
        <v>-2392.23</v>
      </c>
      <c r="AB106" s="17">
        <v>-4.72</v>
      </c>
      <c r="AC106" s="12" t="s">
        <v>102</v>
      </c>
      <c r="AD106" s="12" t="str">
        <f t="shared" si="9"/>
        <v>Rs 1-2</v>
      </c>
      <c r="AE106" s="20">
        <v>1</v>
      </c>
    </row>
    <row r="107" spans="1:31" x14ac:dyDescent="0.3">
      <c r="A107" s="12" t="s">
        <v>221</v>
      </c>
      <c r="B107" s="12" t="s">
        <v>218</v>
      </c>
      <c r="C107" s="12" t="s">
        <v>220</v>
      </c>
      <c r="D107" s="12" t="s">
        <v>68</v>
      </c>
      <c r="E107" s="13">
        <v>60.4</v>
      </c>
      <c r="F107" s="13">
        <v>9.3000000000000007</v>
      </c>
      <c r="G107" s="13">
        <v>13.1</v>
      </c>
      <c r="H107" s="14">
        <v>6880.5</v>
      </c>
      <c r="I107" s="12" t="s">
        <v>217</v>
      </c>
      <c r="J107" s="14">
        <v>6650</v>
      </c>
      <c r="K107" s="15">
        <v>5</v>
      </c>
      <c r="L107" s="16">
        <v>125</v>
      </c>
      <c r="M107" s="16">
        <v>139</v>
      </c>
      <c r="N107" s="17">
        <v>38.65</v>
      </c>
      <c r="O107" s="17">
        <v>69.400000000000006</v>
      </c>
      <c r="P107" s="17">
        <v>30.55</v>
      </c>
      <c r="Q107" s="17">
        <v>65.349999999999994</v>
      </c>
      <c r="R107" s="17">
        <v>38.700000000000003</v>
      </c>
      <c r="S107" s="17">
        <v>65.3</v>
      </c>
      <c r="T107" s="16">
        <f t="shared" si="5"/>
        <v>4837.5</v>
      </c>
      <c r="U107" s="18">
        <v>2999.95</v>
      </c>
      <c r="V107" s="19">
        <f t="shared" si="6"/>
        <v>0.62014470284237722</v>
      </c>
      <c r="W107" s="19">
        <f t="shared" si="7"/>
        <v>0.68733850129198948</v>
      </c>
      <c r="X107" s="19">
        <f t="shared" si="8"/>
        <v>0.79328165374676995</v>
      </c>
      <c r="Y107" s="12" t="s">
        <v>222</v>
      </c>
      <c r="Z107" s="12" t="s">
        <v>84</v>
      </c>
      <c r="AA107" s="18">
        <v>1814.01</v>
      </c>
      <c r="AB107" s="17">
        <v>0.41</v>
      </c>
      <c r="AC107" s="12" t="s">
        <v>71</v>
      </c>
      <c r="AD107" s="12" t="str">
        <f t="shared" si="9"/>
        <v>Rs 2+</v>
      </c>
      <c r="AE107" s="20">
        <v>1</v>
      </c>
    </row>
    <row r="108" spans="1:31" x14ac:dyDescent="0.3">
      <c r="A108" s="12" t="s">
        <v>223</v>
      </c>
      <c r="B108" s="12" t="s">
        <v>218</v>
      </c>
      <c r="C108" s="12" t="s">
        <v>220</v>
      </c>
      <c r="D108" s="12" t="s">
        <v>68</v>
      </c>
      <c r="E108" s="13">
        <v>418.4</v>
      </c>
      <c r="F108" s="13">
        <v>70.5</v>
      </c>
      <c r="G108" s="13">
        <v>141.6</v>
      </c>
      <c r="H108" s="14">
        <v>195</v>
      </c>
      <c r="I108" s="12" t="s">
        <v>217</v>
      </c>
      <c r="J108" s="14">
        <v>165</v>
      </c>
      <c r="K108" s="15">
        <v>6</v>
      </c>
      <c r="L108" s="16">
        <v>3225</v>
      </c>
      <c r="M108" s="16">
        <v>495</v>
      </c>
      <c r="N108" s="17">
        <v>1.5</v>
      </c>
      <c r="O108" s="17">
        <v>2.85</v>
      </c>
      <c r="P108" s="17">
        <v>1.5</v>
      </c>
      <c r="Q108" s="17">
        <v>2.65</v>
      </c>
      <c r="R108" s="17">
        <v>1.55</v>
      </c>
      <c r="S108" s="17">
        <v>2.6</v>
      </c>
      <c r="T108" s="16">
        <f t="shared" si="5"/>
        <v>4998.75</v>
      </c>
      <c r="U108" s="18">
        <v>2919.18</v>
      </c>
      <c r="V108" s="19">
        <f t="shared" si="6"/>
        <v>0.58398199549887464</v>
      </c>
      <c r="W108" s="19">
        <f t="shared" si="7"/>
        <v>0.67741935483870974</v>
      </c>
      <c r="X108" s="19">
        <f t="shared" si="8"/>
        <v>0.83870967741935476</v>
      </c>
      <c r="Y108" s="12" t="s">
        <v>222</v>
      </c>
      <c r="Z108" s="12" t="s">
        <v>84</v>
      </c>
      <c r="AA108" s="18">
        <v>265.42</v>
      </c>
      <c r="AB108" s="17">
        <v>6.52</v>
      </c>
      <c r="AC108" s="12" t="s">
        <v>102</v>
      </c>
      <c r="AD108" s="12" t="str">
        <f t="shared" si="9"/>
        <v>Rs 1-2</v>
      </c>
      <c r="AE108" s="20">
        <v>1</v>
      </c>
    </row>
    <row r="109" spans="1:31" x14ac:dyDescent="0.3">
      <c r="A109" s="12" t="s">
        <v>224</v>
      </c>
      <c r="B109" s="12" t="s">
        <v>225</v>
      </c>
      <c r="C109" s="12" t="s">
        <v>226</v>
      </c>
      <c r="D109" s="12" t="s">
        <v>77</v>
      </c>
      <c r="E109" s="13">
        <v>-21.6</v>
      </c>
      <c r="F109" s="13">
        <v>-16.3</v>
      </c>
      <c r="G109" s="13">
        <v>-3.7</v>
      </c>
      <c r="H109" s="14">
        <v>6137.5</v>
      </c>
      <c r="I109" s="12" t="s">
        <v>227</v>
      </c>
      <c r="J109" s="14">
        <v>6200</v>
      </c>
      <c r="K109" s="15">
        <v>1</v>
      </c>
      <c r="L109" s="16">
        <v>100</v>
      </c>
      <c r="M109" s="16">
        <v>6971</v>
      </c>
      <c r="N109" s="17">
        <v>57.15</v>
      </c>
      <c r="O109" s="17">
        <v>127.65</v>
      </c>
      <c r="P109" s="17">
        <v>57.15</v>
      </c>
      <c r="Q109" s="17">
        <v>119.25</v>
      </c>
      <c r="R109" s="17">
        <v>57.2</v>
      </c>
      <c r="S109" s="17">
        <v>119.2</v>
      </c>
      <c r="T109" s="16">
        <f t="shared" si="5"/>
        <v>5720</v>
      </c>
      <c r="U109" s="18">
        <v>5774.53</v>
      </c>
      <c r="V109" s="19">
        <f t="shared" si="6"/>
        <v>1.0095332167832167</v>
      </c>
      <c r="W109" s="19">
        <f t="shared" si="7"/>
        <v>1.0839160839160837</v>
      </c>
      <c r="X109" s="19">
        <f t="shared" si="8"/>
        <v>1.2316433566433567</v>
      </c>
      <c r="Y109" s="12" t="s">
        <v>228</v>
      </c>
      <c r="Z109" s="12" t="s">
        <v>84</v>
      </c>
      <c r="AA109" s="18">
        <v>6635.24</v>
      </c>
      <c r="AB109" s="17">
        <v>7.06</v>
      </c>
      <c r="AC109" s="12" t="s">
        <v>71</v>
      </c>
      <c r="AD109" s="12" t="str">
        <f t="shared" si="9"/>
        <v>Rs 2+</v>
      </c>
      <c r="AE109" s="20">
        <v>1</v>
      </c>
    </row>
    <row r="110" spans="1:31" x14ac:dyDescent="0.3">
      <c r="A110" s="12" t="s">
        <v>72</v>
      </c>
      <c r="B110" s="12" t="s">
        <v>229</v>
      </c>
      <c r="C110" s="12" t="s">
        <v>228</v>
      </c>
      <c r="D110" s="12" t="s">
        <v>68</v>
      </c>
      <c r="E110" s="13">
        <v>23.8</v>
      </c>
      <c r="F110" s="13">
        <v>17.100000000000001</v>
      </c>
      <c r="G110" s="13">
        <v>24.9</v>
      </c>
      <c r="H110" s="14">
        <v>5510</v>
      </c>
      <c r="I110" s="12" t="s">
        <v>227</v>
      </c>
      <c r="J110" s="14">
        <v>5360</v>
      </c>
      <c r="K110" s="15">
        <v>3</v>
      </c>
      <c r="L110" s="16">
        <v>150</v>
      </c>
      <c r="M110" s="16">
        <v>355</v>
      </c>
      <c r="N110" s="17">
        <v>37.5</v>
      </c>
      <c r="O110" s="17">
        <v>40</v>
      </c>
      <c r="P110" s="17">
        <v>26.65</v>
      </c>
      <c r="Q110" s="17">
        <v>27.05</v>
      </c>
      <c r="R110" s="17">
        <v>37.549999999999997</v>
      </c>
      <c r="S110" s="17">
        <v>27</v>
      </c>
      <c r="T110" s="16">
        <f t="shared" si="5"/>
        <v>5632.5</v>
      </c>
      <c r="U110" s="18">
        <v>-1833.67</v>
      </c>
      <c r="V110" s="19">
        <f t="shared" si="6"/>
        <v>-0.32555170883266754</v>
      </c>
      <c r="W110" s="19">
        <f t="shared" si="7"/>
        <v>-0.28095872170439407</v>
      </c>
      <c r="X110" s="19">
        <f t="shared" si="8"/>
        <v>6.5246338215712463E-2</v>
      </c>
      <c r="Y110" s="12" t="s">
        <v>229</v>
      </c>
      <c r="Z110" s="12" t="s">
        <v>70</v>
      </c>
      <c r="AA110" s="18">
        <v>-1833.67</v>
      </c>
      <c r="AB110" s="17">
        <v>-1.1120000000000001</v>
      </c>
      <c r="AC110" s="12" t="s">
        <v>71</v>
      </c>
      <c r="AD110" s="12" t="str">
        <f t="shared" si="9"/>
        <v>Rs 2+</v>
      </c>
      <c r="AE110" s="20">
        <v>1</v>
      </c>
    </row>
    <row r="111" spans="1:31" x14ac:dyDescent="0.3">
      <c r="A111" s="12" t="s">
        <v>230</v>
      </c>
      <c r="B111" s="12" t="s">
        <v>231</v>
      </c>
      <c r="C111" s="12" t="s">
        <v>232</v>
      </c>
      <c r="D111" s="12" t="s">
        <v>68</v>
      </c>
      <c r="E111" s="13">
        <v>15.6</v>
      </c>
      <c r="F111" s="13">
        <v>15.3</v>
      </c>
      <c r="G111" s="13">
        <v>16.2</v>
      </c>
      <c r="H111" s="14">
        <v>794.9</v>
      </c>
      <c r="I111" s="12" t="s">
        <v>227</v>
      </c>
      <c r="J111" s="14">
        <v>730</v>
      </c>
      <c r="K111" s="15">
        <v>12</v>
      </c>
      <c r="L111" s="16">
        <v>1000</v>
      </c>
      <c r="M111" s="16">
        <v>3683</v>
      </c>
      <c r="N111" s="17">
        <v>5</v>
      </c>
      <c r="O111" s="17">
        <v>12.65</v>
      </c>
      <c r="P111" s="17">
        <v>4.45</v>
      </c>
      <c r="Q111" s="17">
        <v>4.6500000000000004</v>
      </c>
      <c r="R111" s="17">
        <v>5.05</v>
      </c>
      <c r="S111" s="17">
        <v>4.5999999999999996</v>
      </c>
      <c r="T111" s="16">
        <f t="shared" si="5"/>
        <v>5050</v>
      </c>
      <c r="U111" s="18">
        <v>-701.3</v>
      </c>
      <c r="V111" s="19">
        <f t="shared" si="6"/>
        <v>-0.13887128712871286</v>
      </c>
      <c r="W111" s="19">
        <f t="shared" si="7"/>
        <v>-8.9108910891089188E-2</v>
      </c>
      <c r="X111" s="19">
        <f t="shared" si="8"/>
        <v>1.504950495049505</v>
      </c>
      <c r="Y111" s="12" t="s">
        <v>233</v>
      </c>
      <c r="Z111" s="12" t="s">
        <v>84</v>
      </c>
      <c r="AA111" s="18">
        <v>2281.84</v>
      </c>
      <c r="AB111" s="17">
        <v>2.2210000000000001</v>
      </c>
      <c r="AC111" s="12" t="s">
        <v>71</v>
      </c>
      <c r="AD111" s="12" t="str">
        <f t="shared" si="9"/>
        <v>Rs 2+</v>
      </c>
      <c r="AE111" s="20">
        <v>1</v>
      </c>
    </row>
    <row r="112" spans="1:31" x14ac:dyDescent="0.3">
      <c r="A112" s="12" t="s">
        <v>234</v>
      </c>
      <c r="B112" s="12" t="s">
        <v>231</v>
      </c>
      <c r="C112" s="12" t="s">
        <v>232</v>
      </c>
      <c r="D112" s="12" t="s">
        <v>68</v>
      </c>
      <c r="E112" s="13">
        <v>15.9</v>
      </c>
      <c r="F112" s="13">
        <v>0.4</v>
      </c>
      <c r="G112" s="13">
        <v>10.1</v>
      </c>
      <c r="H112" s="14">
        <v>1425.8</v>
      </c>
      <c r="I112" s="12" t="s">
        <v>227</v>
      </c>
      <c r="J112" s="14">
        <v>1410</v>
      </c>
      <c r="K112" s="15">
        <v>2</v>
      </c>
      <c r="L112" s="16">
        <v>700</v>
      </c>
      <c r="M112" s="16">
        <v>6672</v>
      </c>
      <c r="N112" s="17">
        <v>9.9499999999999993</v>
      </c>
      <c r="O112" s="17">
        <v>9.9499999999999993</v>
      </c>
      <c r="P112" s="17">
        <v>2.35</v>
      </c>
      <c r="Q112" s="17">
        <v>2.5</v>
      </c>
      <c r="R112" s="17">
        <v>10</v>
      </c>
      <c r="S112" s="17">
        <v>2.4500000000000002</v>
      </c>
      <c r="T112" s="16">
        <f t="shared" si="5"/>
        <v>7000</v>
      </c>
      <c r="U112" s="18">
        <v>-5425.8</v>
      </c>
      <c r="V112" s="19">
        <f t="shared" si="6"/>
        <v>-0.77511428571428576</v>
      </c>
      <c r="W112" s="19">
        <f t="shared" si="7"/>
        <v>-0.755</v>
      </c>
      <c r="X112" s="19">
        <f t="shared" si="8"/>
        <v>-5.0000000000001155E-3</v>
      </c>
      <c r="Y112" s="12" t="s">
        <v>231</v>
      </c>
      <c r="Z112" s="12" t="s">
        <v>70</v>
      </c>
      <c r="AA112" s="18">
        <v>-5425.8</v>
      </c>
      <c r="AB112" s="17">
        <v>-1.2290000000000001</v>
      </c>
      <c r="AC112" s="12" t="s">
        <v>71</v>
      </c>
      <c r="AD112" s="12" t="str">
        <f t="shared" si="9"/>
        <v>Rs 2+</v>
      </c>
      <c r="AE112" s="20">
        <v>1</v>
      </c>
    </row>
    <row r="113" spans="1:31" x14ac:dyDescent="0.3">
      <c r="A113" s="12" t="s">
        <v>81</v>
      </c>
      <c r="B113" s="12" t="s">
        <v>231</v>
      </c>
      <c r="C113" s="12" t="s">
        <v>229</v>
      </c>
      <c r="D113" s="12" t="s">
        <v>68</v>
      </c>
      <c r="E113" s="13">
        <v>76.5</v>
      </c>
      <c r="F113" s="13">
        <v>36.1</v>
      </c>
      <c r="G113" s="13">
        <v>5.3</v>
      </c>
      <c r="H113" s="14">
        <v>1476</v>
      </c>
      <c r="I113" s="12" t="s">
        <v>227</v>
      </c>
      <c r="J113" s="14">
        <v>1460</v>
      </c>
      <c r="K113" s="15">
        <v>2</v>
      </c>
      <c r="L113" s="16">
        <v>500</v>
      </c>
      <c r="M113" s="16">
        <v>9824</v>
      </c>
      <c r="N113" s="17">
        <v>14.4</v>
      </c>
      <c r="O113" s="17">
        <v>38.950000000000003</v>
      </c>
      <c r="P113" s="17">
        <v>14.35</v>
      </c>
      <c r="Q113" s="17">
        <v>34.549999999999997</v>
      </c>
      <c r="R113" s="17">
        <v>14.45</v>
      </c>
      <c r="S113" s="17">
        <v>34.5</v>
      </c>
      <c r="T113" s="16">
        <f t="shared" si="5"/>
        <v>7225</v>
      </c>
      <c r="U113" s="18">
        <v>9696.65</v>
      </c>
      <c r="V113" s="19">
        <f t="shared" si="6"/>
        <v>1.3420968858131488</v>
      </c>
      <c r="W113" s="19">
        <f t="shared" si="7"/>
        <v>1.3875432525951559</v>
      </c>
      <c r="X113" s="19">
        <f t="shared" si="8"/>
        <v>1.6955017301038064</v>
      </c>
      <c r="Y113" s="12" t="s">
        <v>235</v>
      </c>
      <c r="Z113" s="12" t="s">
        <v>84</v>
      </c>
      <c r="AA113" s="18">
        <v>14365.34</v>
      </c>
      <c r="AB113" s="17">
        <v>2.4849999999999999</v>
      </c>
      <c r="AC113" s="12" t="s">
        <v>71</v>
      </c>
      <c r="AD113" s="12" t="str">
        <f t="shared" si="9"/>
        <v>Rs 2+</v>
      </c>
      <c r="AE113" s="20">
        <v>1</v>
      </c>
    </row>
    <row r="114" spans="1:31" x14ac:dyDescent="0.3">
      <c r="A114" s="12" t="s">
        <v>236</v>
      </c>
      <c r="B114" s="12" t="s">
        <v>237</v>
      </c>
      <c r="C114" s="12" t="s">
        <v>231</v>
      </c>
      <c r="D114" s="12" t="s">
        <v>77</v>
      </c>
      <c r="E114" s="13">
        <v>-14.7</v>
      </c>
      <c r="F114" s="13">
        <v>-32.799999999999997</v>
      </c>
      <c r="G114" s="13">
        <v>-6</v>
      </c>
      <c r="H114" s="14">
        <v>1531.6</v>
      </c>
      <c r="I114" s="12" t="s">
        <v>227</v>
      </c>
      <c r="J114" s="14">
        <v>1580</v>
      </c>
      <c r="K114" s="15">
        <v>2</v>
      </c>
      <c r="L114" s="16">
        <v>500</v>
      </c>
      <c r="M114" s="16">
        <v>13867</v>
      </c>
      <c r="N114" s="17">
        <v>15</v>
      </c>
      <c r="O114" s="17">
        <v>26.8</v>
      </c>
      <c r="P114" s="17">
        <v>6.7</v>
      </c>
      <c r="Q114" s="17">
        <v>23.9</v>
      </c>
      <c r="R114" s="17">
        <v>15.05</v>
      </c>
      <c r="S114" s="17">
        <v>23.85</v>
      </c>
      <c r="T114" s="16">
        <f t="shared" si="5"/>
        <v>7525</v>
      </c>
      <c r="U114" s="18">
        <v>4132.01</v>
      </c>
      <c r="V114" s="19">
        <f t="shared" si="6"/>
        <v>0.54910431893687706</v>
      </c>
      <c r="W114" s="19">
        <f t="shared" si="7"/>
        <v>0.58471760797342198</v>
      </c>
      <c r="X114" s="19">
        <f t="shared" si="8"/>
        <v>0.78073089700996667</v>
      </c>
      <c r="Y114" s="12" t="s">
        <v>233</v>
      </c>
      <c r="Z114" s="12" t="s">
        <v>84</v>
      </c>
      <c r="AA114" s="18">
        <v>-907.2</v>
      </c>
      <c r="AB114" s="17">
        <v>1.518</v>
      </c>
      <c r="AC114" s="12" t="s">
        <v>71</v>
      </c>
      <c r="AD114" s="12" t="str">
        <f t="shared" si="9"/>
        <v>Rs 2+</v>
      </c>
      <c r="AE114" s="20">
        <v>1</v>
      </c>
    </row>
    <row r="115" spans="1:31" x14ac:dyDescent="0.3">
      <c r="A115" s="12" t="s">
        <v>89</v>
      </c>
      <c r="B115" s="12" t="s">
        <v>237</v>
      </c>
      <c r="C115" s="12" t="s">
        <v>231</v>
      </c>
      <c r="D115" s="12" t="s">
        <v>77</v>
      </c>
      <c r="E115" s="13">
        <v>-27.9</v>
      </c>
      <c r="F115" s="13">
        <v>-2.8</v>
      </c>
      <c r="G115" s="13">
        <v>-29.7</v>
      </c>
      <c r="H115" s="14">
        <v>1834.6</v>
      </c>
      <c r="I115" s="12" t="s">
        <v>227</v>
      </c>
      <c r="J115" s="14">
        <v>1840</v>
      </c>
      <c r="K115" s="15">
        <v>0</v>
      </c>
      <c r="L115" s="16">
        <v>350</v>
      </c>
      <c r="M115" s="16">
        <v>3402</v>
      </c>
      <c r="N115" s="17">
        <v>13.35</v>
      </c>
      <c r="O115" s="17">
        <v>31.35</v>
      </c>
      <c r="P115" s="17">
        <v>13.2</v>
      </c>
      <c r="Q115" s="17">
        <v>25.9</v>
      </c>
      <c r="R115" s="17">
        <v>13.4</v>
      </c>
      <c r="S115" s="17">
        <v>25.85</v>
      </c>
      <c r="T115" s="16">
        <f t="shared" si="5"/>
        <v>4690</v>
      </c>
      <c r="U115" s="18">
        <v>4016.07</v>
      </c>
      <c r="V115" s="19">
        <f t="shared" si="6"/>
        <v>0.85630490405117277</v>
      </c>
      <c r="W115" s="19">
        <f t="shared" si="7"/>
        <v>0.92910447761194037</v>
      </c>
      <c r="X115" s="19">
        <f t="shared" si="8"/>
        <v>1.3395522388059704</v>
      </c>
      <c r="Y115" s="12" t="s">
        <v>233</v>
      </c>
      <c r="Z115" s="12" t="s">
        <v>70</v>
      </c>
      <c r="AA115" s="18">
        <v>-2813.37</v>
      </c>
      <c r="AB115" s="17">
        <v>2.5379999999999998</v>
      </c>
      <c r="AC115" s="12" t="s">
        <v>71</v>
      </c>
      <c r="AD115" s="12" t="str">
        <f t="shared" si="9"/>
        <v>Rs 2+</v>
      </c>
      <c r="AE115" s="20">
        <v>1</v>
      </c>
    </row>
    <row r="116" spans="1:31" x14ac:dyDescent="0.3">
      <c r="A116" s="12" t="s">
        <v>238</v>
      </c>
      <c r="B116" s="12" t="s">
        <v>233</v>
      </c>
      <c r="C116" s="12" t="s">
        <v>237</v>
      </c>
      <c r="D116" s="12" t="s">
        <v>77</v>
      </c>
      <c r="E116" s="13">
        <v>-11.9</v>
      </c>
      <c r="F116" s="13">
        <v>-9.6999999999999993</v>
      </c>
      <c r="G116" s="13">
        <v>-4.2</v>
      </c>
      <c r="H116" s="14">
        <v>2379.5</v>
      </c>
      <c r="I116" s="12" t="s">
        <v>227</v>
      </c>
      <c r="J116" s="14">
        <v>2380</v>
      </c>
      <c r="K116" s="15">
        <v>0</v>
      </c>
      <c r="L116" s="16">
        <v>225</v>
      </c>
      <c r="M116" s="16">
        <v>2647</v>
      </c>
      <c r="N116" s="17">
        <v>22</v>
      </c>
      <c r="O116" s="17">
        <v>22</v>
      </c>
      <c r="P116" s="17">
        <v>4.2</v>
      </c>
      <c r="Q116" s="17">
        <v>5</v>
      </c>
      <c r="R116" s="17">
        <v>22.05</v>
      </c>
      <c r="S116" s="17">
        <v>4.95</v>
      </c>
      <c r="T116" s="16">
        <f t="shared" si="5"/>
        <v>4961.25</v>
      </c>
      <c r="U116" s="18">
        <v>-4020.57</v>
      </c>
      <c r="V116" s="19">
        <f t="shared" si="6"/>
        <v>-0.8103945578231293</v>
      </c>
      <c r="W116" s="19">
        <f t="shared" si="7"/>
        <v>-0.77551020408163263</v>
      </c>
      <c r="X116" s="19">
        <f t="shared" si="8"/>
        <v>-2.2675736961451642E-3</v>
      </c>
      <c r="Y116" s="12" t="s">
        <v>233</v>
      </c>
      <c r="Z116" s="12" t="s">
        <v>70</v>
      </c>
      <c r="AA116" s="18">
        <v>-4020.57</v>
      </c>
      <c r="AB116" s="17">
        <v>-2.7530000000000001</v>
      </c>
      <c r="AC116" s="12" t="s">
        <v>71</v>
      </c>
      <c r="AD116" s="12" t="str">
        <f t="shared" si="9"/>
        <v>Rs 2+</v>
      </c>
      <c r="AE116" s="20">
        <v>1</v>
      </c>
    </row>
    <row r="117" spans="1:31" x14ac:dyDescent="0.3">
      <c r="A117" s="12" t="s">
        <v>239</v>
      </c>
      <c r="B117" s="12" t="s">
        <v>233</v>
      </c>
      <c r="C117" s="12" t="s">
        <v>237</v>
      </c>
      <c r="D117" s="12" t="s">
        <v>68</v>
      </c>
      <c r="E117" s="13">
        <v>10.7</v>
      </c>
      <c r="F117" s="13">
        <v>3.8</v>
      </c>
      <c r="G117" s="13">
        <v>2.2000000000000002</v>
      </c>
      <c r="H117" s="14">
        <v>130.77000000000001</v>
      </c>
      <c r="I117" s="12" t="s">
        <v>227</v>
      </c>
      <c r="J117" s="14">
        <v>127.5</v>
      </c>
      <c r="K117" s="15">
        <v>1</v>
      </c>
      <c r="L117" s="16">
        <v>4250</v>
      </c>
      <c r="M117" s="16">
        <v>836</v>
      </c>
      <c r="N117" s="17">
        <v>1.3</v>
      </c>
      <c r="O117" s="17">
        <v>1.3</v>
      </c>
      <c r="P117" s="17">
        <v>0.4</v>
      </c>
      <c r="Q117" s="17">
        <v>0.5</v>
      </c>
      <c r="R117" s="17">
        <v>1.35</v>
      </c>
      <c r="S117" s="17">
        <v>0.45</v>
      </c>
      <c r="T117" s="16">
        <f t="shared" si="5"/>
        <v>5737.5</v>
      </c>
      <c r="U117" s="18">
        <v>-3954.96</v>
      </c>
      <c r="V117" s="19">
        <f t="shared" si="6"/>
        <v>-0.68931764705882359</v>
      </c>
      <c r="W117" s="19">
        <f t="shared" si="7"/>
        <v>-0.66666666666666674</v>
      </c>
      <c r="X117" s="19">
        <f t="shared" si="8"/>
        <v>-3.703703703703709E-2</v>
      </c>
      <c r="Y117" s="12" t="s">
        <v>233</v>
      </c>
      <c r="Z117" s="12" t="s">
        <v>70</v>
      </c>
      <c r="AA117" s="18">
        <v>-3954.96</v>
      </c>
      <c r="AB117" s="17">
        <v>-0.85299999999999998</v>
      </c>
      <c r="AC117" s="12" t="s">
        <v>102</v>
      </c>
      <c r="AD117" s="12" t="str">
        <f t="shared" si="9"/>
        <v>Rs 1-2</v>
      </c>
      <c r="AE117" s="20">
        <v>1</v>
      </c>
    </row>
    <row r="118" spans="1:31" x14ac:dyDescent="0.3">
      <c r="A118" s="12" t="s">
        <v>195</v>
      </c>
      <c r="B118" s="12" t="s">
        <v>240</v>
      </c>
      <c r="C118" s="12" t="s">
        <v>233</v>
      </c>
      <c r="D118" s="12" t="s">
        <v>68</v>
      </c>
      <c r="E118" s="13">
        <v>155.9</v>
      </c>
      <c r="F118" s="13">
        <v>16</v>
      </c>
      <c r="G118" s="13">
        <v>53.6</v>
      </c>
      <c r="H118" s="14">
        <v>1849.7</v>
      </c>
      <c r="I118" s="12" t="s">
        <v>227</v>
      </c>
      <c r="J118" s="14">
        <v>1740</v>
      </c>
      <c r="K118" s="15">
        <v>5</v>
      </c>
      <c r="L118" s="16">
        <v>375</v>
      </c>
      <c r="M118" s="16">
        <v>8675</v>
      </c>
      <c r="N118" s="17">
        <v>15.15</v>
      </c>
      <c r="O118" s="17">
        <v>78.150000000000006</v>
      </c>
      <c r="P118" s="17">
        <v>15.15</v>
      </c>
      <c r="Q118" s="17">
        <v>75.3</v>
      </c>
      <c r="R118" s="17">
        <v>15.2</v>
      </c>
      <c r="S118" s="17">
        <v>75.25</v>
      </c>
      <c r="T118" s="16">
        <f t="shared" si="5"/>
        <v>5700</v>
      </c>
      <c r="U118" s="18">
        <v>21736.400000000001</v>
      </c>
      <c r="V118" s="19">
        <f t="shared" si="6"/>
        <v>3.81340350877193</v>
      </c>
      <c r="W118" s="19">
        <f t="shared" si="7"/>
        <v>3.9506578947368425</v>
      </c>
      <c r="X118" s="19">
        <f t="shared" si="8"/>
        <v>4.1414473684210531</v>
      </c>
      <c r="Y118" s="12" t="s">
        <v>241</v>
      </c>
      <c r="Z118" s="12" t="s">
        <v>84</v>
      </c>
      <c r="AA118" s="18">
        <v>5854.84</v>
      </c>
      <c r="AB118" s="17">
        <v>8.5649999999999995</v>
      </c>
      <c r="AC118" s="12" t="s">
        <v>71</v>
      </c>
      <c r="AD118" s="12" t="str">
        <f t="shared" si="9"/>
        <v>Rs 2+</v>
      </c>
      <c r="AE118" s="20">
        <v>1</v>
      </c>
    </row>
    <row r="119" spans="1:31" x14ac:dyDescent="0.3">
      <c r="A119" s="12" t="s">
        <v>92</v>
      </c>
      <c r="B119" s="12" t="s">
        <v>240</v>
      </c>
      <c r="C119" s="12" t="s">
        <v>233</v>
      </c>
      <c r="D119" s="12" t="s">
        <v>68</v>
      </c>
      <c r="E119" s="13">
        <v>38.700000000000003</v>
      </c>
      <c r="F119" s="13">
        <v>7.4</v>
      </c>
      <c r="G119" s="13">
        <v>21.8</v>
      </c>
      <c r="H119" s="14">
        <v>5605.5</v>
      </c>
      <c r="I119" s="12" t="s">
        <v>227</v>
      </c>
      <c r="J119" s="14">
        <v>5300</v>
      </c>
      <c r="K119" s="15">
        <v>3</v>
      </c>
      <c r="L119" s="16">
        <v>100</v>
      </c>
      <c r="M119" s="16">
        <v>14048</v>
      </c>
      <c r="N119" s="17">
        <v>63.6</v>
      </c>
      <c r="O119" s="17">
        <v>265.5</v>
      </c>
      <c r="P119" s="17">
        <v>63.55</v>
      </c>
      <c r="Q119" s="17">
        <v>177.6</v>
      </c>
      <c r="R119" s="17">
        <v>63.65</v>
      </c>
      <c r="S119" s="17">
        <v>177.55</v>
      </c>
      <c r="T119" s="16">
        <f t="shared" si="5"/>
        <v>6365</v>
      </c>
      <c r="U119" s="18">
        <v>10823.43</v>
      </c>
      <c r="V119" s="19">
        <f t="shared" si="6"/>
        <v>1.7004603299293009</v>
      </c>
      <c r="W119" s="19">
        <f t="shared" si="7"/>
        <v>1.7894736842105265</v>
      </c>
      <c r="X119" s="19">
        <f t="shared" si="8"/>
        <v>3.1712490180675568</v>
      </c>
      <c r="Y119" s="12" t="s">
        <v>235</v>
      </c>
      <c r="Z119" s="12" t="s">
        <v>84</v>
      </c>
      <c r="AA119" s="18">
        <v>6632.37</v>
      </c>
      <c r="AB119" s="17">
        <v>6.3529999999999998</v>
      </c>
      <c r="AC119" s="12" t="s">
        <v>71</v>
      </c>
      <c r="AD119" s="12" t="str">
        <f t="shared" si="9"/>
        <v>Rs 2+</v>
      </c>
      <c r="AE119" s="20">
        <v>1</v>
      </c>
    </row>
    <row r="120" spans="1:31" x14ac:dyDescent="0.3">
      <c r="A120" s="12" t="s">
        <v>123</v>
      </c>
      <c r="B120" s="12" t="s">
        <v>242</v>
      </c>
      <c r="C120" s="12" t="s">
        <v>240</v>
      </c>
      <c r="D120" s="12" t="s">
        <v>68</v>
      </c>
      <c r="E120" s="13">
        <v>21.8</v>
      </c>
      <c r="F120" s="13">
        <v>4.8</v>
      </c>
      <c r="G120" s="13">
        <v>21.3</v>
      </c>
      <c r="H120" s="14">
        <v>958.95</v>
      </c>
      <c r="I120" s="12" t="s">
        <v>227</v>
      </c>
      <c r="J120" s="14">
        <v>890</v>
      </c>
      <c r="K120" s="15">
        <v>7</v>
      </c>
      <c r="L120" s="16">
        <v>750</v>
      </c>
      <c r="M120" s="16">
        <v>11556</v>
      </c>
      <c r="N120" s="17">
        <v>7.2</v>
      </c>
      <c r="O120" s="17">
        <v>10.6</v>
      </c>
      <c r="P120" s="17">
        <v>2.7</v>
      </c>
      <c r="Q120" s="17">
        <v>3.6</v>
      </c>
      <c r="R120" s="17">
        <v>7.25</v>
      </c>
      <c r="S120" s="17">
        <v>3.55</v>
      </c>
      <c r="T120" s="16">
        <f t="shared" si="5"/>
        <v>5437.5</v>
      </c>
      <c r="U120" s="18">
        <v>-2910.76</v>
      </c>
      <c r="V120" s="19">
        <f t="shared" si="6"/>
        <v>-0.53531218390804602</v>
      </c>
      <c r="W120" s="19">
        <f t="shared" si="7"/>
        <v>-0.51034482758620692</v>
      </c>
      <c r="X120" s="19">
        <f t="shared" si="8"/>
        <v>0.46206896551724141</v>
      </c>
      <c r="Y120" s="12" t="s">
        <v>242</v>
      </c>
      <c r="Z120" s="12" t="s">
        <v>70</v>
      </c>
      <c r="AA120" s="18">
        <v>-2910.76</v>
      </c>
      <c r="AB120" s="17">
        <v>-0.81100000000000005</v>
      </c>
      <c r="AC120" s="12" t="s">
        <v>71</v>
      </c>
      <c r="AD120" s="12" t="str">
        <f t="shared" si="9"/>
        <v>Rs 2+</v>
      </c>
      <c r="AE120" s="20">
        <v>1</v>
      </c>
    </row>
    <row r="121" spans="1:31" x14ac:dyDescent="0.3">
      <c r="A121" s="12" t="s">
        <v>243</v>
      </c>
      <c r="B121" s="12" t="s">
        <v>242</v>
      </c>
      <c r="C121" s="12" t="s">
        <v>240</v>
      </c>
      <c r="D121" s="12" t="s">
        <v>68</v>
      </c>
      <c r="E121" s="13">
        <v>25.2</v>
      </c>
      <c r="F121" s="13">
        <v>3.1</v>
      </c>
      <c r="G121" s="13">
        <v>14.7</v>
      </c>
      <c r="H121" s="14">
        <v>132.33000000000001</v>
      </c>
      <c r="I121" s="12" t="s">
        <v>227</v>
      </c>
      <c r="J121" s="14">
        <v>120</v>
      </c>
      <c r="K121" s="15">
        <v>4</v>
      </c>
      <c r="L121" s="16">
        <v>3750</v>
      </c>
      <c r="M121" s="16">
        <v>62</v>
      </c>
      <c r="N121" s="17">
        <v>1.75</v>
      </c>
      <c r="O121" s="17">
        <v>4.5</v>
      </c>
      <c r="P121" s="17">
        <v>0.8</v>
      </c>
      <c r="Q121" s="17">
        <v>1</v>
      </c>
      <c r="R121" s="17">
        <v>1.8</v>
      </c>
      <c r="S121" s="17">
        <v>0.95</v>
      </c>
      <c r="T121" s="16">
        <f t="shared" si="5"/>
        <v>6750</v>
      </c>
      <c r="U121" s="18">
        <v>-3553.96</v>
      </c>
      <c r="V121" s="19">
        <f t="shared" si="6"/>
        <v>-0.52651259259259264</v>
      </c>
      <c r="W121" s="19">
        <f t="shared" si="7"/>
        <v>-0.47222222222222221</v>
      </c>
      <c r="X121" s="19">
        <f t="shared" si="8"/>
        <v>1.5</v>
      </c>
      <c r="Y121" s="12" t="s">
        <v>242</v>
      </c>
      <c r="Z121" s="12" t="s">
        <v>70</v>
      </c>
      <c r="AA121" s="18">
        <v>-3553.96</v>
      </c>
      <c r="AB121" s="17">
        <v>-5.2389999999999999</v>
      </c>
      <c r="AC121" s="12" t="s">
        <v>102</v>
      </c>
      <c r="AD121" s="12" t="str">
        <f t="shared" si="9"/>
        <v>Rs 1-2</v>
      </c>
      <c r="AE121" s="20">
        <v>1</v>
      </c>
    </row>
    <row r="122" spans="1:31" x14ac:dyDescent="0.3">
      <c r="A122" s="12" t="s">
        <v>126</v>
      </c>
      <c r="B122" s="12" t="s">
        <v>242</v>
      </c>
      <c r="C122" s="12" t="s">
        <v>240</v>
      </c>
      <c r="D122" s="12" t="s">
        <v>77</v>
      </c>
      <c r="E122" s="13">
        <v>-11.4</v>
      </c>
      <c r="F122" s="13">
        <v>-23.7</v>
      </c>
      <c r="G122" s="13">
        <v>8.3000000000000007</v>
      </c>
      <c r="H122" s="14">
        <v>652.15</v>
      </c>
      <c r="I122" s="12" t="s">
        <v>227</v>
      </c>
      <c r="J122" s="14">
        <v>673.75</v>
      </c>
      <c r="K122" s="15">
        <v>4</v>
      </c>
      <c r="L122" s="16">
        <v>1000</v>
      </c>
      <c r="M122" s="16">
        <v>52</v>
      </c>
      <c r="N122" s="17">
        <v>5.5</v>
      </c>
      <c r="O122" s="17">
        <v>5.5</v>
      </c>
      <c r="P122" s="17">
        <v>1.2</v>
      </c>
      <c r="Q122" s="17">
        <v>1.6</v>
      </c>
      <c r="R122" s="17">
        <v>5.55</v>
      </c>
      <c r="S122" s="17">
        <v>1.55</v>
      </c>
      <c r="T122" s="16">
        <f t="shared" si="5"/>
        <v>5550</v>
      </c>
      <c r="U122" s="18">
        <v>-4194.6899999999996</v>
      </c>
      <c r="V122" s="19">
        <f t="shared" si="6"/>
        <v>-0.75579999999999992</v>
      </c>
      <c r="W122" s="19">
        <f t="shared" si="7"/>
        <v>-0.72072072072072069</v>
      </c>
      <c r="X122" s="19">
        <f t="shared" si="8"/>
        <v>-9.009009009009028E-3</v>
      </c>
      <c r="Y122" s="12" t="s">
        <v>242</v>
      </c>
      <c r="Z122" s="12" t="s">
        <v>70</v>
      </c>
      <c r="AA122" s="18">
        <v>-4194.6899999999996</v>
      </c>
      <c r="AB122" s="17">
        <v>-2.3359999999999999</v>
      </c>
      <c r="AC122" s="12" t="s">
        <v>71</v>
      </c>
      <c r="AD122" s="12" t="str">
        <f t="shared" si="9"/>
        <v>Rs 2+</v>
      </c>
      <c r="AE122" s="20">
        <v>1</v>
      </c>
    </row>
    <row r="123" spans="1:31" x14ac:dyDescent="0.3">
      <c r="A123" s="12" t="s">
        <v>90</v>
      </c>
      <c r="B123" s="12" t="s">
        <v>242</v>
      </c>
      <c r="C123" s="12" t="s">
        <v>240</v>
      </c>
      <c r="D123" s="12" t="s">
        <v>77</v>
      </c>
      <c r="E123" s="13">
        <v>-26</v>
      </c>
      <c r="F123" s="13">
        <v>-31.2</v>
      </c>
      <c r="G123" s="13">
        <v>-1</v>
      </c>
      <c r="H123" s="14">
        <v>4242.6000000000004</v>
      </c>
      <c r="I123" s="12" t="s">
        <v>227</v>
      </c>
      <c r="J123" s="14">
        <v>4350</v>
      </c>
      <c r="K123" s="15">
        <v>2</v>
      </c>
      <c r="L123" s="16">
        <v>175</v>
      </c>
      <c r="M123" s="16">
        <v>1349</v>
      </c>
      <c r="N123" s="17">
        <v>31.95</v>
      </c>
      <c r="O123" s="17">
        <v>78.849999999999994</v>
      </c>
      <c r="P123" s="17">
        <v>20.6</v>
      </c>
      <c r="Q123" s="17">
        <v>51.95</v>
      </c>
      <c r="R123" s="17">
        <v>32</v>
      </c>
      <c r="S123" s="17">
        <v>51.9</v>
      </c>
      <c r="T123" s="16">
        <f t="shared" si="5"/>
        <v>5600</v>
      </c>
      <c r="U123" s="18">
        <v>3121.68</v>
      </c>
      <c r="V123" s="19">
        <f t="shared" si="6"/>
        <v>0.55744285714285713</v>
      </c>
      <c r="W123" s="19">
        <f t="shared" si="7"/>
        <v>0.62187499999999996</v>
      </c>
      <c r="X123" s="19">
        <f t="shared" si="8"/>
        <v>1.4640624999999998</v>
      </c>
      <c r="Y123" s="12" t="s">
        <v>241</v>
      </c>
      <c r="Z123" s="12" t="s">
        <v>84</v>
      </c>
      <c r="AA123" s="18">
        <v>100.63</v>
      </c>
      <c r="AB123" s="17">
        <v>2.63</v>
      </c>
      <c r="AC123" s="12" t="s">
        <v>71</v>
      </c>
      <c r="AD123" s="12" t="str">
        <f t="shared" si="9"/>
        <v>Rs 2+</v>
      </c>
      <c r="AE123" s="20">
        <v>1</v>
      </c>
    </row>
    <row r="124" spans="1:31" x14ac:dyDescent="0.3">
      <c r="A124" s="12" t="s">
        <v>244</v>
      </c>
      <c r="B124" s="12" t="s">
        <v>241</v>
      </c>
      <c r="C124" s="12" t="s">
        <v>242</v>
      </c>
      <c r="D124" s="12" t="s">
        <v>68</v>
      </c>
      <c r="E124" s="13">
        <v>26.6</v>
      </c>
      <c r="F124" s="13">
        <v>12</v>
      </c>
      <c r="G124" s="13">
        <v>12.6</v>
      </c>
      <c r="H124" s="14">
        <v>1985.8</v>
      </c>
      <c r="I124" s="12" t="s">
        <v>227</v>
      </c>
      <c r="J124" s="14">
        <v>1960</v>
      </c>
      <c r="K124" s="15">
        <v>1</v>
      </c>
      <c r="L124" s="16">
        <v>500</v>
      </c>
      <c r="M124" s="16">
        <v>4098</v>
      </c>
      <c r="N124" s="17">
        <v>12.55</v>
      </c>
      <c r="O124" s="17">
        <v>15.25</v>
      </c>
      <c r="P124" s="17">
        <v>4.2</v>
      </c>
      <c r="Q124" s="17">
        <v>13.1</v>
      </c>
      <c r="R124" s="17">
        <v>12.6</v>
      </c>
      <c r="S124" s="17">
        <v>13.05</v>
      </c>
      <c r="T124" s="16">
        <f t="shared" si="5"/>
        <v>6300</v>
      </c>
      <c r="U124" s="18">
        <v>34.17</v>
      </c>
      <c r="V124" s="19">
        <f t="shared" si="6"/>
        <v>5.4238095238095243E-3</v>
      </c>
      <c r="W124" s="19">
        <f t="shared" si="7"/>
        <v>3.5714285714285809E-2</v>
      </c>
      <c r="X124" s="19">
        <f t="shared" si="8"/>
        <v>0.21031746031746046</v>
      </c>
      <c r="Y124" s="12" t="s">
        <v>245</v>
      </c>
      <c r="Z124" s="12" t="s">
        <v>111</v>
      </c>
      <c r="AA124" s="18">
        <v>157.69</v>
      </c>
      <c r="AB124" s="17">
        <v>0.61299999999999999</v>
      </c>
      <c r="AC124" s="12" t="s">
        <v>71</v>
      </c>
      <c r="AD124" s="12" t="str">
        <f t="shared" si="9"/>
        <v>Rs 2+</v>
      </c>
      <c r="AE124" s="20">
        <v>1</v>
      </c>
    </row>
    <row r="125" spans="1:31" x14ac:dyDescent="0.3">
      <c r="A125" s="12" t="s">
        <v>246</v>
      </c>
      <c r="B125" s="12" t="s">
        <v>241</v>
      </c>
      <c r="C125" s="12" t="s">
        <v>242</v>
      </c>
      <c r="D125" s="12" t="s">
        <v>77</v>
      </c>
      <c r="E125" s="13">
        <v>-26.6</v>
      </c>
      <c r="F125" s="13">
        <v>-36</v>
      </c>
      <c r="G125" s="13">
        <v>5.5</v>
      </c>
      <c r="H125" s="14">
        <v>243.45</v>
      </c>
      <c r="I125" s="12" t="s">
        <v>227</v>
      </c>
      <c r="J125" s="14">
        <v>244.15</v>
      </c>
      <c r="K125" s="15">
        <v>0</v>
      </c>
      <c r="L125" s="16">
        <v>2925</v>
      </c>
      <c r="M125" s="16">
        <v>2328</v>
      </c>
      <c r="N125" s="17">
        <v>1.7</v>
      </c>
      <c r="O125" s="17">
        <v>5.2</v>
      </c>
      <c r="P125" s="17">
        <v>1.05</v>
      </c>
      <c r="Q125" s="17">
        <v>1.1499999999999999</v>
      </c>
      <c r="R125" s="17">
        <v>1.75</v>
      </c>
      <c r="S125" s="17">
        <v>1.1000000000000001</v>
      </c>
      <c r="T125" s="16">
        <f t="shared" si="5"/>
        <v>5118.75</v>
      </c>
      <c r="U125" s="18">
        <v>-2040.3</v>
      </c>
      <c r="V125" s="19">
        <f t="shared" si="6"/>
        <v>-0.39859340659340659</v>
      </c>
      <c r="W125" s="19">
        <f t="shared" si="7"/>
        <v>-0.37142857142857133</v>
      </c>
      <c r="X125" s="19">
        <f t="shared" si="8"/>
        <v>1.9714285714285715</v>
      </c>
      <c r="Y125" s="12" t="s">
        <v>241</v>
      </c>
      <c r="Z125" s="12" t="s">
        <v>70</v>
      </c>
      <c r="AA125" s="18">
        <v>-2040.3</v>
      </c>
      <c r="AB125" s="17">
        <v>0.498</v>
      </c>
      <c r="AC125" s="12" t="s">
        <v>102</v>
      </c>
      <c r="AD125" s="12" t="str">
        <f t="shared" si="9"/>
        <v>Rs 1-2</v>
      </c>
      <c r="AE125" s="20">
        <v>1</v>
      </c>
    </row>
    <row r="126" spans="1:31" x14ac:dyDescent="0.3">
      <c r="A126" s="12" t="s">
        <v>247</v>
      </c>
      <c r="B126" s="12" t="s">
        <v>241</v>
      </c>
      <c r="C126" s="12" t="s">
        <v>248</v>
      </c>
      <c r="D126" s="12" t="s">
        <v>77</v>
      </c>
      <c r="E126" s="13">
        <v>-40</v>
      </c>
      <c r="F126" s="13">
        <v>-9.3000000000000007</v>
      </c>
      <c r="G126" s="13">
        <v>8.9</v>
      </c>
      <c r="H126" s="14">
        <v>2124.6</v>
      </c>
      <c r="I126" s="12" t="s">
        <v>227</v>
      </c>
      <c r="J126" s="14">
        <v>2120</v>
      </c>
      <c r="K126" s="15">
        <v>0</v>
      </c>
      <c r="L126" s="16">
        <v>400</v>
      </c>
      <c r="M126" s="16">
        <v>3791</v>
      </c>
      <c r="N126" s="17">
        <v>8.15</v>
      </c>
      <c r="O126" s="17">
        <v>8.25</v>
      </c>
      <c r="P126" s="17">
        <v>0.75</v>
      </c>
      <c r="Q126" s="17">
        <v>0.85</v>
      </c>
      <c r="R126" s="17">
        <v>8.1999999999999993</v>
      </c>
      <c r="S126" s="17">
        <v>0.8</v>
      </c>
      <c r="T126" s="16">
        <f t="shared" si="5"/>
        <v>3279.9999999999995</v>
      </c>
      <c r="U126" s="18">
        <v>-3045.29</v>
      </c>
      <c r="V126" s="19">
        <f t="shared" si="6"/>
        <v>-0.9284420731707318</v>
      </c>
      <c r="W126" s="19">
        <f t="shared" si="7"/>
        <v>-0.90243902439024393</v>
      </c>
      <c r="X126" s="19">
        <f t="shared" si="8"/>
        <v>6.0975609756097615E-3</v>
      </c>
      <c r="Y126" s="12" t="s">
        <v>241</v>
      </c>
      <c r="Z126" s="12" t="s">
        <v>70</v>
      </c>
      <c r="AA126" s="18">
        <v>-3045.29</v>
      </c>
      <c r="AB126" s="17">
        <v>-2.9009999999999998</v>
      </c>
      <c r="AC126" s="12" t="s">
        <v>71</v>
      </c>
      <c r="AD126" s="12" t="str">
        <f t="shared" si="9"/>
        <v>Rs 2+</v>
      </c>
      <c r="AE126" s="20">
        <v>1</v>
      </c>
    </row>
    <row r="127" spans="1:31" x14ac:dyDescent="0.3">
      <c r="A127" s="12" t="s">
        <v>249</v>
      </c>
      <c r="B127" s="12" t="s">
        <v>241</v>
      </c>
      <c r="C127" s="12" t="s">
        <v>242</v>
      </c>
      <c r="D127" s="12" t="s">
        <v>77</v>
      </c>
      <c r="E127" s="13">
        <v>-23.8</v>
      </c>
      <c r="F127" s="13">
        <v>-23.1</v>
      </c>
      <c r="G127" s="13">
        <v>-11.4</v>
      </c>
      <c r="H127" s="14">
        <v>301.75</v>
      </c>
      <c r="I127" s="12" t="s">
        <v>227</v>
      </c>
      <c r="J127" s="14">
        <v>300</v>
      </c>
      <c r="K127" s="15">
        <v>0</v>
      </c>
      <c r="L127" s="16">
        <v>1800</v>
      </c>
      <c r="M127" s="16">
        <v>1082</v>
      </c>
      <c r="N127" s="17">
        <v>3</v>
      </c>
      <c r="O127" s="17">
        <v>9.35</v>
      </c>
      <c r="P127" s="17">
        <v>2.35</v>
      </c>
      <c r="Q127" s="17">
        <v>4.0999999999999996</v>
      </c>
      <c r="R127" s="17">
        <v>3.05</v>
      </c>
      <c r="S127" s="17">
        <v>4.05</v>
      </c>
      <c r="T127" s="16">
        <f t="shared" si="5"/>
        <v>5490</v>
      </c>
      <c r="U127" s="18">
        <v>1480.72</v>
      </c>
      <c r="V127" s="19">
        <f t="shared" si="6"/>
        <v>0.26971220400728596</v>
      </c>
      <c r="W127" s="19">
        <f t="shared" si="7"/>
        <v>0.32786885245901631</v>
      </c>
      <c r="X127" s="19">
        <f t="shared" si="8"/>
        <v>2.0655737704918034</v>
      </c>
      <c r="Y127" s="12" t="s">
        <v>235</v>
      </c>
      <c r="Z127" s="12" t="s">
        <v>70</v>
      </c>
      <c r="AA127" s="18">
        <v>-4857.2299999999996</v>
      </c>
      <c r="AB127" s="17">
        <v>1.2769999999999999</v>
      </c>
      <c r="AC127" s="12" t="s">
        <v>71</v>
      </c>
      <c r="AD127" s="12" t="str">
        <f t="shared" si="9"/>
        <v>Rs 2+</v>
      </c>
      <c r="AE127" s="20">
        <v>1</v>
      </c>
    </row>
    <row r="128" spans="1:31" x14ac:dyDescent="0.3">
      <c r="A128" s="12" t="s">
        <v>108</v>
      </c>
      <c r="B128" s="12" t="s">
        <v>235</v>
      </c>
      <c r="C128" s="12" t="s">
        <v>241</v>
      </c>
      <c r="D128" s="12" t="s">
        <v>68</v>
      </c>
      <c r="E128" s="13">
        <v>19.899999999999999</v>
      </c>
      <c r="F128" s="13">
        <v>10</v>
      </c>
      <c r="G128" s="13">
        <v>11.2</v>
      </c>
      <c r="H128" s="14">
        <v>3622.9</v>
      </c>
      <c r="I128" s="12" t="s">
        <v>227</v>
      </c>
      <c r="J128" s="14">
        <v>3550</v>
      </c>
      <c r="K128" s="15">
        <v>1</v>
      </c>
      <c r="L128" s="16">
        <v>250</v>
      </c>
      <c r="M128" s="16">
        <v>1174</v>
      </c>
      <c r="N128" s="17">
        <v>18</v>
      </c>
      <c r="O128" s="17">
        <v>18</v>
      </c>
      <c r="P128" s="17">
        <v>1.9</v>
      </c>
      <c r="Q128" s="17">
        <v>2.1</v>
      </c>
      <c r="R128" s="17">
        <v>18.05</v>
      </c>
      <c r="S128" s="17">
        <v>2.0499999999999998</v>
      </c>
      <c r="T128" s="16">
        <f t="shared" si="5"/>
        <v>4512.5</v>
      </c>
      <c r="U128" s="18">
        <v>-4100.46</v>
      </c>
      <c r="V128" s="19">
        <f t="shared" si="6"/>
        <v>-0.90868919667590031</v>
      </c>
      <c r="W128" s="19">
        <f t="shared" si="7"/>
        <v>-0.88642659279778391</v>
      </c>
      <c r="X128" s="19">
        <f t="shared" si="8"/>
        <v>-2.7700831024931594E-3</v>
      </c>
      <c r="Y128" s="12" t="s">
        <v>235</v>
      </c>
      <c r="Z128" s="12" t="s">
        <v>70</v>
      </c>
      <c r="AA128" s="18">
        <v>-4100.46</v>
      </c>
      <c r="AB128" s="17">
        <v>-2.948</v>
      </c>
      <c r="AC128" s="12" t="s">
        <v>71</v>
      </c>
      <c r="AD128" s="12" t="str">
        <f t="shared" si="9"/>
        <v>Rs 2+</v>
      </c>
      <c r="AE128" s="20">
        <v>1</v>
      </c>
    </row>
    <row r="129" spans="1:31" x14ac:dyDescent="0.3">
      <c r="A129" s="12" t="s">
        <v>207</v>
      </c>
      <c r="B129" s="12" t="s">
        <v>227</v>
      </c>
      <c r="C129" s="12" t="s">
        <v>245</v>
      </c>
      <c r="D129" s="12" t="s">
        <v>77</v>
      </c>
      <c r="E129" s="13">
        <v>-20.2</v>
      </c>
      <c r="F129" s="13">
        <v>-29.1</v>
      </c>
      <c r="G129" s="13">
        <v>4.7</v>
      </c>
      <c r="H129" s="14">
        <v>5740</v>
      </c>
      <c r="I129" s="12" t="s">
        <v>250</v>
      </c>
      <c r="J129" s="14">
        <v>6200</v>
      </c>
      <c r="K129" s="15">
        <v>5</v>
      </c>
      <c r="L129" s="16">
        <v>150</v>
      </c>
      <c r="M129" s="16">
        <v>2974</v>
      </c>
      <c r="N129" s="17">
        <v>28</v>
      </c>
      <c r="O129" s="17">
        <v>56.75</v>
      </c>
      <c r="P129" s="17">
        <v>24.95</v>
      </c>
      <c r="Q129" s="17">
        <v>43.35</v>
      </c>
      <c r="R129" s="17">
        <v>28.05</v>
      </c>
      <c r="S129" s="17">
        <v>43.3</v>
      </c>
      <c r="T129" s="16">
        <f t="shared" si="5"/>
        <v>4207.5</v>
      </c>
      <c r="U129" s="18">
        <v>2118.9</v>
      </c>
      <c r="V129" s="19">
        <f t="shared" si="6"/>
        <v>0.50360071301247777</v>
      </c>
      <c r="W129" s="19">
        <f t="shared" si="7"/>
        <v>0.54367201426024936</v>
      </c>
      <c r="X129" s="19">
        <f t="shared" si="8"/>
        <v>1.0231729055258465</v>
      </c>
      <c r="Y129" s="12" t="s">
        <v>251</v>
      </c>
      <c r="Z129" s="12" t="s">
        <v>70</v>
      </c>
      <c r="AA129" s="18">
        <v>-1067.6400000000001</v>
      </c>
      <c r="AB129" s="17">
        <v>5.0759999999999996</v>
      </c>
      <c r="AC129" s="12" t="s">
        <v>71</v>
      </c>
      <c r="AD129" s="12" t="str">
        <f t="shared" si="9"/>
        <v>Rs 2+</v>
      </c>
      <c r="AE129" s="20">
        <v>1</v>
      </c>
    </row>
    <row r="130" spans="1:31" x14ac:dyDescent="0.3">
      <c r="A130" s="12" t="s">
        <v>183</v>
      </c>
      <c r="B130" s="12" t="s">
        <v>227</v>
      </c>
      <c r="C130" s="12" t="s">
        <v>245</v>
      </c>
      <c r="D130" s="12" t="s">
        <v>77</v>
      </c>
      <c r="E130" s="13">
        <v>-15.8</v>
      </c>
      <c r="F130" s="13">
        <v>-29.8</v>
      </c>
      <c r="G130" s="13">
        <v>12.8</v>
      </c>
      <c r="H130" s="14">
        <v>1268.5</v>
      </c>
      <c r="I130" s="12" t="s">
        <v>250</v>
      </c>
      <c r="J130" s="14">
        <v>1320</v>
      </c>
      <c r="K130" s="15">
        <v>3</v>
      </c>
      <c r="L130" s="16">
        <v>400</v>
      </c>
      <c r="M130" s="16">
        <v>193</v>
      </c>
      <c r="N130" s="17">
        <v>18.05</v>
      </c>
      <c r="O130" s="17">
        <v>18.850000000000001</v>
      </c>
      <c r="P130" s="17">
        <v>11.15</v>
      </c>
      <c r="Q130" s="17">
        <v>12.6</v>
      </c>
      <c r="R130" s="17">
        <v>18.100000000000001</v>
      </c>
      <c r="S130" s="17">
        <v>12.55</v>
      </c>
      <c r="T130" s="16">
        <f t="shared" ref="T130:T193" si="10">R130*L130</f>
        <v>7240.0000000000009</v>
      </c>
      <c r="U130" s="18">
        <v>-2525.3000000000002</v>
      </c>
      <c r="V130" s="19">
        <f t="shared" ref="V130:V193" si="11">U130/T130</f>
        <v>-0.34879834254143643</v>
      </c>
      <c r="W130" s="19">
        <f t="shared" ref="W130:W193" si="12">S130/R130-1</f>
        <v>-0.3066298342541437</v>
      </c>
      <c r="X130" s="19">
        <f t="shared" ref="X130:X193" si="13">IF(O130="","",O130/R130-1)</f>
        <v>4.143646408839774E-2</v>
      </c>
      <c r="Y130" s="12" t="s">
        <v>227</v>
      </c>
      <c r="Z130" s="12" t="s">
        <v>70</v>
      </c>
      <c r="AA130" s="18">
        <v>-2525.3000000000002</v>
      </c>
      <c r="AB130" s="17">
        <v>-1.089</v>
      </c>
      <c r="AC130" s="12" t="s">
        <v>71</v>
      </c>
      <c r="AD130" s="12" t="str">
        <f t="shared" ref="AD130:AD193" si="14">IF(R130&lt;1,"under Rs 1",IF(R130&lt;2,"Rs 1-2","Rs 2+"))</f>
        <v>Rs 2+</v>
      </c>
      <c r="AE130" s="20">
        <v>1</v>
      </c>
    </row>
    <row r="131" spans="1:31" x14ac:dyDescent="0.3">
      <c r="A131" s="12" t="s">
        <v>162</v>
      </c>
      <c r="B131" s="12" t="s">
        <v>227</v>
      </c>
      <c r="C131" s="12" t="s">
        <v>245</v>
      </c>
      <c r="D131" s="12" t="s">
        <v>68</v>
      </c>
      <c r="E131" s="13">
        <v>23.4</v>
      </c>
      <c r="F131" s="13">
        <v>23.6</v>
      </c>
      <c r="G131" s="13">
        <v>22.3</v>
      </c>
      <c r="H131" s="14">
        <v>3208.9</v>
      </c>
      <c r="I131" s="12" t="s">
        <v>250</v>
      </c>
      <c r="J131" s="14">
        <v>2950</v>
      </c>
      <c r="K131" s="15">
        <v>5</v>
      </c>
      <c r="L131" s="16">
        <v>200</v>
      </c>
      <c r="M131" s="16">
        <v>1654</v>
      </c>
      <c r="N131" s="17">
        <v>30.6</v>
      </c>
      <c r="O131" s="17">
        <v>37.049999999999997</v>
      </c>
      <c r="P131" s="17">
        <v>17.05</v>
      </c>
      <c r="Q131" s="17">
        <v>22.9</v>
      </c>
      <c r="R131" s="17">
        <v>30.65</v>
      </c>
      <c r="S131" s="17">
        <v>22.85</v>
      </c>
      <c r="T131" s="16">
        <f t="shared" si="10"/>
        <v>6130</v>
      </c>
      <c r="U131" s="18">
        <v>-1725.73</v>
      </c>
      <c r="V131" s="19">
        <f t="shared" si="11"/>
        <v>-0.2815220228384992</v>
      </c>
      <c r="W131" s="19">
        <f t="shared" si="12"/>
        <v>-0.25448613376835227</v>
      </c>
      <c r="X131" s="19">
        <f t="shared" si="13"/>
        <v>0.20880913539967372</v>
      </c>
      <c r="Y131" s="12" t="s">
        <v>227</v>
      </c>
      <c r="Z131" s="12" t="s">
        <v>70</v>
      </c>
      <c r="AA131" s="18">
        <v>-1725.73</v>
      </c>
      <c r="AB131" s="17">
        <v>0.67900000000000005</v>
      </c>
      <c r="AC131" s="12" t="s">
        <v>71</v>
      </c>
      <c r="AD131" s="12" t="str">
        <f t="shared" si="14"/>
        <v>Rs 2+</v>
      </c>
      <c r="AE131" s="20">
        <v>1</v>
      </c>
    </row>
    <row r="132" spans="1:31" x14ac:dyDescent="0.3">
      <c r="A132" s="12" t="s">
        <v>128</v>
      </c>
      <c r="B132" s="12" t="s">
        <v>251</v>
      </c>
      <c r="C132" s="12" t="s">
        <v>227</v>
      </c>
      <c r="D132" s="12" t="s">
        <v>77</v>
      </c>
      <c r="E132" s="13">
        <v>-44.9</v>
      </c>
      <c r="F132" s="13">
        <v>-29.4</v>
      </c>
      <c r="G132" s="13">
        <v>-13.8</v>
      </c>
      <c r="H132" s="14">
        <v>2430.6999999999998</v>
      </c>
      <c r="I132" s="12" t="s">
        <v>250</v>
      </c>
      <c r="J132" s="14">
        <v>2600</v>
      </c>
      <c r="K132" s="15">
        <v>3</v>
      </c>
      <c r="L132" s="16">
        <v>300</v>
      </c>
      <c r="M132" s="16">
        <v>8149</v>
      </c>
      <c r="N132" s="17">
        <v>18</v>
      </c>
      <c r="O132" s="17">
        <v>21.35</v>
      </c>
      <c r="P132" s="17">
        <v>8.0500000000000007</v>
      </c>
      <c r="Q132" s="17">
        <v>9</v>
      </c>
      <c r="R132" s="17">
        <v>18.05</v>
      </c>
      <c r="S132" s="17">
        <v>8.9499999999999993</v>
      </c>
      <c r="T132" s="16">
        <f t="shared" si="10"/>
        <v>5415</v>
      </c>
      <c r="U132" s="18">
        <v>-2865.79</v>
      </c>
      <c r="V132" s="19">
        <f t="shared" si="11"/>
        <v>-0.52923176361957525</v>
      </c>
      <c r="W132" s="19">
        <f t="shared" si="12"/>
        <v>-0.50415512465373968</v>
      </c>
      <c r="X132" s="19">
        <f t="shared" si="13"/>
        <v>0.18282548476454297</v>
      </c>
      <c r="Y132" s="12" t="s">
        <v>251</v>
      </c>
      <c r="Z132" s="12" t="s">
        <v>70</v>
      </c>
      <c r="AA132" s="18">
        <v>-2865.79</v>
      </c>
      <c r="AB132" s="17">
        <v>-3.056</v>
      </c>
      <c r="AC132" s="12" t="s">
        <v>71</v>
      </c>
      <c r="AD132" s="12" t="str">
        <f t="shared" si="14"/>
        <v>Rs 2+</v>
      </c>
      <c r="AE132" s="20">
        <v>1</v>
      </c>
    </row>
    <row r="133" spans="1:31" x14ac:dyDescent="0.3">
      <c r="A133" s="12" t="s">
        <v>116</v>
      </c>
      <c r="B133" s="12" t="s">
        <v>251</v>
      </c>
      <c r="C133" s="12" t="s">
        <v>227</v>
      </c>
      <c r="D133" s="12" t="s">
        <v>68</v>
      </c>
      <c r="E133" s="13">
        <v>56.5</v>
      </c>
      <c r="F133" s="13">
        <v>101.7</v>
      </c>
      <c r="G133" s="13">
        <v>78.599999999999994</v>
      </c>
      <c r="H133" s="14">
        <v>515.04999999999995</v>
      </c>
      <c r="I133" s="12" t="s">
        <v>250</v>
      </c>
      <c r="J133" s="14">
        <v>500</v>
      </c>
      <c r="K133" s="15">
        <v>2</v>
      </c>
      <c r="L133" s="16">
        <v>1000</v>
      </c>
      <c r="M133" s="16">
        <v>2025</v>
      </c>
      <c r="N133" s="17">
        <v>7.95</v>
      </c>
      <c r="O133" s="17">
        <v>14.8</v>
      </c>
      <c r="P133" s="17">
        <v>7.05</v>
      </c>
      <c r="Q133" s="17">
        <v>13.75</v>
      </c>
      <c r="R133" s="17">
        <v>8</v>
      </c>
      <c r="S133" s="17">
        <v>13.7</v>
      </c>
      <c r="T133" s="16">
        <f t="shared" si="10"/>
        <v>8000</v>
      </c>
      <c r="U133" s="18">
        <v>5188.8900000000003</v>
      </c>
      <c r="V133" s="19">
        <f t="shared" si="11"/>
        <v>0.64861125000000008</v>
      </c>
      <c r="W133" s="19">
        <f t="shared" si="12"/>
        <v>0.71249999999999991</v>
      </c>
      <c r="X133" s="19">
        <f t="shared" si="13"/>
        <v>0.85000000000000009</v>
      </c>
      <c r="Y133" s="12" t="s">
        <v>252</v>
      </c>
      <c r="Z133" s="12" t="s">
        <v>70</v>
      </c>
      <c r="AA133" s="18">
        <v>-4396.29</v>
      </c>
      <c r="AB133" s="17">
        <v>3.4620000000000002</v>
      </c>
      <c r="AC133" s="12" t="s">
        <v>71</v>
      </c>
      <c r="AD133" s="12" t="str">
        <f t="shared" si="14"/>
        <v>Rs 2+</v>
      </c>
      <c r="AE133" s="20">
        <v>1</v>
      </c>
    </row>
    <row r="134" spans="1:31" x14ac:dyDescent="0.3">
      <c r="A134" s="12" t="s">
        <v>253</v>
      </c>
      <c r="B134" s="12" t="s">
        <v>251</v>
      </c>
      <c r="C134" s="12" t="s">
        <v>227</v>
      </c>
      <c r="D134" s="12" t="s">
        <v>77</v>
      </c>
      <c r="E134" s="13">
        <v>-12.5</v>
      </c>
      <c r="F134" s="13">
        <v>-10.199999999999999</v>
      </c>
      <c r="G134" s="13">
        <v>5.8</v>
      </c>
      <c r="H134" s="14">
        <v>425.65</v>
      </c>
      <c r="I134" s="12" t="s">
        <v>250</v>
      </c>
      <c r="J134" s="14">
        <v>450</v>
      </c>
      <c r="K134" s="15">
        <v>2</v>
      </c>
      <c r="L134" s="16">
        <v>1150</v>
      </c>
      <c r="M134" s="16">
        <v>3370</v>
      </c>
      <c r="N134" s="17">
        <v>4.25</v>
      </c>
      <c r="O134" s="17">
        <v>5.4</v>
      </c>
      <c r="P134" s="17">
        <v>3.55</v>
      </c>
      <c r="Q134" s="17">
        <v>3.75</v>
      </c>
      <c r="R134" s="17">
        <v>4.3</v>
      </c>
      <c r="S134" s="17">
        <v>3.7</v>
      </c>
      <c r="T134" s="16">
        <f t="shared" si="10"/>
        <v>4945</v>
      </c>
      <c r="U134" s="18">
        <v>-839.59</v>
      </c>
      <c r="V134" s="19">
        <f t="shared" si="11"/>
        <v>-0.16978564206268959</v>
      </c>
      <c r="W134" s="19">
        <f t="shared" si="12"/>
        <v>-0.13953488372093015</v>
      </c>
      <c r="X134" s="19">
        <f t="shared" si="13"/>
        <v>0.25581395348837233</v>
      </c>
      <c r="Y134" s="12" t="s">
        <v>254</v>
      </c>
      <c r="Z134" s="12" t="s">
        <v>84</v>
      </c>
      <c r="AA134" s="18">
        <v>-669.14</v>
      </c>
      <c r="AB134" s="17">
        <v>-0.153</v>
      </c>
      <c r="AC134" s="12" t="s">
        <v>71</v>
      </c>
      <c r="AD134" s="12" t="str">
        <f t="shared" si="14"/>
        <v>Rs 2+</v>
      </c>
      <c r="AE134" s="20">
        <v>1</v>
      </c>
    </row>
    <row r="135" spans="1:31" x14ac:dyDescent="0.3">
      <c r="A135" s="12" t="s">
        <v>161</v>
      </c>
      <c r="B135" s="12" t="s">
        <v>252</v>
      </c>
      <c r="C135" s="12" t="s">
        <v>251</v>
      </c>
      <c r="D135" s="12" t="s">
        <v>68</v>
      </c>
      <c r="E135" s="13">
        <v>67.5</v>
      </c>
      <c r="F135" s="13">
        <v>25.5</v>
      </c>
      <c r="G135" s="13">
        <v>5.6</v>
      </c>
      <c r="H135" s="14">
        <v>429.85</v>
      </c>
      <c r="I135" s="12" t="s">
        <v>250</v>
      </c>
      <c r="J135" s="14">
        <v>395</v>
      </c>
      <c r="K135" s="15">
        <v>7</v>
      </c>
      <c r="L135" s="16">
        <v>2075</v>
      </c>
      <c r="M135" s="16">
        <v>93</v>
      </c>
      <c r="N135" s="17">
        <v>2.15</v>
      </c>
      <c r="O135" s="17">
        <v>2.35</v>
      </c>
      <c r="P135" s="17">
        <v>1.1499999999999999</v>
      </c>
      <c r="Q135" s="17">
        <v>1.1499999999999999</v>
      </c>
      <c r="R135" s="17">
        <v>2.2000000000000002</v>
      </c>
      <c r="S135" s="17">
        <v>1.1000000000000001</v>
      </c>
      <c r="T135" s="16">
        <f t="shared" si="10"/>
        <v>4565</v>
      </c>
      <c r="U135" s="18">
        <v>-2541.56</v>
      </c>
      <c r="V135" s="19">
        <f t="shared" si="11"/>
        <v>-0.5567491785323111</v>
      </c>
      <c r="W135" s="19">
        <f t="shared" si="12"/>
        <v>-0.5</v>
      </c>
      <c r="X135" s="19">
        <f t="shared" si="13"/>
        <v>6.8181818181818121E-2</v>
      </c>
      <c r="Y135" s="12" t="s">
        <v>252</v>
      </c>
      <c r="Z135" s="12" t="s">
        <v>70</v>
      </c>
      <c r="AA135" s="18">
        <v>-2541.56</v>
      </c>
      <c r="AB135" s="17">
        <v>-4.9089999999999998</v>
      </c>
      <c r="AC135" s="12" t="s">
        <v>71</v>
      </c>
      <c r="AD135" s="12" t="str">
        <f t="shared" si="14"/>
        <v>Rs 2+</v>
      </c>
      <c r="AE135" s="20">
        <v>1</v>
      </c>
    </row>
    <row r="136" spans="1:31" x14ac:dyDescent="0.3">
      <c r="A136" s="12" t="s">
        <v>189</v>
      </c>
      <c r="B136" s="12" t="s">
        <v>252</v>
      </c>
      <c r="C136" s="12" t="s">
        <v>255</v>
      </c>
      <c r="D136" s="12" t="s">
        <v>77</v>
      </c>
      <c r="E136" s="13">
        <v>-10.6</v>
      </c>
      <c r="F136" s="13">
        <v>-15.8</v>
      </c>
      <c r="G136" s="13">
        <v>6.3</v>
      </c>
      <c r="H136" s="14">
        <v>196.06</v>
      </c>
      <c r="I136" s="12" t="s">
        <v>250</v>
      </c>
      <c r="J136" s="14">
        <v>200</v>
      </c>
      <c r="K136" s="15">
        <v>2</v>
      </c>
      <c r="L136" s="16">
        <v>5000</v>
      </c>
      <c r="M136" s="16">
        <v>8060</v>
      </c>
      <c r="N136" s="17">
        <v>1.35</v>
      </c>
      <c r="O136" s="17">
        <v>3.5</v>
      </c>
      <c r="P136" s="17">
        <v>0.5</v>
      </c>
      <c r="Q136" s="17">
        <v>3.25</v>
      </c>
      <c r="R136" s="17">
        <v>1.4</v>
      </c>
      <c r="S136" s="17">
        <v>3.2</v>
      </c>
      <c r="T136" s="16">
        <f t="shared" si="10"/>
        <v>7000</v>
      </c>
      <c r="U136" s="18">
        <v>8458.91</v>
      </c>
      <c r="V136" s="19">
        <f t="shared" si="11"/>
        <v>1.2084157142857144</v>
      </c>
      <c r="W136" s="19">
        <f t="shared" si="12"/>
        <v>1.285714285714286</v>
      </c>
      <c r="X136" s="19">
        <f t="shared" si="13"/>
        <v>1.5</v>
      </c>
      <c r="Y136" s="12" t="s">
        <v>254</v>
      </c>
      <c r="Z136" s="12" t="s">
        <v>84</v>
      </c>
      <c r="AA136" s="18">
        <v>4302.09</v>
      </c>
      <c r="AB136" s="17">
        <v>5.7370000000000001</v>
      </c>
      <c r="AC136" s="12" t="s">
        <v>102</v>
      </c>
      <c r="AD136" s="12" t="str">
        <f t="shared" si="14"/>
        <v>Rs 1-2</v>
      </c>
      <c r="AE136" s="20">
        <v>1</v>
      </c>
    </row>
    <row r="137" spans="1:31" x14ac:dyDescent="0.3">
      <c r="A137" s="12" t="s">
        <v>256</v>
      </c>
      <c r="B137" s="12" t="s">
        <v>257</v>
      </c>
      <c r="C137" s="12" t="s">
        <v>252</v>
      </c>
      <c r="D137" s="12" t="s">
        <v>77</v>
      </c>
      <c r="E137" s="13">
        <v>-10.199999999999999</v>
      </c>
      <c r="F137" s="13">
        <v>-8.6999999999999993</v>
      </c>
      <c r="G137" s="13">
        <v>4</v>
      </c>
      <c r="H137" s="14">
        <v>1090.4000000000001</v>
      </c>
      <c r="I137" s="12" t="s">
        <v>250</v>
      </c>
      <c r="J137" s="14">
        <v>1140</v>
      </c>
      <c r="K137" s="15">
        <v>2</v>
      </c>
      <c r="L137" s="16">
        <v>550</v>
      </c>
      <c r="M137" s="16">
        <v>2801</v>
      </c>
      <c r="N137" s="17">
        <v>10</v>
      </c>
      <c r="O137" s="17">
        <v>23.5</v>
      </c>
      <c r="P137" s="17">
        <v>8.6</v>
      </c>
      <c r="Q137" s="17">
        <v>11.25</v>
      </c>
      <c r="R137" s="17">
        <v>10.050000000000001</v>
      </c>
      <c r="S137" s="17">
        <v>11.2</v>
      </c>
      <c r="T137" s="16">
        <f t="shared" si="10"/>
        <v>5527.5</v>
      </c>
      <c r="U137" s="18">
        <v>337.22</v>
      </c>
      <c r="V137" s="19">
        <f t="shared" si="11"/>
        <v>6.1007688828584358E-2</v>
      </c>
      <c r="W137" s="19">
        <f t="shared" si="12"/>
        <v>0.11442786069651723</v>
      </c>
      <c r="X137" s="19">
        <f t="shared" si="13"/>
        <v>1.3383084577114426</v>
      </c>
      <c r="Y137" s="12" t="s">
        <v>254</v>
      </c>
      <c r="Z137" s="12" t="s">
        <v>70</v>
      </c>
      <c r="AA137" s="18">
        <v>-2729.04</v>
      </c>
      <c r="AB137" s="17">
        <v>0.57799999999999996</v>
      </c>
      <c r="AC137" s="12" t="s">
        <v>71</v>
      </c>
      <c r="AD137" s="12" t="str">
        <f t="shared" si="14"/>
        <v>Rs 2+</v>
      </c>
      <c r="AE137" s="20">
        <v>1</v>
      </c>
    </row>
    <row r="138" spans="1:31" x14ac:dyDescent="0.3">
      <c r="A138" s="12" t="s">
        <v>258</v>
      </c>
      <c r="B138" s="12" t="s">
        <v>257</v>
      </c>
      <c r="C138" s="12" t="s">
        <v>252</v>
      </c>
      <c r="D138" s="12" t="s">
        <v>68</v>
      </c>
      <c r="E138" s="13">
        <v>131.19999999999999</v>
      </c>
      <c r="F138" s="13">
        <v>11.9</v>
      </c>
      <c r="G138" s="13">
        <v>3.1</v>
      </c>
      <c r="H138" s="14">
        <v>30645</v>
      </c>
      <c r="I138" s="12" t="s">
        <v>250</v>
      </c>
      <c r="J138" s="14">
        <v>29000</v>
      </c>
      <c r="K138" s="15">
        <v>7</v>
      </c>
      <c r="L138" s="16">
        <v>25</v>
      </c>
      <c r="M138" s="16">
        <v>1798</v>
      </c>
      <c r="N138" s="17">
        <v>221.05</v>
      </c>
      <c r="O138" s="17">
        <v>317.14999999999998</v>
      </c>
      <c r="P138" s="17">
        <v>172.35</v>
      </c>
      <c r="Q138" s="17">
        <v>254.35</v>
      </c>
      <c r="R138" s="17">
        <v>221.1</v>
      </c>
      <c r="S138" s="17">
        <v>254.3</v>
      </c>
      <c r="T138" s="16">
        <f t="shared" si="10"/>
        <v>5527.5</v>
      </c>
      <c r="U138" s="18">
        <v>649.24</v>
      </c>
      <c r="V138" s="19">
        <f t="shared" si="11"/>
        <v>0.11745635459068295</v>
      </c>
      <c r="W138" s="19">
        <f t="shared" si="12"/>
        <v>0.15015829941203074</v>
      </c>
      <c r="X138" s="19">
        <f t="shared" si="13"/>
        <v>0.43441881501582991</v>
      </c>
      <c r="Y138" s="12" t="s">
        <v>259</v>
      </c>
      <c r="Z138" s="12" t="s">
        <v>70</v>
      </c>
      <c r="AA138" s="18">
        <v>-1923.45</v>
      </c>
      <c r="AB138" s="17">
        <v>2.1859999999999999</v>
      </c>
      <c r="AC138" s="12" t="s">
        <v>71</v>
      </c>
      <c r="AD138" s="12" t="str">
        <f t="shared" si="14"/>
        <v>Rs 2+</v>
      </c>
      <c r="AE138" s="20">
        <v>1</v>
      </c>
    </row>
    <row r="139" spans="1:31" x14ac:dyDescent="0.3">
      <c r="A139" s="12" t="s">
        <v>99</v>
      </c>
      <c r="B139" s="12" t="s">
        <v>257</v>
      </c>
      <c r="C139" s="12" t="s">
        <v>252</v>
      </c>
      <c r="D139" s="12" t="s">
        <v>77</v>
      </c>
      <c r="E139" s="13">
        <v>-14.1</v>
      </c>
      <c r="F139" s="13">
        <v>-25.6</v>
      </c>
      <c r="G139" s="13">
        <v>-4.7</v>
      </c>
      <c r="H139" s="14">
        <v>443</v>
      </c>
      <c r="I139" s="12" t="s">
        <v>250</v>
      </c>
      <c r="J139" s="14">
        <v>470</v>
      </c>
      <c r="K139" s="15">
        <v>3</v>
      </c>
      <c r="L139" s="16">
        <v>1050</v>
      </c>
      <c r="M139" s="16">
        <v>2444</v>
      </c>
      <c r="N139" s="17">
        <v>5.95</v>
      </c>
      <c r="O139" s="17">
        <v>11.65</v>
      </c>
      <c r="P139" s="17">
        <v>5.25</v>
      </c>
      <c r="Q139" s="17">
        <v>8.1</v>
      </c>
      <c r="R139" s="17">
        <v>6</v>
      </c>
      <c r="S139" s="17">
        <v>8.0500000000000007</v>
      </c>
      <c r="T139" s="16">
        <f t="shared" si="10"/>
        <v>6300</v>
      </c>
      <c r="U139" s="18">
        <v>1791.18</v>
      </c>
      <c r="V139" s="19">
        <f t="shared" si="11"/>
        <v>0.28431428571428574</v>
      </c>
      <c r="W139" s="19">
        <f t="shared" si="12"/>
        <v>0.34166666666666679</v>
      </c>
      <c r="X139" s="19">
        <f t="shared" si="13"/>
        <v>0.94166666666666665</v>
      </c>
      <c r="Y139" s="12" t="s">
        <v>254</v>
      </c>
      <c r="Z139" s="12" t="s">
        <v>84</v>
      </c>
      <c r="AA139" s="18">
        <v>-570.9</v>
      </c>
      <c r="AB139" s="17">
        <v>3.2559999999999998</v>
      </c>
      <c r="AC139" s="12" t="s">
        <v>71</v>
      </c>
      <c r="AD139" s="12" t="str">
        <f t="shared" si="14"/>
        <v>Rs 2+</v>
      </c>
      <c r="AE139" s="20">
        <v>1</v>
      </c>
    </row>
    <row r="140" spans="1:31" x14ac:dyDescent="0.3">
      <c r="A140" s="12" t="s">
        <v>260</v>
      </c>
      <c r="B140" s="12" t="s">
        <v>259</v>
      </c>
      <c r="C140" s="12" t="s">
        <v>257</v>
      </c>
      <c r="D140" s="12" t="s">
        <v>68</v>
      </c>
      <c r="E140" s="13">
        <v>51.6</v>
      </c>
      <c r="F140" s="13">
        <v>56.1</v>
      </c>
      <c r="G140" s="13">
        <v>11.9</v>
      </c>
      <c r="H140" s="14">
        <v>1864.5</v>
      </c>
      <c r="I140" s="12" t="s">
        <v>250</v>
      </c>
      <c r="J140" s="14">
        <v>1780</v>
      </c>
      <c r="K140" s="15">
        <v>4</v>
      </c>
      <c r="L140" s="16">
        <v>425</v>
      </c>
      <c r="M140" s="16">
        <v>723</v>
      </c>
      <c r="N140" s="17">
        <v>17</v>
      </c>
      <c r="O140" s="17">
        <v>28</v>
      </c>
      <c r="P140" s="17">
        <v>17</v>
      </c>
      <c r="Q140" s="17">
        <v>23.8</v>
      </c>
      <c r="R140" s="17">
        <v>17.05</v>
      </c>
      <c r="S140" s="17">
        <v>23.75</v>
      </c>
      <c r="T140" s="16">
        <f t="shared" si="10"/>
        <v>7246.25</v>
      </c>
      <c r="U140" s="18">
        <v>2604.25</v>
      </c>
      <c r="V140" s="19">
        <f t="shared" si="11"/>
        <v>0.35939278937381403</v>
      </c>
      <c r="W140" s="19">
        <f t="shared" si="12"/>
        <v>0.39296187683284445</v>
      </c>
      <c r="X140" s="19">
        <f t="shared" si="13"/>
        <v>0.64222873900293242</v>
      </c>
      <c r="Y140" s="12" t="s">
        <v>261</v>
      </c>
      <c r="Z140" s="12" t="s">
        <v>70</v>
      </c>
      <c r="AA140" s="18">
        <v>-4282.66</v>
      </c>
      <c r="AB140" s="17">
        <v>2.9449999999999998</v>
      </c>
      <c r="AC140" s="12" t="s">
        <v>71</v>
      </c>
      <c r="AD140" s="12" t="str">
        <f t="shared" si="14"/>
        <v>Rs 2+</v>
      </c>
      <c r="AE140" s="20">
        <v>1</v>
      </c>
    </row>
    <row r="141" spans="1:31" x14ac:dyDescent="0.3">
      <c r="A141" s="12" t="s">
        <v>219</v>
      </c>
      <c r="B141" s="12" t="s">
        <v>261</v>
      </c>
      <c r="C141" s="12" t="s">
        <v>259</v>
      </c>
      <c r="D141" s="12" t="s">
        <v>68</v>
      </c>
      <c r="E141" s="13">
        <v>13.8</v>
      </c>
      <c r="F141" s="13">
        <v>22.7</v>
      </c>
      <c r="G141" s="13">
        <v>10.1</v>
      </c>
      <c r="H141" s="14">
        <v>8178.5</v>
      </c>
      <c r="I141" s="12" t="s">
        <v>250</v>
      </c>
      <c r="J141" s="14">
        <v>8000</v>
      </c>
      <c r="K141" s="15">
        <v>2</v>
      </c>
      <c r="L141" s="16">
        <v>75</v>
      </c>
      <c r="M141" s="16">
        <v>12117</v>
      </c>
      <c r="N141" s="17">
        <v>105.35</v>
      </c>
      <c r="O141" s="17">
        <v>227.85</v>
      </c>
      <c r="P141" s="17">
        <v>63</v>
      </c>
      <c r="Q141" s="17">
        <v>68.849999999999994</v>
      </c>
      <c r="R141" s="17">
        <v>105.4</v>
      </c>
      <c r="S141" s="17">
        <v>68.8</v>
      </c>
      <c r="T141" s="16">
        <f t="shared" si="10"/>
        <v>7905</v>
      </c>
      <c r="U141" s="18">
        <v>-2936.33</v>
      </c>
      <c r="V141" s="19">
        <f t="shared" si="11"/>
        <v>-0.37145224541429472</v>
      </c>
      <c r="W141" s="19">
        <f t="shared" si="12"/>
        <v>-0.34724857685009491</v>
      </c>
      <c r="X141" s="19">
        <f t="shared" si="13"/>
        <v>1.1617647058823528</v>
      </c>
      <c r="Y141" s="12" t="s">
        <v>261</v>
      </c>
      <c r="Z141" s="12" t="s">
        <v>70</v>
      </c>
      <c r="AA141" s="18">
        <v>-2936.33</v>
      </c>
      <c r="AB141" s="17">
        <v>-1.97</v>
      </c>
      <c r="AC141" s="12" t="s">
        <v>71</v>
      </c>
      <c r="AD141" s="12" t="str">
        <f t="shared" si="14"/>
        <v>Rs 2+</v>
      </c>
      <c r="AE141" s="20">
        <v>1</v>
      </c>
    </row>
    <row r="142" spans="1:31" x14ac:dyDescent="0.3">
      <c r="A142" s="12" t="s">
        <v>262</v>
      </c>
      <c r="B142" s="12" t="s">
        <v>261</v>
      </c>
      <c r="C142" s="12" t="s">
        <v>259</v>
      </c>
      <c r="D142" s="12" t="s">
        <v>77</v>
      </c>
      <c r="E142" s="13">
        <v>-28.4</v>
      </c>
      <c r="F142" s="13">
        <v>-37.700000000000003</v>
      </c>
      <c r="G142" s="13">
        <v>4.0999999999999996</v>
      </c>
      <c r="H142" s="14">
        <v>1770.9</v>
      </c>
      <c r="I142" s="12" t="s">
        <v>250</v>
      </c>
      <c r="J142" s="14">
        <v>1860</v>
      </c>
      <c r="K142" s="15">
        <v>4</v>
      </c>
      <c r="L142" s="16">
        <v>325</v>
      </c>
      <c r="M142" s="16">
        <v>381</v>
      </c>
      <c r="N142" s="17">
        <v>20.350000000000001</v>
      </c>
      <c r="O142" s="17">
        <v>46.65</v>
      </c>
      <c r="P142" s="17">
        <v>16.5</v>
      </c>
      <c r="Q142" s="17">
        <v>41.05</v>
      </c>
      <c r="R142" s="17">
        <v>20.399999999999999</v>
      </c>
      <c r="S142" s="17">
        <v>41</v>
      </c>
      <c r="T142" s="16">
        <f t="shared" si="10"/>
        <v>6629.9999999999991</v>
      </c>
      <c r="U142" s="18">
        <v>6220.12</v>
      </c>
      <c r="V142" s="19">
        <f t="shared" si="11"/>
        <v>0.93817797888386134</v>
      </c>
      <c r="W142" s="19">
        <f t="shared" si="12"/>
        <v>1.0098039215686274</v>
      </c>
      <c r="X142" s="19">
        <f t="shared" si="13"/>
        <v>1.2867647058823528</v>
      </c>
      <c r="Y142" s="12" t="s">
        <v>254</v>
      </c>
      <c r="Z142" s="12" t="s">
        <v>84</v>
      </c>
      <c r="AA142" s="18">
        <v>848.01</v>
      </c>
      <c r="AB142" s="17">
        <v>5.319</v>
      </c>
      <c r="AC142" s="12" t="s">
        <v>71</v>
      </c>
      <c r="AD142" s="12" t="str">
        <f t="shared" si="14"/>
        <v>Rs 2+</v>
      </c>
      <c r="AE142" s="20">
        <v>1</v>
      </c>
    </row>
    <row r="143" spans="1:31" x14ac:dyDescent="0.3">
      <c r="A143" s="12" t="s">
        <v>263</v>
      </c>
      <c r="B143" s="12" t="s">
        <v>261</v>
      </c>
      <c r="C143" s="12" t="s">
        <v>259</v>
      </c>
      <c r="D143" s="12" t="s">
        <v>68</v>
      </c>
      <c r="E143" s="13">
        <v>53.3</v>
      </c>
      <c r="F143" s="13">
        <v>41.9</v>
      </c>
      <c r="G143" s="13">
        <v>16.600000000000001</v>
      </c>
      <c r="H143" s="14">
        <v>858.15</v>
      </c>
      <c r="I143" s="12" t="s">
        <v>250</v>
      </c>
      <c r="J143" s="14">
        <v>830</v>
      </c>
      <c r="K143" s="15">
        <v>3</v>
      </c>
      <c r="L143" s="16">
        <v>775</v>
      </c>
      <c r="M143" s="16">
        <v>332</v>
      </c>
      <c r="N143" s="17">
        <v>7.9</v>
      </c>
      <c r="O143" s="17">
        <v>8.1999999999999993</v>
      </c>
      <c r="P143" s="17">
        <v>4.8</v>
      </c>
      <c r="Q143" s="17">
        <v>6.15</v>
      </c>
      <c r="R143" s="17">
        <v>7.95</v>
      </c>
      <c r="S143" s="17">
        <v>6.1</v>
      </c>
      <c r="T143" s="16">
        <f t="shared" si="10"/>
        <v>6161.25</v>
      </c>
      <c r="U143" s="18">
        <v>-1710.58</v>
      </c>
      <c r="V143" s="19">
        <f t="shared" si="11"/>
        <v>-0.27763522012578618</v>
      </c>
      <c r="W143" s="19">
        <f t="shared" si="12"/>
        <v>-0.23270440251572333</v>
      </c>
      <c r="X143" s="19">
        <f t="shared" si="13"/>
        <v>3.1446540880503138E-2</v>
      </c>
      <c r="Y143" s="12" t="s">
        <v>261</v>
      </c>
      <c r="Z143" s="12" t="s">
        <v>70</v>
      </c>
      <c r="AA143" s="18">
        <v>-1710.58</v>
      </c>
      <c r="AB143" s="17">
        <v>0.113</v>
      </c>
      <c r="AC143" s="12" t="s">
        <v>71</v>
      </c>
      <c r="AD143" s="12" t="str">
        <f t="shared" si="14"/>
        <v>Rs 2+</v>
      </c>
      <c r="AE143" s="20">
        <v>1</v>
      </c>
    </row>
    <row r="144" spans="1:31" x14ac:dyDescent="0.3">
      <c r="A144" s="12" t="s">
        <v>264</v>
      </c>
      <c r="B144" s="12" t="s">
        <v>261</v>
      </c>
      <c r="C144" s="12" t="s">
        <v>259</v>
      </c>
      <c r="D144" s="12" t="s">
        <v>68</v>
      </c>
      <c r="E144" s="13">
        <v>18.7</v>
      </c>
      <c r="F144" s="13">
        <v>58.6</v>
      </c>
      <c r="G144" s="13">
        <v>10.5</v>
      </c>
      <c r="H144" s="14">
        <v>3041.8</v>
      </c>
      <c r="I144" s="12" t="s">
        <v>250</v>
      </c>
      <c r="J144" s="14">
        <v>2960</v>
      </c>
      <c r="K144" s="15">
        <v>4</v>
      </c>
      <c r="L144" s="16">
        <v>250</v>
      </c>
      <c r="M144" s="16">
        <v>439</v>
      </c>
      <c r="N144" s="17">
        <v>30</v>
      </c>
      <c r="O144" s="17">
        <v>30.25</v>
      </c>
      <c r="P144" s="17">
        <v>11.8</v>
      </c>
      <c r="Q144" s="17">
        <v>21.85</v>
      </c>
      <c r="R144" s="17">
        <v>30.05</v>
      </c>
      <c r="S144" s="17">
        <v>21.8</v>
      </c>
      <c r="T144" s="16">
        <f t="shared" si="10"/>
        <v>7512.5</v>
      </c>
      <c r="U144" s="18">
        <v>-2253.1999999999998</v>
      </c>
      <c r="V144" s="19">
        <f t="shared" si="11"/>
        <v>-0.29992678868552408</v>
      </c>
      <c r="W144" s="19">
        <f t="shared" si="12"/>
        <v>-0.27454242928452577</v>
      </c>
      <c r="X144" s="19">
        <f t="shared" si="13"/>
        <v>6.6555740432612254E-3</v>
      </c>
      <c r="Y144" s="12" t="s">
        <v>261</v>
      </c>
      <c r="Z144" s="12" t="s">
        <v>70</v>
      </c>
      <c r="AA144" s="18">
        <v>-2253.1999999999998</v>
      </c>
      <c r="AB144" s="17">
        <v>0.20300000000000001</v>
      </c>
      <c r="AC144" s="12" t="s">
        <v>71</v>
      </c>
      <c r="AD144" s="12" t="str">
        <f t="shared" si="14"/>
        <v>Rs 2+</v>
      </c>
      <c r="AE144" s="20">
        <v>1</v>
      </c>
    </row>
    <row r="145" spans="1:31" x14ac:dyDescent="0.3">
      <c r="A145" s="12" t="s">
        <v>265</v>
      </c>
      <c r="B145" s="12" t="s">
        <v>254</v>
      </c>
      <c r="C145" s="12" t="s">
        <v>261</v>
      </c>
      <c r="D145" s="12" t="s">
        <v>77</v>
      </c>
      <c r="E145" s="13">
        <v>-89.6</v>
      </c>
      <c r="F145" s="13">
        <v>-80.599999999999994</v>
      </c>
      <c r="G145" s="13">
        <v>14.8</v>
      </c>
      <c r="H145" s="14">
        <v>364.2</v>
      </c>
      <c r="I145" s="12" t="s">
        <v>250</v>
      </c>
      <c r="J145" s="14">
        <v>380</v>
      </c>
      <c r="K145" s="15">
        <v>3</v>
      </c>
      <c r="L145" s="16">
        <v>2500</v>
      </c>
      <c r="M145" s="16">
        <v>2499</v>
      </c>
      <c r="N145" s="17">
        <v>2.0499999999999998</v>
      </c>
      <c r="O145" s="17">
        <v>5.75</v>
      </c>
      <c r="P145" s="17">
        <v>1.6</v>
      </c>
      <c r="Q145" s="17">
        <v>1.7</v>
      </c>
      <c r="R145" s="17">
        <v>2.1</v>
      </c>
      <c r="S145" s="17">
        <v>1.65</v>
      </c>
      <c r="T145" s="16">
        <f t="shared" si="10"/>
        <v>5250</v>
      </c>
      <c r="U145" s="18">
        <v>-1370</v>
      </c>
      <c r="V145" s="19">
        <f t="shared" si="11"/>
        <v>-0.26095238095238094</v>
      </c>
      <c r="W145" s="19">
        <f t="shared" si="12"/>
        <v>-0.21428571428571441</v>
      </c>
      <c r="X145" s="19">
        <f t="shared" si="13"/>
        <v>1.7380952380952381</v>
      </c>
      <c r="Y145" s="12" t="s">
        <v>266</v>
      </c>
      <c r="Z145" s="12" t="s">
        <v>70</v>
      </c>
      <c r="AA145" s="18">
        <v>-2348.08</v>
      </c>
      <c r="AB145" s="17">
        <v>-4.3460000000000001</v>
      </c>
      <c r="AC145" s="12" t="s">
        <v>71</v>
      </c>
      <c r="AD145" s="12" t="str">
        <f t="shared" si="14"/>
        <v>Rs 2+</v>
      </c>
      <c r="AE145" s="20">
        <v>1</v>
      </c>
    </row>
    <row r="146" spans="1:31" x14ac:dyDescent="0.3">
      <c r="A146" s="12" t="s">
        <v>267</v>
      </c>
      <c r="B146" s="12" t="s">
        <v>254</v>
      </c>
      <c r="C146" s="12" t="s">
        <v>261</v>
      </c>
      <c r="D146" s="12" t="s">
        <v>68</v>
      </c>
      <c r="E146" s="13">
        <v>103.6</v>
      </c>
      <c r="F146" s="13">
        <v>9</v>
      </c>
      <c r="G146" s="13">
        <v>57.7</v>
      </c>
      <c r="H146" s="14">
        <v>2442.1999999999998</v>
      </c>
      <c r="I146" s="12" t="s">
        <v>250</v>
      </c>
      <c r="J146" s="14">
        <v>2200</v>
      </c>
      <c r="K146" s="15">
        <v>5</v>
      </c>
      <c r="L146" s="16">
        <v>375</v>
      </c>
      <c r="M146" s="16">
        <v>5885</v>
      </c>
      <c r="N146" s="17">
        <v>19.45</v>
      </c>
      <c r="O146" s="17">
        <v>40</v>
      </c>
      <c r="P146" s="17">
        <v>17.850000000000001</v>
      </c>
      <c r="Q146" s="17">
        <v>37.35</v>
      </c>
      <c r="R146" s="17">
        <v>19.5</v>
      </c>
      <c r="S146" s="17">
        <v>37.299999999999997</v>
      </c>
      <c r="T146" s="16">
        <f t="shared" si="10"/>
        <v>7312.5</v>
      </c>
      <c r="U146" s="18">
        <v>6171.64</v>
      </c>
      <c r="V146" s="19">
        <f t="shared" si="11"/>
        <v>0.84398495726495726</v>
      </c>
      <c r="W146" s="19">
        <f t="shared" si="12"/>
        <v>0.91282051282051269</v>
      </c>
      <c r="X146" s="19">
        <f t="shared" si="13"/>
        <v>1.0512820512820511</v>
      </c>
      <c r="Y146" s="12" t="s">
        <v>266</v>
      </c>
      <c r="Z146" s="12" t="s">
        <v>84</v>
      </c>
      <c r="AA146" s="18">
        <v>2522.19</v>
      </c>
      <c r="AB146" s="17">
        <v>4.2839999999999998</v>
      </c>
      <c r="AC146" s="12" t="s">
        <v>71</v>
      </c>
      <c r="AD146" s="12" t="str">
        <f t="shared" si="14"/>
        <v>Rs 2+</v>
      </c>
      <c r="AE146" s="20">
        <v>1</v>
      </c>
    </row>
    <row r="147" spans="1:31" x14ac:dyDescent="0.3">
      <c r="A147" s="12" t="s">
        <v>132</v>
      </c>
      <c r="B147" s="12" t="s">
        <v>254</v>
      </c>
      <c r="C147" s="12" t="s">
        <v>261</v>
      </c>
      <c r="D147" s="12" t="s">
        <v>68</v>
      </c>
      <c r="E147" s="13">
        <v>48.7</v>
      </c>
      <c r="F147" s="13">
        <v>40.799999999999997</v>
      </c>
      <c r="G147" s="13">
        <v>31.3</v>
      </c>
      <c r="H147" s="14">
        <v>590.95000000000005</v>
      </c>
      <c r="I147" s="12" t="s">
        <v>250</v>
      </c>
      <c r="J147" s="14">
        <v>560</v>
      </c>
      <c r="K147" s="15">
        <v>3</v>
      </c>
      <c r="L147" s="16">
        <v>1175</v>
      </c>
      <c r="M147" s="16">
        <v>4283</v>
      </c>
      <c r="N147" s="17">
        <v>1.2</v>
      </c>
      <c r="O147" s="17">
        <v>50.2</v>
      </c>
      <c r="P147" s="17">
        <v>1.2</v>
      </c>
      <c r="Q147" s="17">
        <v>43.15</v>
      </c>
      <c r="R147" s="17">
        <v>1.25</v>
      </c>
      <c r="S147" s="17">
        <v>43.1</v>
      </c>
      <c r="T147" s="16">
        <f t="shared" si="10"/>
        <v>1468.75</v>
      </c>
      <c r="U147" s="18">
        <v>47986.43</v>
      </c>
      <c r="V147" s="19">
        <f t="shared" si="11"/>
        <v>32.671611914893617</v>
      </c>
      <c r="W147" s="19">
        <f t="shared" si="12"/>
        <v>33.480000000000004</v>
      </c>
      <c r="X147" s="19">
        <f t="shared" si="13"/>
        <v>39.160000000000004</v>
      </c>
      <c r="Y147" s="12" t="s">
        <v>266</v>
      </c>
      <c r="Z147" s="12" t="s">
        <v>84</v>
      </c>
      <c r="AA147" s="18">
        <v>34827.58</v>
      </c>
      <c r="AB147" s="17">
        <v>14.13</v>
      </c>
      <c r="AC147" s="12" t="s">
        <v>102</v>
      </c>
      <c r="AD147" s="12" t="str">
        <f t="shared" si="14"/>
        <v>Rs 1-2</v>
      </c>
      <c r="AE147" s="20">
        <v>1</v>
      </c>
    </row>
    <row r="148" spans="1:31" x14ac:dyDescent="0.3">
      <c r="A148" s="12" t="s">
        <v>150</v>
      </c>
      <c r="B148" s="12" t="s">
        <v>254</v>
      </c>
      <c r="C148" s="12" t="s">
        <v>261</v>
      </c>
      <c r="D148" s="12" t="s">
        <v>68</v>
      </c>
      <c r="E148" s="13">
        <v>21.5</v>
      </c>
      <c r="F148" s="13">
        <v>22.4</v>
      </c>
      <c r="G148" s="13">
        <v>3.1</v>
      </c>
      <c r="H148" s="14">
        <v>45760</v>
      </c>
      <c r="I148" s="12" t="s">
        <v>250</v>
      </c>
      <c r="J148" s="14">
        <v>43000</v>
      </c>
      <c r="K148" s="15">
        <v>6</v>
      </c>
      <c r="L148" s="16">
        <v>15</v>
      </c>
      <c r="M148" s="16">
        <v>1690</v>
      </c>
      <c r="N148" s="17">
        <v>369.95</v>
      </c>
      <c r="O148" s="17">
        <v>850</v>
      </c>
      <c r="P148" s="17">
        <v>297.7</v>
      </c>
      <c r="Q148" s="17">
        <v>443.35</v>
      </c>
      <c r="R148" s="17">
        <v>370</v>
      </c>
      <c r="S148" s="17">
        <v>443.3</v>
      </c>
      <c r="T148" s="16">
        <f t="shared" si="10"/>
        <v>5550</v>
      </c>
      <c r="U148" s="18">
        <v>793.03</v>
      </c>
      <c r="V148" s="19">
        <f t="shared" si="11"/>
        <v>0.14288828828828828</v>
      </c>
      <c r="W148" s="19">
        <f t="shared" si="12"/>
        <v>0.19810810810810819</v>
      </c>
      <c r="X148" s="19">
        <f t="shared" si="13"/>
        <v>1.2972972972972974</v>
      </c>
      <c r="Y148" s="12" t="s">
        <v>266</v>
      </c>
      <c r="Z148" s="12" t="s">
        <v>84</v>
      </c>
      <c r="AA148" s="18">
        <v>-991.72</v>
      </c>
      <c r="AB148" s="17">
        <v>1.385</v>
      </c>
      <c r="AC148" s="12" t="s">
        <v>71</v>
      </c>
      <c r="AD148" s="12" t="str">
        <f t="shared" si="14"/>
        <v>Rs 2+</v>
      </c>
      <c r="AE148" s="20">
        <v>1</v>
      </c>
    </row>
    <row r="149" spans="1:31" x14ac:dyDescent="0.3">
      <c r="A149" s="12" t="s">
        <v>268</v>
      </c>
      <c r="B149" s="12" t="s">
        <v>254</v>
      </c>
      <c r="C149" s="12" t="s">
        <v>261</v>
      </c>
      <c r="D149" s="12" t="s">
        <v>68</v>
      </c>
      <c r="E149" s="13">
        <v>52.4</v>
      </c>
      <c r="F149" s="13">
        <v>25.3</v>
      </c>
      <c r="G149" s="13">
        <v>24.6</v>
      </c>
      <c r="H149" s="14">
        <v>3415.7</v>
      </c>
      <c r="I149" s="12" t="s">
        <v>250</v>
      </c>
      <c r="J149" s="14">
        <v>3350</v>
      </c>
      <c r="K149" s="15">
        <v>1</v>
      </c>
      <c r="L149" s="16">
        <v>175</v>
      </c>
      <c r="M149" s="16">
        <v>5241</v>
      </c>
      <c r="N149" s="17">
        <v>34.4</v>
      </c>
      <c r="O149" s="17">
        <v>46.95</v>
      </c>
      <c r="P149" s="17">
        <v>15.75</v>
      </c>
      <c r="Q149" s="17">
        <v>19.25</v>
      </c>
      <c r="R149" s="17">
        <v>34.450000000000003</v>
      </c>
      <c r="S149" s="17">
        <v>19.2</v>
      </c>
      <c r="T149" s="16">
        <f t="shared" si="10"/>
        <v>6028.7500000000009</v>
      </c>
      <c r="U149" s="18">
        <v>-2819.01</v>
      </c>
      <c r="V149" s="19">
        <f t="shared" si="11"/>
        <v>-0.46759444329255645</v>
      </c>
      <c r="W149" s="19">
        <f t="shared" si="12"/>
        <v>-0.44267053701015968</v>
      </c>
      <c r="X149" s="19">
        <f t="shared" si="13"/>
        <v>0.36284470246734402</v>
      </c>
      <c r="Y149" s="12" t="s">
        <v>254</v>
      </c>
      <c r="Z149" s="12" t="s">
        <v>70</v>
      </c>
      <c r="AA149" s="18">
        <v>-2819.01</v>
      </c>
      <c r="AB149" s="17">
        <v>-0.29299999999999998</v>
      </c>
      <c r="AC149" s="12" t="s">
        <v>71</v>
      </c>
      <c r="AD149" s="12" t="str">
        <f t="shared" si="14"/>
        <v>Rs 2+</v>
      </c>
      <c r="AE149" s="20">
        <v>1</v>
      </c>
    </row>
    <row r="150" spans="1:31" x14ac:dyDescent="0.3">
      <c r="A150" s="12" t="s">
        <v>269</v>
      </c>
      <c r="B150" s="12" t="s">
        <v>266</v>
      </c>
      <c r="C150" s="12" t="s">
        <v>254</v>
      </c>
      <c r="D150" s="12" t="s">
        <v>77</v>
      </c>
      <c r="E150" s="13">
        <v>-20</v>
      </c>
      <c r="F150" s="13">
        <v>-53.9</v>
      </c>
      <c r="G150" s="13">
        <v>13.9</v>
      </c>
      <c r="H150" s="14">
        <v>588.79999999999995</v>
      </c>
      <c r="I150" s="12" t="s">
        <v>250</v>
      </c>
      <c r="J150" s="14">
        <v>600</v>
      </c>
      <c r="K150" s="15">
        <v>1</v>
      </c>
      <c r="L150" s="16">
        <v>700</v>
      </c>
      <c r="M150" s="16">
        <v>18747</v>
      </c>
      <c r="N150" s="17">
        <v>10.4</v>
      </c>
      <c r="O150" s="17">
        <v>16</v>
      </c>
      <c r="P150" s="17">
        <v>3.3</v>
      </c>
      <c r="Q150" s="17">
        <v>4.1500000000000004</v>
      </c>
      <c r="R150" s="17">
        <v>10.45</v>
      </c>
      <c r="S150" s="17">
        <v>4.0999999999999996</v>
      </c>
      <c r="T150" s="16">
        <f t="shared" si="10"/>
        <v>7314.9999999999991</v>
      </c>
      <c r="U150" s="18">
        <v>-4806.55</v>
      </c>
      <c r="V150" s="19">
        <f t="shared" si="11"/>
        <v>-0.65708133971291882</v>
      </c>
      <c r="W150" s="19">
        <f t="shared" si="12"/>
        <v>-0.60765550239234445</v>
      </c>
      <c r="X150" s="19">
        <f t="shared" si="13"/>
        <v>0.53110047846889952</v>
      </c>
      <c r="Y150" s="12" t="s">
        <v>266</v>
      </c>
      <c r="Z150" s="12" t="s">
        <v>70</v>
      </c>
      <c r="AA150" s="18">
        <v>-4806.55</v>
      </c>
      <c r="AB150" s="17">
        <v>-9.5380000000000003</v>
      </c>
      <c r="AC150" s="12" t="s">
        <v>71</v>
      </c>
      <c r="AD150" s="12" t="str">
        <f t="shared" si="14"/>
        <v>Rs 2+</v>
      </c>
      <c r="AE150" s="20">
        <v>1</v>
      </c>
    </row>
    <row r="151" spans="1:31" x14ac:dyDescent="0.3">
      <c r="A151" s="12" t="s">
        <v>270</v>
      </c>
      <c r="B151" s="12" t="s">
        <v>266</v>
      </c>
      <c r="C151" s="12" t="s">
        <v>254</v>
      </c>
      <c r="D151" s="12" t="s">
        <v>77</v>
      </c>
      <c r="E151" s="13">
        <v>-26.8</v>
      </c>
      <c r="F151" s="13">
        <v>-27.3</v>
      </c>
      <c r="G151" s="13">
        <v>-16.5</v>
      </c>
      <c r="H151" s="14">
        <v>3031.7</v>
      </c>
      <c r="I151" s="12" t="s">
        <v>250</v>
      </c>
      <c r="J151" s="14">
        <v>3100</v>
      </c>
      <c r="K151" s="15">
        <v>1</v>
      </c>
      <c r="L151" s="16">
        <v>125</v>
      </c>
      <c r="M151" s="16">
        <v>21214</v>
      </c>
      <c r="N151" s="17">
        <v>60</v>
      </c>
      <c r="O151" s="17">
        <v>106</v>
      </c>
      <c r="P151" s="17">
        <v>26</v>
      </c>
      <c r="Q151" s="17">
        <v>86.3</v>
      </c>
      <c r="R151" s="17">
        <v>60.05</v>
      </c>
      <c r="S151" s="17">
        <v>86.25</v>
      </c>
      <c r="T151" s="16">
        <f t="shared" si="10"/>
        <v>7506.25</v>
      </c>
      <c r="U151" s="18">
        <v>3020.84</v>
      </c>
      <c r="V151" s="19">
        <f t="shared" si="11"/>
        <v>0.40244329725228978</v>
      </c>
      <c r="W151" s="19">
        <f t="shared" si="12"/>
        <v>0.43630308076602842</v>
      </c>
      <c r="X151" s="19">
        <f t="shared" si="13"/>
        <v>0.76519567027477109</v>
      </c>
      <c r="Y151" s="12" t="s">
        <v>271</v>
      </c>
      <c r="Z151" s="12" t="s">
        <v>84</v>
      </c>
      <c r="AA151" s="18">
        <v>2156.2600000000002</v>
      </c>
      <c r="AB151" s="17">
        <v>3.1389999999999998</v>
      </c>
      <c r="AC151" s="12" t="s">
        <v>71</v>
      </c>
      <c r="AD151" s="12" t="str">
        <f t="shared" si="14"/>
        <v>Rs 2+</v>
      </c>
      <c r="AE151" s="20">
        <v>1</v>
      </c>
    </row>
    <row r="152" spans="1:31" x14ac:dyDescent="0.3">
      <c r="A152" s="12" t="s">
        <v>272</v>
      </c>
      <c r="B152" s="12" t="s">
        <v>266</v>
      </c>
      <c r="C152" s="12" t="s">
        <v>254</v>
      </c>
      <c r="D152" s="12" t="s">
        <v>77</v>
      </c>
      <c r="E152" s="13">
        <v>-58</v>
      </c>
      <c r="F152" s="13">
        <v>-40.299999999999997</v>
      </c>
      <c r="G152" s="13">
        <v>-20</v>
      </c>
      <c r="H152" s="14">
        <v>1304.9000000000001</v>
      </c>
      <c r="I152" s="12" t="s">
        <v>250</v>
      </c>
      <c r="J152" s="14">
        <v>1300</v>
      </c>
      <c r="K152" s="15">
        <v>0</v>
      </c>
      <c r="L152" s="16">
        <v>375</v>
      </c>
      <c r="M152" s="16">
        <v>11716</v>
      </c>
      <c r="N152" s="17">
        <v>10.65</v>
      </c>
      <c r="O152" s="17">
        <v>14</v>
      </c>
      <c r="P152" s="17">
        <v>6.25</v>
      </c>
      <c r="Q152" s="17">
        <v>8</v>
      </c>
      <c r="R152" s="17">
        <v>10.7</v>
      </c>
      <c r="S152" s="17">
        <v>7.95</v>
      </c>
      <c r="T152" s="16">
        <f t="shared" si="10"/>
        <v>4012.4999999999995</v>
      </c>
      <c r="U152" s="18">
        <v>-1225.8499999999999</v>
      </c>
      <c r="V152" s="19">
        <f t="shared" si="11"/>
        <v>-0.30550778816199375</v>
      </c>
      <c r="W152" s="19">
        <f t="shared" si="12"/>
        <v>-0.2570093457943925</v>
      </c>
      <c r="X152" s="19">
        <f t="shared" si="13"/>
        <v>0.30841121495327117</v>
      </c>
      <c r="Y152" s="12" t="s">
        <v>266</v>
      </c>
      <c r="Z152" s="12" t="s">
        <v>70</v>
      </c>
      <c r="AA152" s="18">
        <v>-1225.8499999999999</v>
      </c>
      <c r="AB152" s="17">
        <v>3.68</v>
      </c>
      <c r="AC152" s="12" t="s">
        <v>71</v>
      </c>
      <c r="AD152" s="12" t="str">
        <f t="shared" si="14"/>
        <v>Rs 2+</v>
      </c>
      <c r="AE152" s="20">
        <v>1</v>
      </c>
    </row>
    <row r="153" spans="1:31" x14ac:dyDescent="0.3">
      <c r="A153" s="12" t="s">
        <v>273</v>
      </c>
      <c r="B153" s="12" t="s">
        <v>274</v>
      </c>
      <c r="C153" s="12" t="s">
        <v>266</v>
      </c>
      <c r="D153" s="12" t="s">
        <v>77</v>
      </c>
      <c r="E153" s="13">
        <v>-33.700000000000003</v>
      </c>
      <c r="F153" s="13">
        <v>-55.5</v>
      </c>
      <c r="G153" s="13">
        <v>-1.6</v>
      </c>
      <c r="H153" s="14">
        <v>1381.6</v>
      </c>
      <c r="I153" s="12" t="s">
        <v>250</v>
      </c>
      <c r="J153" s="14">
        <v>1380</v>
      </c>
      <c r="K153" s="15">
        <v>0</v>
      </c>
      <c r="L153" s="16">
        <v>425</v>
      </c>
      <c r="M153" s="16">
        <v>5779</v>
      </c>
      <c r="N153" s="17">
        <v>8</v>
      </c>
      <c r="O153" s="17">
        <v>26.45</v>
      </c>
      <c r="P153" s="17">
        <v>4.4000000000000004</v>
      </c>
      <c r="Q153" s="17">
        <v>4.8499999999999996</v>
      </c>
      <c r="R153" s="17">
        <v>8.0500000000000007</v>
      </c>
      <c r="S153" s="17">
        <v>4.8</v>
      </c>
      <c r="T153" s="16">
        <f t="shared" si="10"/>
        <v>3421.2500000000005</v>
      </c>
      <c r="U153" s="18">
        <v>-1543.13</v>
      </c>
      <c r="V153" s="19">
        <f t="shared" si="11"/>
        <v>-0.45104274753379608</v>
      </c>
      <c r="W153" s="19">
        <f t="shared" si="12"/>
        <v>-0.40372670807453426</v>
      </c>
      <c r="X153" s="19">
        <f t="shared" si="13"/>
        <v>2.2857142857142851</v>
      </c>
      <c r="Y153" s="12" t="s">
        <v>274</v>
      </c>
      <c r="Z153" s="12" t="s">
        <v>70</v>
      </c>
      <c r="AA153" s="18">
        <v>-1543.13</v>
      </c>
      <c r="AB153" s="17">
        <v>-3.1139999999999999</v>
      </c>
      <c r="AC153" s="12" t="s">
        <v>71</v>
      </c>
      <c r="AD153" s="12" t="str">
        <f t="shared" si="14"/>
        <v>Rs 2+</v>
      </c>
      <c r="AE153" s="20">
        <v>1</v>
      </c>
    </row>
    <row r="154" spans="1:31" x14ac:dyDescent="0.3">
      <c r="A154" s="12" t="s">
        <v>275</v>
      </c>
      <c r="B154" s="12" t="s">
        <v>276</v>
      </c>
      <c r="C154" s="12" t="s">
        <v>274</v>
      </c>
      <c r="D154" s="12" t="s">
        <v>68</v>
      </c>
      <c r="E154" s="13">
        <v>21.4</v>
      </c>
      <c r="F154" s="13">
        <v>107.2</v>
      </c>
      <c r="G154" s="13">
        <v>11.2</v>
      </c>
      <c r="H154" s="14">
        <v>5149</v>
      </c>
      <c r="I154" s="12" t="s">
        <v>250</v>
      </c>
      <c r="J154" s="14">
        <v>5150</v>
      </c>
      <c r="K154" s="15">
        <v>0</v>
      </c>
      <c r="L154" s="16">
        <v>125</v>
      </c>
      <c r="M154" s="16">
        <v>834</v>
      </c>
      <c r="N154" s="17">
        <v>59.55</v>
      </c>
      <c r="O154" s="17">
        <v>75</v>
      </c>
      <c r="P154" s="17">
        <v>25</v>
      </c>
      <c r="Q154" s="17">
        <v>29.9</v>
      </c>
      <c r="R154" s="17">
        <v>59.6</v>
      </c>
      <c r="S154" s="17">
        <v>29.85</v>
      </c>
      <c r="T154" s="16">
        <f t="shared" si="10"/>
        <v>7450</v>
      </c>
      <c r="U154" s="18">
        <v>-4000.11</v>
      </c>
      <c r="V154" s="19">
        <f t="shared" si="11"/>
        <v>-0.53692751677852346</v>
      </c>
      <c r="W154" s="19">
        <f t="shared" si="12"/>
        <v>-0.49916107382550334</v>
      </c>
      <c r="X154" s="19">
        <f t="shared" si="13"/>
        <v>0.25838926174496635</v>
      </c>
      <c r="Y154" s="12" t="s">
        <v>276</v>
      </c>
      <c r="Z154" s="12" t="s">
        <v>70</v>
      </c>
      <c r="AA154" s="18">
        <v>-4000.11</v>
      </c>
      <c r="AB154" s="17">
        <v>-2.8340000000000001</v>
      </c>
      <c r="AC154" s="12" t="s">
        <v>71</v>
      </c>
      <c r="AD154" s="12" t="str">
        <f t="shared" si="14"/>
        <v>Rs 2+</v>
      </c>
      <c r="AE154" s="20">
        <v>1</v>
      </c>
    </row>
    <row r="155" spans="1:31" x14ac:dyDescent="0.3">
      <c r="A155" s="12" t="s">
        <v>221</v>
      </c>
      <c r="B155" s="12" t="s">
        <v>276</v>
      </c>
      <c r="C155" s="12" t="s">
        <v>274</v>
      </c>
      <c r="D155" s="12" t="s">
        <v>68</v>
      </c>
      <c r="E155" s="13">
        <v>39.799999999999997</v>
      </c>
      <c r="F155" s="13">
        <v>6.4</v>
      </c>
      <c r="G155" s="13">
        <v>14.9</v>
      </c>
      <c r="H155" s="14">
        <v>7236.5</v>
      </c>
      <c r="I155" s="12" t="s">
        <v>250</v>
      </c>
      <c r="J155" s="14">
        <v>7150</v>
      </c>
      <c r="K155" s="15">
        <v>2</v>
      </c>
      <c r="L155" s="16">
        <v>125</v>
      </c>
      <c r="M155" s="16">
        <v>637</v>
      </c>
      <c r="N155" s="17">
        <v>21</v>
      </c>
      <c r="O155" s="17">
        <v>21</v>
      </c>
      <c r="P155" s="17">
        <v>10.4</v>
      </c>
      <c r="Q155" s="17">
        <v>12.25</v>
      </c>
      <c r="R155" s="17">
        <v>21.05</v>
      </c>
      <c r="S155" s="17">
        <v>12.2</v>
      </c>
      <c r="T155" s="16">
        <f t="shared" si="10"/>
        <v>2631.25</v>
      </c>
      <c r="U155" s="18">
        <v>-1199.1199999999999</v>
      </c>
      <c r="V155" s="19">
        <f t="shared" si="11"/>
        <v>-0.45572256532066502</v>
      </c>
      <c r="W155" s="19">
        <f t="shared" si="12"/>
        <v>-0.42042755344418059</v>
      </c>
      <c r="X155" s="19">
        <f t="shared" si="13"/>
        <v>-2.3752969121140222E-3</v>
      </c>
      <c r="Y155" s="12" t="s">
        <v>276</v>
      </c>
      <c r="Z155" s="12" t="s">
        <v>70</v>
      </c>
      <c r="AA155" s="18">
        <v>-1199.1199999999999</v>
      </c>
      <c r="AB155" s="17">
        <v>-5.4779999999999998</v>
      </c>
      <c r="AC155" s="12" t="s">
        <v>71</v>
      </c>
      <c r="AD155" s="12" t="str">
        <f t="shared" si="14"/>
        <v>Rs 2+</v>
      </c>
      <c r="AE155" s="20">
        <v>1</v>
      </c>
    </row>
    <row r="156" spans="1:31" x14ac:dyDescent="0.3">
      <c r="A156" s="12" t="s">
        <v>170</v>
      </c>
      <c r="B156" s="12" t="s">
        <v>276</v>
      </c>
      <c r="C156" s="12" t="s">
        <v>274</v>
      </c>
      <c r="D156" s="12" t="s">
        <v>68</v>
      </c>
      <c r="E156" s="13">
        <v>79.400000000000006</v>
      </c>
      <c r="F156" s="13">
        <v>28.5</v>
      </c>
      <c r="G156" s="13">
        <v>23.4</v>
      </c>
      <c r="H156" s="14">
        <v>204.65</v>
      </c>
      <c r="I156" s="12" t="s">
        <v>250</v>
      </c>
      <c r="J156" s="14">
        <v>205</v>
      </c>
      <c r="K156" s="15">
        <v>0</v>
      </c>
      <c r="L156" s="16">
        <v>3125</v>
      </c>
      <c r="M156" s="16">
        <v>2610</v>
      </c>
      <c r="N156" s="17">
        <v>2.2999999999999998</v>
      </c>
      <c r="O156" s="17">
        <v>3.7</v>
      </c>
      <c r="P156" s="17">
        <v>1.3</v>
      </c>
      <c r="Q156" s="17">
        <v>2.1</v>
      </c>
      <c r="R156" s="17">
        <v>2.35</v>
      </c>
      <c r="S156" s="17">
        <v>2.0499999999999998</v>
      </c>
      <c r="T156" s="16">
        <f t="shared" si="10"/>
        <v>7343.75</v>
      </c>
      <c r="U156" s="18">
        <v>-1275.32</v>
      </c>
      <c r="V156" s="19">
        <f t="shared" si="11"/>
        <v>-0.17366059574468085</v>
      </c>
      <c r="W156" s="19">
        <f t="shared" si="12"/>
        <v>-0.12765957446808518</v>
      </c>
      <c r="X156" s="19">
        <f t="shared" si="13"/>
        <v>0.57446808510638303</v>
      </c>
      <c r="Y156" s="12" t="s">
        <v>277</v>
      </c>
      <c r="Z156" s="12" t="s">
        <v>70</v>
      </c>
      <c r="AA156" s="18">
        <v>-3109.21</v>
      </c>
      <c r="AB156" s="17">
        <v>-1.9E-2</v>
      </c>
      <c r="AC156" s="12" t="s">
        <v>71</v>
      </c>
      <c r="AD156" s="12" t="str">
        <f t="shared" si="14"/>
        <v>Rs 2+</v>
      </c>
      <c r="AE156" s="20">
        <v>1</v>
      </c>
    </row>
    <row r="157" spans="1:31" x14ac:dyDescent="0.3">
      <c r="A157" s="12" t="s">
        <v>278</v>
      </c>
      <c r="B157" s="12" t="s">
        <v>276</v>
      </c>
      <c r="C157" s="12" t="s">
        <v>274</v>
      </c>
      <c r="D157" s="12" t="s">
        <v>77</v>
      </c>
      <c r="E157" s="13">
        <v>-40</v>
      </c>
      <c r="F157" s="13">
        <v>-70.7</v>
      </c>
      <c r="G157" s="13">
        <v>-4.0999999999999996</v>
      </c>
      <c r="H157" s="14">
        <v>329.4</v>
      </c>
      <c r="I157" s="12" t="s">
        <v>250</v>
      </c>
      <c r="J157" s="14">
        <v>350</v>
      </c>
      <c r="K157" s="15">
        <v>2</v>
      </c>
      <c r="L157" s="16">
        <v>1375</v>
      </c>
      <c r="M157" s="16">
        <v>3115</v>
      </c>
      <c r="N157" s="17">
        <v>3.75</v>
      </c>
      <c r="O157" s="17">
        <v>4.55</v>
      </c>
      <c r="P157" s="17">
        <v>1.75</v>
      </c>
      <c r="Q157" s="17">
        <v>2.5</v>
      </c>
      <c r="R157" s="17">
        <v>3.8</v>
      </c>
      <c r="S157" s="17">
        <v>2.4500000000000002</v>
      </c>
      <c r="T157" s="16">
        <f t="shared" si="10"/>
        <v>5225</v>
      </c>
      <c r="U157" s="18">
        <v>-2084.16</v>
      </c>
      <c r="V157" s="19">
        <f t="shared" si="11"/>
        <v>-0.39888229665071767</v>
      </c>
      <c r="W157" s="19">
        <f t="shared" si="12"/>
        <v>-0.35526315789473673</v>
      </c>
      <c r="X157" s="19">
        <f t="shared" si="13"/>
        <v>0.19736842105263164</v>
      </c>
      <c r="Y157" s="12" t="s">
        <v>276</v>
      </c>
      <c r="Z157" s="12" t="s">
        <v>70</v>
      </c>
      <c r="AA157" s="18">
        <v>-2084.16</v>
      </c>
      <c r="AB157" s="17">
        <v>0.97499999999999998</v>
      </c>
      <c r="AC157" s="12" t="s">
        <v>71</v>
      </c>
      <c r="AD157" s="12" t="str">
        <f t="shared" si="14"/>
        <v>Rs 2+</v>
      </c>
      <c r="AE157" s="20">
        <v>1</v>
      </c>
    </row>
    <row r="158" spans="1:31" x14ac:dyDescent="0.3">
      <c r="A158" s="12" t="s">
        <v>279</v>
      </c>
      <c r="B158" s="12" t="s">
        <v>277</v>
      </c>
      <c r="C158" s="12" t="s">
        <v>276</v>
      </c>
      <c r="D158" s="12" t="s">
        <v>68</v>
      </c>
      <c r="E158" s="13">
        <v>140.69999999999999</v>
      </c>
      <c r="F158" s="13">
        <v>55.7</v>
      </c>
      <c r="G158" s="13">
        <v>1.2</v>
      </c>
      <c r="H158" s="14">
        <v>322.5</v>
      </c>
      <c r="I158" s="12" t="s">
        <v>250</v>
      </c>
      <c r="J158" s="14">
        <v>320</v>
      </c>
      <c r="K158" s="15">
        <v>1</v>
      </c>
      <c r="L158" s="16">
        <v>1975</v>
      </c>
      <c r="M158" s="16">
        <v>5015</v>
      </c>
      <c r="N158" s="17">
        <v>3</v>
      </c>
      <c r="O158" s="17">
        <v>7.55</v>
      </c>
      <c r="P158" s="17">
        <v>2.7</v>
      </c>
      <c r="Q158" s="17">
        <v>7.15</v>
      </c>
      <c r="R158" s="17">
        <v>3.05</v>
      </c>
      <c r="S158" s="17">
        <v>7.1</v>
      </c>
      <c r="T158" s="16">
        <f t="shared" si="10"/>
        <v>6023.75</v>
      </c>
      <c r="U158" s="18">
        <v>7721.45</v>
      </c>
      <c r="V158" s="19">
        <f t="shared" si="11"/>
        <v>1.2818344054783151</v>
      </c>
      <c r="W158" s="19">
        <f t="shared" si="12"/>
        <v>1.3278688524590163</v>
      </c>
      <c r="X158" s="19">
        <f t="shared" si="13"/>
        <v>1.4754098360655741</v>
      </c>
      <c r="Y158" s="12" t="s">
        <v>280</v>
      </c>
      <c r="Z158" s="12" t="s">
        <v>84</v>
      </c>
      <c r="AA158" s="18">
        <v>1379.2</v>
      </c>
      <c r="AB158" s="17">
        <v>2.7370000000000001</v>
      </c>
      <c r="AC158" s="12" t="s">
        <v>71</v>
      </c>
      <c r="AD158" s="12" t="str">
        <f t="shared" si="14"/>
        <v>Rs 2+</v>
      </c>
      <c r="AE158" s="20">
        <v>1</v>
      </c>
    </row>
    <row r="159" spans="1:31" x14ac:dyDescent="0.3">
      <c r="A159" s="12" t="s">
        <v>177</v>
      </c>
      <c r="B159" s="12" t="s">
        <v>277</v>
      </c>
      <c r="C159" s="12" t="s">
        <v>276</v>
      </c>
      <c r="D159" s="12" t="s">
        <v>68</v>
      </c>
      <c r="E159" s="13">
        <v>62.6</v>
      </c>
      <c r="F159" s="13">
        <v>91.2</v>
      </c>
      <c r="G159" s="13">
        <v>17</v>
      </c>
      <c r="H159" s="14">
        <v>639.75</v>
      </c>
      <c r="I159" s="12" t="s">
        <v>250</v>
      </c>
      <c r="J159" s="14">
        <v>620</v>
      </c>
      <c r="K159" s="15">
        <v>2</v>
      </c>
      <c r="L159" s="16">
        <v>1250</v>
      </c>
      <c r="M159" s="16">
        <v>2188</v>
      </c>
      <c r="N159" s="17">
        <v>4</v>
      </c>
      <c r="O159" s="17">
        <v>9</v>
      </c>
      <c r="P159" s="17">
        <v>2.4500000000000002</v>
      </c>
      <c r="Q159" s="17">
        <v>7.85</v>
      </c>
      <c r="R159" s="17">
        <v>4.05</v>
      </c>
      <c r="S159" s="17">
        <v>7.8</v>
      </c>
      <c r="T159" s="16">
        <f t="shared" si="10"/>
        <v>5062.5</v>
      </c>
      <c r="U159" s="18">
        <v>4323.05</v>
      </c>
      <c r="V159" s="19">
        <f t="shared" si="11"/>
        <v>0.85393580246913581</v>
      </c>
      <c r="W159" s="19">
        <f t="shared" si="12"/>
        <v>0.92592592592592604</v>
      </c>
      <c r="X159" s="19">
        <f t="shared" si="13"/>
        <v>1.2222222222222223</v>
      </c>
      <c r="Y159" s="12" t="s">
        <v>271</v>
      </c>
      <c r="Z159" s="12" t="s">
        <v>84</v>
      </c>
      <c r="AA159" s="18">
        <v>960.9</v>
      </c>
      <c r="AB159" s="17">
        <v>3.8650000000000002</v>
      </c>
      <c r="AC159" s="12" t="s">
        <v>71</v>
      </c>
      <c r="AD159" s="12" t="str">
        <f t="shared" si="14"/>
        <v>Rs 2+</v>
      </c>
      <c r="AE159" s="20">
        <v>1</v>
      </c>
    </row>
    <row r="160" spans="1:31" x14ac:dyDescent="0.3">
      <c r="A160" s="12" t="s">
        <v>182</v>
      </c>
      <c r="B160" s="12" t="s">
        <v>277</v>
      </c>
      <c r="C160" s="12" t="s">
        <v>276</v>
      </c>
      <c r="D160" s="12" t="s">
        <v>77</v>
      </c>
      <c r="E160" s="13">
        <v>-44.8</v>
      </c>
      <c r="F160" s="13">
        <v>-45.7</v>
      </c>
      <c r="G160" s="13">
        <v>4.7</v>
      </c>
      <c r="H160" s="14">
        <v>93.39</v>
      </c>
      <c r="I160" s="12" t="s">
        <v>250</v>
      </c>
      <c r="J160" s="14">
        <v>96.65</v>
      </c>
      <c r="K160" s="15">
        <v>2</v>
      </c>
      <c r="L160" s="16">
        <v>6150</v>
      </c>
      <c r="M160" s="16">
        <v>328</v>
      </c>
      <c r="N160" s="17">
        <v>1.2</v>
      </c>
      <c r="O160" s="17">
        <v>1.2</v>
      </c>
      <c r="P160" s="17">
        <v>0.65</v>
      </c>
      <c r="Q160" s="17">
        <v>0.8</v>
      </c>
      <c r="R160" s="17">
        <v>1.25</v>
      </c>
      <c r="S160" s="17">
        <v>0.75</v>
      </c>
      <c r="T160" s="16">
        <f t="shared" si="10"/>
        <v>7687.5</v>
      </c>
      <c r="U160" s="18">
        <v>-3257.52</v>
      </c>
      <c r="V160" s="19">
        <f t="shared" si="11"/>
        <v>-0.42374243902439024</v>
      </c>
      <c r="W160" s="19">
        <f t="shared" si="12"/>
        <v>-0.4</v>
      </c>
      <c r="X160" s="19">
        <f t="shared" si="13"/>
        <v>-4.0000000000000036E-2</v>
      </c>
      <c r="Y160" s="12" t="s">
        <v>277</v>
      </c>
      <c r="Z160" s="12" t="s">
        <v>70</v>
      </c>
      <c r="AA160" s="18">
        <v>-3257.52</v>
      </c>
      <c r="AB160" s="17">
        <v>0.108</v>
      </c>
      <c r="AC160" s="12" t="s">
        <v>102</v>
      </c>
      <c r="AD160" s="12" t="str">
        <f t="shared" si="14"/>
        <v>Rs 1-2</v>
      </c>
      <c r="AE160" s="20">
        <v>1</v>
      </c>
    </row>
    <row r="161" spans="1:31" x14ac:dyDescent="0.3">
      <c r="A161" s="12" t="s">
        <v>179</v>
      </c>
      <c r="B161" s="12" t="s">
        <v>277</v>
      </c>
      <c r="C161" s="12" t="s">
        <v>276</v>
      </c>
      <c r="D161" s="12" t="s">
        <v>68</v>
      </c>
      <c r="E161" s="13">
        <v>65.099999999999994</v>
      </c>
      <c r="F161" s="13">
        <v>36.700000000000003</v>
      </c>
      <c r="G161" s="13">
        <v>44.2</v>
      </c>
      <c r="H161" s="14">
        <v>2509.9</v>
      </c>
      <c r="I161" s="12" t="s">
        <v>250</v>
      </c>
      <c r="J161" s="14">
        <v>2500</v>
      </c>
      <c r="K161" s="15">
        <v>0</v>
      </c>
      <c r="L161" s="16">
        <v>275</v>
      </c>
      <c r="M161" s="16">
        <v>11223</v>
      </c>
      <c r="N161" s="17">
        <v>18.95</v>
      </c>
      <c r="O161" s="17">
        <v>24.6</v>
      </c>
      <c r="P161" s="17">
        <v>7.4</v>
      </c>
      <c r="Q161" s="17">
        <v>8.9499999999999993</v>
      </c>
      <c r="R161" s="17">
        <v>19</v>
      </c>
      <c r="S161" s="17">
        <v>8.9</v>
      </c>
      <c r="T161" s="16">
        <f t="shared" si="10"/>
        <v>5225</v>
      </c>
      <c r="U161" s="18">
        <v>-2985.22</v>
      </c>
      <c r="V161" s="19">
        <f t="shared" si="11"/>
        <v>-0.57133397129186603</v>
      </c>
      <c r="W161" s="19">
        <f t="shared" si="12"/>
        <v>-0.53157894736842104</v>
      </c>
      <c r="X161" s="19">
        <f t="shared" si="13"/>
        <v>0.29473684210526319</v>
      </c>
      <c r="Y161" s="12" t="s">
        <v>277</v>
      </c>
      <c r="Z161" s="12" t="s">
        <v>70</v>
      </c>
      <c r="AA161" s="18">
        <v>-2985.22</v>
      </c>
      <c r="AB161" s="17">
        <v>-1.004</v>
      </c>
      <c r="AC161" s="12" t="s">
        <v>71</v>
      </c>
      <c r="AD161" s="12" t="str">
        <f t="shared" si="14"/>
        <v>Rs 2+</v>
      </c>
      <c r="AE161" s="20">
        <v>1</v>
      </c>
    </row>
    <row r="162" spans="1:31" x14ac:dyDescent="0.3">
      <c r="A162" s="12" t="s">
        <v>206</v>
      </c>
      <c r="B162" s="12" t="s">
        <v>277</v>
      </c>
      <c r="C162" s="12" t="s">
        <v>276</v>
      </c>
      <c r="D162" s="12" t="s">
        <v>77</v>
      </c>
      <c r="E162" s="13">
        <v>-14</v>
      </c>
      <c r="F162" s="13">
        <v>-1</v>
      </c>
      <c r="G162" s="13">
        <v>0.9</v>
      </c>
      <c r="H162" s="14">
        <v>1306.2</v>
      </c>
      <c r="I162" s="12" t="s">
        <v>250</v>
      </c>
      <c r="J162" s="14">
        <v>1340</v>
      </c>
      <c r="K162" s="15">
        <v>2</v>
      </c>
      <c r="L162" s="16">
        <v>400</v>
      </c>
      <c r="M162" s="16">
        <v>6824</v>
      </c>
      <c r="N162" s="17">
        <v>15.5</v>
      </c>
      <c r="O162" s="17">
        <v>19.899999999999999</v>
      </c>
      <c r="P162" s="17">
        <v>9.4499999999999993</v>
      </c>
      <c r="Q162" s="17">
        <v>11.8</v>
      </c>
      <c r="R162" s="17">
        <v>15.55</v>
      </c>
      <c r="S162" s="17">
        <v>11.75</v>
      </c>
      <c r="T162" s="16">
        <f t="shared" si="10"/>
        <v>6220</v>
      </c>
      <c r="U162" s="18">
        <v>-1688.23</v>
      </c>
      <c r="V162" s="19">
        <f t="shared" si="11"/>
        <v>-0.27141961414790999</v>
      </c>
      <c r="W162" s="19">
        <f t="shared" si="12"/>
        <v>-0.24437299035369775</v>
      </c>
      <c r="X162" s="19">
        <f t="shared" si="13"/>
        <v>0.27974276527331177</v>
      </c>
      <c r="Y162" s="12" t="s">
        <v>277</v>
      </c>
      <c r="Z162" s="12" t="s">
        <v>70</v>
      </c>
      <c r="AA162" s="18">
        <v>-1688.23</v>
      </c>
      <c r="AB162" s="17">
        <v>2.3E-2</v>
      </c>
      <c r="AC162" s="12" t="s">
        <v>71</v>
      </c>
      <c r="AD162" s="12" t="str">
        <f t="shared" si="14"/>
        <v>Rs 2+</v>
      </c>
      <c r="AE162" s="20">
        <v>1</v>
      </c>
    </row>
    <row r="163" spans="1:31" x14ac:dyDescent="0.3">
      <c r="A163" s="12" t="s">
        <v>281</v>
      </c>
      <c r="B163" s="12" t="s">
        <v>271</v>
      </c>
      <c r="C163" s="12" t="s">
        <v>277</v>
      </c>
      <c r="D163" s="12" t="s">
        <v>77</v>
      </c>
      <c r="E163" s="13">
        <v>-31.3</v>
      </c>
      <c r="F163" s="13">
        <v>-49.7</v>
      </c>
      <c r="G163" s="13">
        <v>24.1</v>
      </c>
      <c r="H163" s="14">
        <v>1765.1</v>
      </c>
      <c r="I163" s="12" t="s">
        <v>250</v>
      </c>
      <c r="J163" s="14">
        <v>1880</v>
      </c>
      <c r="K163" s="15">
        <v>6</v>
      </c>
      <c r="L163" s="16">
        <v>300</v>
      </c>
      <c r="M163" s="16">
        <v>567</v>
      </c>
      <c r="N163" s="17">
        <v>22</v>
      </c>
      <c r="O163" s="17">
        <v>22</v>
      </c>
      <c r="P163" s="17">
        <v>8.35</v>
      </c>
      <c r="Q163" s="17">
        <v>9.15</v>
      </c>
      <c r="R163" s="17">
        <v>22.05</v>
      </c>
      <c r="S163" s="17">
        <v>9.1</v>
      </c>
      <c r="T163" s="16">
        <f t="shared" si="10"/>
        <v>6615</v>
      </c>
      <c r="U163" s="18">
        <v>-4127.32</v>
      </c>
      <c r="V163" s="19">
        <f t="shared" si="11"/>
        <v>-0.62393348450491304</v>
      </c>
      <c r="W163" s="19">
        <f t="shared" si="12"/>
        <v>-0.58730158730158732</v>
      </c>
      <c r="X163" s="19">
        <f t="shared" si="13"/>
        <v>-2.2675736961451642E-3</v>
      </c>
      <c r="Y163" s="12" t="s">
        <v>271</v>
      </c>
      <c r="Z163" s="12" t="s">
        <v>70</v>
      </c>
      <c r="AA163" s="18">
        <v>-4127.32</v>
      </c>
      <c r="AB163" s="17">
        <v>-1.242</v>
      </c>
      <c r="AC163" s="12" t="s">
        <v>71</v>
      </c>
      <c r="AD163" s="12" t="str">
        <f t="shared" si="14"/>
        <v>Rs 2+</v>
      </c>
      <c r="AE163" s="20">
        <v>1</v>
      </c>
    </row>
    <row r="164" spans="1:31" x14ac:dyDescent="0.3">
      <c r="A164" s="12" t="s">
        <v>92</v>
      </c>
      <c r="B164" s="12" t="s">
        <v>282</v>
      </c>
      <c r="C164" s="12" t="s">
        <v>283</v>
      </c>
      <c r="D164" s="12" t="s">
        <v>68</v>
      </c>
      <c r="E164" s="13">
        <v>45.1</v>
      </c>
      <c r="F164" s="13">
        <v>10.9</v>
      </c>
      <c r="G164" s="13">
        <v>23.6</v>
      </c>
      <c r="H164" s="14">
        <v>5337.55</v>
      </c>
      <c r="I164" s="12" t="s">
        <v>284</v>
      </c>
      <c r="J164" s="14">
        <v>5300</v>
      </c>
      <c r="K164" s="15">
        <v>0</v>
      </c>
      <c r="L164" s="16">
        <v>100</v>
      </c>
      <c r="M164" s="16">
        <v>11170</v>
      </c>
      <c r="N164" s="17">
        <v>66.5</v>
      </c>
      <c r="O164" s="17">
        <v>74.400000000000006</v>
      </c>
      <c r="P164" s="17">
        <v>18.7</v>
      </c>
      <c r="Q164" s="17">
        <v>19.5</v>
      </c>
      <c r="R164" s="17">
        <v>66.55</v>
      </c>
      <c r="S164" s="17">
        <v>19.45</v>
      </c>
      <c r="T164" s="16">
        <f t="shared" si="10"/>
        <v>6655</v>
      </c>
      <c r="U164" s="18">
        <v>-4935.93</v>
      </c>
      <c r="V164" s="19">
        <f t="shared" si="11"/>
        <v>-0.74168745304282502</v>
      </c>
      <c r="W164" s="19">
        <f t="shared" si="12"/>
        <v>-0.70773854244928625</v>
      </c>
      <c r="X164" s="19">
        <f t="shared" si="13"/>
        <v>0.1179564237415478</v>
      </c>
      <c r="Y164" s="12" t="s">
        <v>282</v>
      </c>
      <c r="Z164" s="12" t="s">
        <v>70</v>
      </c>
      <c r="AA164" s="18">
        <v>-4935.93</v>
      </c>
      <c r="AB164" s="17">
        <v>-3.669</v>
      </c>
      <c r="AC164" s="12" t="s">
        <v>71</v>
      </c>
      <c r="AD164" s="12" t="str">
        <f t="shared" si="14"/>
        <v>Rs 2+</v>
      </c>
      <c r="AE164" s="20">
        <v>1</v>
      </c>
    </row>
    <row r="165" spans="1:31" x14ac:dyDescent="0.3">
      <c r="A165" s="12" t="s">
        <v>285</v>
      </c>
      <c r="B165" s="12" t="s">
        <v>286</v>
      </c>
      <c r="C165" s="12" t="s">
        <v>282</v>
      </c>
      <c r="D165" s="12" t="s">
        <v>77</v>
      </c>
      <c r="E165" s="13">
        <v>-25.3</v>
      </c>
      <c r="F165" s="13">
        <v>-11.5</v>
      </c>
      <c r="G165" s="13">
        <v>2.2000000000000002</v>
      </c>
      <c r="H165" s="14">
        <v>1169.5999999999999</v>
      </c>
      <c r="I165" s="12" t="s">
        <v>284</v>
      </c>
      <c r="J165" s="14">
        <v>1240</v>
      </c>
      <c r="K165" s="15">
        <v>7</v>
      </c>
      <c r="L165" s="16">
        <v>625</v>
      </c>
      <c r="M165" s="16">
        <v>9033</v>
      </c>
      <c r="N165" s="17">
        <v>10</v>
      </c>
      <c r="O165" s="17">
        <v>11.25</v>
      </c>
      <c r="P165" s="17">
        <v>2.65</v>
      </c>
      <c r="Q165" s="17">
        <v>3</v>
      </c>
      <c r="R165" s="17">
        <v>10.050000000000001</v>
      </c>
      <c r="S165" s="17">
        <v>2.95</v>
      </c>
      <c r="T165" s="16">
        <f t="shared" si="10"/>
        <v>6281.25</v>
      </c>
      <c r="U165" s="18">
        <v>-4572.33</v>
      </c>
      <c r="V165" s="19">
        <f t="shared" si="11"/>
        <v>-0.72793313432835816</v>
      </c>
      <c r="W165" s="19">
        <f t="shared" si="12"/>
        <v>-0.70646766169154229</v>
      </c>
      <c r="X165" s="19">
        <f t="shared" si="13"/>
        <v>0.11940298507462677</v>
      </c>
      <c r="Y165" s="12" t="s">
        <v>286</v>
      </c>
      <c r="Z165" s="12" t="s">
        <v>70</v>
      </c>
      <c r="AA165" s="18">
        <v>-4572.33</v>
      </c>
      <c r="AB165" s="17">
        <v>-1.6519999999999999</v>
      </c>
      <c r="AC165" s="12" t="s">
        <v>71</v>
      </c>
      <c r="AD165" s="12" t="str">
        <f t="shared" si="14"/>
        <v>Rs 2+</v>
      </c>
      <c r="AE165" s="20">
        <v>1</v>
      </c>
    </row>
    <row r="166" spans="1:31" x14ac:dyDescent="0.3">
      <c r="A166" s="12" t="s">
        <v>239</v>
      </c>
      <c r="B166" s="12" t="s">
        <v>286</v>
      </c>
      <c r="C166" s="12" t="s">
        <v>282</v>
      </c>
      <c r="D166" s="12" t="s">
        <v>68</v>
      </c>
      <c r="E166" s="13">
        <v>118.4</v>
      </c>
      <c r="F166" s="13">
        <v>101.8</v>
      </c>
      <c r="G166" s="13">
        <v>92.6</v>
      </c>
      <c r="H166" s="14">
        <v>124.9</v>
      </c>
      <c r="I166" s="12" t="s">
        <v>284</v>
      </c>
      <c r="J166" s="14">
        <v>122.5</v>
      </c>
      <c r="K166" s="15">
        <v>3</v>
      </c>
      <c r="L166" s="16">
        <v>4250</v>
      </c>
      <c r="M166" s="16">
        <v>103</v>
      </c>
      <c r="N166" s="17">
        <v>1.65</v>
      </c>
      <c r="O166" s="17">
        <v>1.9</v>
      </c>
      <c r="P166" s="17">
        <v>1.5</v>
      </c>
      <c r="Q166" s="17">
        <v>1.75</v>
      </c>
      <c r="R166" s="17">
        <v>1.7</v>
      </c>
      <c r="S166" s="17">
        <v>1.7</v>
      </c>
      <c r="T166" s="16">
        <f t="shared" si="10"/>
        <v>7225</v>
      </c>
      <c r="U166" s="18">
        <v>-208.84</v>
      </c>
      <c r="V166" s="19">
        <f t="shared" si="11"/>
        <v>-2.8905190311418687E-2</v>
      </c>
      <c r="W166" s="19">
        <f t="shared" si="12"/>
        <v>0</v>
      </c>
      <c r="X166" s="19">
        <f t="shared" si="13"/>
        <v>0.11764705882352944</v>
      </c>
      <c r="Y166" s="12" t="s">
        <v>287</v>
      </c>
      <c r="Z166" s="12" t="s">
        <v>70</v>
      </c>
      <c r="AA166" s="18">
        <v>-3358.34</v>
      </c>
      <c r="AB166" s="17">
        <v>0.622</v>
      </c>
      <c r="AC166" s="12" t="s">
        <v>102</v>
      </c>
      <c r="AD166" s="12" t="str">
        <f t="shared" si="14"/>
        <v>Rs 1-2</v>
      </c>
      <c r="AE166" s="20">
        <v>1</v>
      </c>
    </row>
    <row r="167" spans="1:31" x14ac:dyDescent="0.3">
      <c r="A167" s="12" t="s">
        <v>288</v>
      </c>
      <c r="B167" s="12" t="s">
        <v>286</v>
      </c>
      <c r="C167" s="12" t="s">
        <v>282</v>
      </c>
      <c r="D167" s="12" t="s">
        <v>68</v>
      </c>
      <c r="E167" s="13">
        <v>31.5</v>
      </c>
      <c r="F167" s="13">
        <v>4</v>
      </c>
      <c r="G167" s="13">
        <v>19.600000000000001</v>
      </c>
      <c r="H167" s="14">
        <v>4420.6499999999996</v>
      </c>
      <c r="I167" s="12" t="s">
        <v>284</v>
      </c>
      <c r="J167" s="14">
        <v>4200</v>
      </c>
      <c r="K167" s="15">
        <v>4</v>
      </c>
      <c r="L167" s="16">
        <v>175</v>
      </c>
      <c r="M167" s="16">
        <v>4910</v>
      </c>
      <c r="N167" s="17">
        <v>40</v>
      </c>
      <c r="O167" s="17">
        <v>198</v>
      </c>
      <c r="P167" s="17">
        <v>34</v>
      </c>
      <c r="Q167" s="17">
        <v>114.95</v>
      </c>
      <c r="R167" s="17">
        <v>40.049999999999997</v>
      </c>
      <c r="S167" s="17">
        <v>114.9</v>
      </c>
      <c r="T167" s="16">
        <f t="shared" si="10"/>
        <v>7008.7499999999991</v>
      </c>
      <c r="U167" s="18">
        <v>12467.46</v>
      </c>
      <c r="V167" s="19">
        <f t="shared" si="11"/>
        <v>1.7788421615837346</v>
      </c>
      <c r="W167" s="19">
        <f t="shared" si="12"/>
        <v>1.868913857677903</v>
      </c>
      <c r="X167" s="19">
        <f t="shared" si="13"/>
        <v>3.9438202247191017</v>
      </c>
      <c r="Y167" s="12" t="s">
        <v>287</v>
      </c>
      <c r="Z167" s="12" t="s">
        <v>84</v>
      </c>
      <c r="AA167" s="18">
        <v>10045.48</v>
      </c>
      <c r="AB167" s="17">
        <v>5.9169999999999998</v>
      </c>
      <c r="AC167" s="12" t="s">
        <v>71</v>
      </c>
      <c r="AD167" s="12" t="str">
        <f t="shared" si="14"/>
        <v>Rs 2+</v>
      </c>
      <c r="AE167" s="20">
        <v>1</v>
      </c>
    </row>
    <row r="168" spans="1:31" x14ac:dyDescent="0.3">
      <c r="A168" s="12" t="s">
        <v>89</v>
      </c>
      <c r="B168" s="12" t="s">
        <v>286</v>
      </c>
      <c r="C168" s="12" t="s">
        <v>282</v>
      </c>
      <c r="D168" s="12" t="s">
        <v>68</v>
      </c>
      <c r="E168" s="13">
        <v>100.4</v>
      </c>
      <c r="F168" s="13">
        <v>180.5</v>
      </c>
      <c r="G168" s="13">
        <v>109.6</v>
      </c>
      <c r="H168" s="14">
        <v>1601.4</v>
      </c>
      <c r="I168" s="12" t="s">
        <v>284</v>
      </c>
      <c r="J168" s="14">
        <v>1600</v>
      </c>
      <c r="K168" s="15">
        <v>0</v>
      </c>
      <c r="L168" s="16">
        <v>350</v>
      </c>
      <c r="M168" s="16">
        <v>5507</v>
      </c>
      <c r="N168" s="17">
        <v>7.05</v>
      </c>
      <c r="O168" s="17">
        <v>25</v>
      </c>
      <c r="P168" s="17">
        <v>4.5</v>
      </c>
      <c r="Q168" s="17">
        <v>4.95</v>
      </c>
      <c r="R168" s="17">
        <v>7.1</v>
      </c>
      <c r="S168" s="17">
        <v>4.9000000000000004</v>
      </c>
      <c r="T168" s="16">
        <f t="shared" si="10"/>
        <v>2485</v>
      </c>
      <c r="U168" s="18">
        <v>-905.6</v>
      </c>
      <c r="V168" s="19">
        <f t="shared" si="11"/>
        <v>-0.36442655935613683</v>
      </c>
      <c r="W168" s="19">
        <f t="shared" si="12"/>
        <v>-0.30985915492957739</v>
      </c>
      <c r="X168" s="19">
        <f t="shared" si="13"/>
        <v>2.5211267605633805</v>
      </c>
      <c r="Y168" s="12" t="s">
        <v>286</v>
      </c>
      <c r="Z168" s="12" t="s">
        <v>70</v>
      </c>
      <c r="AA168" s="18">
        <v>-905.6</v>
      </c>
      <c r="AB168" s="17">
        <v>-0.72199999999999998</v>
      </c>
      <c r="AC168" s="12" t="s">
        <v>71</v>
      </c>
      <c r="AD168" s="12" t="str">
        <f t="shared" si="14"/>
        <v>Rs 2+</v>
      </c>
      <c r="AE168" s="20">
        <v>1</v>
      </c>
    </row>
    <row r="169" spans="1:31" x14ac:dyDescent="0.3">
      <c r="A169" s="12" t="s">
        <v>126</v>
      </c>
      <c r="B169" s="12" t="s">
        <v>289</v>
      </c>
      <c r="C169" s="12" t="s">
        <v>286</v>
      </c>
      <c r="D169" s="12" t="s">
        <v>68</v>
      </c>
      <c r="E169" s="13">
        <v>11</v>
      </c>
      <c r="F169" s="13">
        <v>36.5</v>
      </c>
      <c r="G169" s="13">
        <v>8.1999999999999993</v>
      </c>
      <c r="H169" s="14">
        <v>771.05</v>
      </c>
      <c r="I169" s="12" t="s">
        <v>284</v>
      </c>
      <c r="J169" s="14">
        <v>750</v>
      </c>
      <c r="K169" s="15">
        <v>2</v>
      </c>
      <c r="L169" s="16">
        <v>1000</v>
      </c>
      <c r="M169" s="16">
        <v>989</v>
      </c>
      <c r="N169" s="17">
        <v>5</v>
      </c>
      <c r="O169" s="17">
        <v>10.95</v>
      </c>
      <c r="P169" s="17">
        <v>3.15</v>
      </c>
      <c r="Q169" s="17">
        <v>3.25</v>
      </c>
      <c r="R169" s="17">
        <v>5.05</v>
      </c>
      <c r="S169" s="17">
        <v>3.2</v>
      </c>
      <c r="T169" s="16">
        <f t="shared" si="10"/>
        <v>5050</v>
      </c>
      <c r="U169" s="18">
        <v>-2070.62</v>
      </c>
      <c r="V169" s="19">
        <f t="shared" si="11"/>
        <v>-0.41002376237623761</v>
      </c>
      <c r="W169" s="19">
        <f t="shared" si="12"/>
        <v>-0.36633663366336633</v>
      </c>
      <c r="X169" s="19">
        <f t="shared" si="13"/>
        <v>1.1683168316831685</v>
      </c>
      <c r="Y169" s="12" t="s">
        <v>289</v>
      </c>
      <c r="Z169" s="12" t="s">
        <v>70</v>
      </c>
      <c r="AA169" s="18">
        <v>-2070.62</v>
      </c>
      <c r="AB169" s="17">
        <v>8.3000000000000004E-2</v>
      </c>
      <c r="AC169" s="12" t="s">
        <v>71</v>
      </c>
      <c r="AD169" s="12" t="str">
        <f t="shared" si="14"/>
        <v>Rs 2+</v>
      </c>
      <c r="AE169" s="20">
        <v>1</v>
      </c>
    </row>
    <row r="170" spans="1:31" x14ac:dyDescent="0.3">
      <c r="A170" s="12" t="s">
        <v>79</v>
      </c>
      <c r="B170" s="12" t="s">
        <v>289</v>
      </c>
      <c r="C170" s="12" t="s">
        <v>286</v>
      </c>
      <c r="D170" s="12" t="s">
        <v>68</v>
      </c>
      <c r="E170" s="13">
        <v>13.2</v>
      </c>
      <c r="F170" s="13">
        <v>6.5</v>
      </c>
      <c r="G170" s="13">
        <v>8.5</v>
      </c>
      <c r="H170" s="14">
        <v>1471.75</v>
      </c>
      <c r="I170" s="12" t="s">
        <v>284</v>
      </c>
      <c r="J170" s="14">
        <v>1420</v>
      </c>
      <c r="K170" s="15">
        <v>3</v>
      </c>
      <c r="L170" s="16">
        <v>400</v>
      </c>
      <c r="M170" s="16">
        <v>22140</v>
      </c>
      <c r="N170" s="17">
        <v>16</v>
      </c>
      <c r="O170" s="17">
        <v>28.5</v>
      </c>
      <c r="P170" s="17">
        <v>13.4</v>
      </c>
      <c r="Q170" s="17">
        <v>23.8</v>
      </c>
      <c r="R170" s="17">
        <v>16.05</v>
      </c>
      <c r="S170" s="17">
        <v>23.75</v>
      </c>
      <c r="T170" s="16">
        <f t="shared" si="10"/>
        <v>6420</v>
      </c>
      <c r="U170" s="18">
        <v>2852.46</v>
      </c>
      <c r="V170" s="19">
        <f t="shared" si="11"/>
        <v>0.44430841121495329</v>
      </c>
      <c r="W170" s="19">
        <f t="shared" si="12"/>
        <v>0.47975077881619921</v>
      </c>
      <c r="X170" s="19">
        <f t="shared" si="13"/>
        <v>0.77570093457943923</v>
      </c>
      <c r="Y170" s="12" t="s">
        <v>287</v>
      </c>
      <c r="Z170" s="12" t="s">
        <v>70</v>
      </c>
      <c r="AA170" s="18">
        <v>-3234.1</v>
      </c>
      <c r="AB170" s="17">
        <v>0.94899999999999995</v>
      </c>
      <c r="AC170" s="12" t="s">
        <v>71</v>
      </c>
      <c r="AD170" s="12" t="str">
        <f t="shared" si="14"/>
        <v>Rs 2+</v>
      </c>
      <c r="AE170" s="20">
        <v>1</v>
      </c>
    </row>
    <row r="171" spans="1:31" x14ac:dyDescent="0.3">
      <c r="A171" s="12" t="s">
        <v>290</v>
      </c>
      <c r="B171" s="12" t="s">
        <v>287</v>
      </c>
      <c r="C171" s="12" t="s">
        <v>289</v>
      </c>
      <c r="D171" s="12" t="s">
        <v>68</v>
      </c>
      <c r="E171" s="13">
        <v>28.5</v>
      </c>
      <c r="F171" s="13">
        <v>10.8</v>
      </c>
      <c r="G171" s="13">
        <v>29.2</v>
      </c>
      <c r="H171" s="14">
        <v>1164.8</v>
      </c>
      <c r="I171" s="12" t="s">
        <v>284</v>
      </c>
      <c r="J171" s="14">
        <v>1120</v>
      </c>
      <c r="K171" s="15">
        <v>2</v>
      </c>
      <c r="L171" s="16">
        <v>500</v>
      </c>
      <c r="M171" s="16">
        <v>451</v>
      </c>
      <c r="N171" s="17">
        <v>9.85</v>
      </c>
      <c r="O171" s="17">
        <v>10.95</v>
      </c>
      <c r="P171" s="17">
        <v>3.05</v>
      </c>
      <c r="Q171" s="17">
        <v>4.0999999999999996</v>
      </c>
      <c r="R171" s="17">
        <v>9.9</v>
      </c>
      <c r="S171" s="17">
        <v>4.05</v>
      </c>
      <c r="T171" s="16">
        <f t="shared" si="10"/>
        <v>4950</v>
      </c>
      <c r="U171" s="18">
        <v>-3117.82</v>
      </c>
      <c r="V171" s="19">
        <f t="shared" si="11"/>
        <v>-0.62986262626262635</v>
      </c>
      <c r="W171" s="19">
        <f t="shared" si="12"/>
        <v>-0.59090909090909094</v>
      </c>
      <c r="X171" s="19">
        <f t="shared" si="13"/>
        <v>0.10606060606060597</v>
      </c>
      <c r="Y171" s="12" t="s">
        <v>287</v>
      </c>
      <c r="Z171" s="12" t="s">
        <v>70</v>
      </c>
      <c r="AA171" s="18">
        <v>-3117.82</v>
      </c>
      <c r="AB171" s="17">
        <v>-1.571</v>
      </c>
      <c r="AC171" s="12" t="s">
        <v>71</v>
      </c>
      <c r="AD171" s="12" t="str">
        <f t="shared" si="14"/>
        <v>Rs 2+</v>
      </c>
      <c r="AE171" s="20">
        <v>1</v>
      </c>
    </row>
    <row r="172" spans="1:31" x14ac:dyDescent="0.3">
      <c r="A172" s="12" t="s">
        <v>202</v>
      </c>
      <c r="B172" s="12" t="s">
        <v>287</v>
      </c>
      <c r="C172" s="12" t="s">
        <v>289</v>
      </c>
      <c r="D172" s="12" t="s">
        <v>68</v>
      </c>
      <c r="E172" s="13">
        <v>81.099999999999994</v>
      </c>
      <c r="F172" s="13">
        <v>166.3</v>
      </c>
      <c r="G172" s="13">
        <v>28.8</v>
      </c>
      <c r="H172" s="14">
        <v>16699.7</v>
      </c>
      <c r="I172" s="12" t="s">
        <v>284</v>
      </c>
      <c r="J172" s="14">
        <v>15750</v>
      </c>
      <c r="K172" s="15">
        <v>4</v>
      </c>
      <c r="L172" s="16">
        <v>50</v>
      </c>
      <c r="M172" s="16">
        <v>6565</v>
      </c>
      <c r="N172" s="17">
        <v>99</v>
      </c>
      <c r="O172" s="17">
        <v>200</v>
      </c>
      <c r="P172" s="17">
        <v>30.25</v>
      </c>
      <c r="Q172" s="17">
        <v>149.80000000000001</v>
      </c>
      <c r="R172" s="17">
        <v>99.05</v>
      </c>
      <c r="S172" s="17">
        <v>149.75</v>
      </c>
      <c r="T172" s="16">
        <f t="shared" si="10"/>
        <v>4952.5</v>
      </c>
      <c r="U172" s="18">
        <v>2222.39</v>
      </c>
      <c r="V172" s="19">
        <f t="shared" si="11"/>
        <v>0.44874103987884906</v>
      </c>
      <c r="W172" s="19">
        <f t="shared" si="12"/>
        <v>0.51186269560827879</v>
      </c>
      <c r="X172" s="19">
        <f t="shared" si="13"/>
        <v>1.0191822311963654</v>
      </c>
      <c r="Y172" s="12" t="s">
        <v>291</v>
      </c>
      <c r="Z172" s="12" t="s">
        <v>111</v>
      </c>
      <c r="AA172" s="18">
        <v>7939.26</v>
      </c>
      <c r="AB172" s="17">
        <v>3.7429999999999999</v>
      </c>
      <c r="AC172" s="12" t="s">
        <v>71</v>
      </c>
      <c r="AD172" s="12" t="str">
        <f t="shared" si="14"/>
        <v>Rs 2+</v>
      </c>
      <c r="AE172" s="20">
        <v>1</v>
      </c>
    </row>
    <row r="173" spans="1:31" x14ac:dyDescent="0.3">
      <c r="A173" s="12" t="s">
        <v>292</v>
      </c>
      <c r="B173" s="12" t="s">
        <v>287</v>
      </c>
      <c r="C173" s="12" t="s">
        <v>289</v>
      </c>
      <c r="D173" s="12" t="s">
        <v>68</v>
      </c>
      <c r="E173" s="13">
        <v>13.8</v>
      </c>
      <c r="F173" s="13">
        <v>18.600000000000001</v>
      </c>
      <c r="G173" s="13">
        <v>3.6</v>
      </c>
      <c r="H173" s="14">
        <v>500.25</v>
      </c>
      <c r="I173" s="12" t="s">
        <v>284</v>
      </c>
      <c r="J173" s="14">
        <v>480</v>
      </c>
      <c r="K173" s="15">
        <v>4</v>
      </c>
      <c r="L173" s="16">
        <v>1225</v>
      </c>
      <c r="M173" s="16">
        <v>3669</v>
      </c>
      <c r="N173" s="17">
        <v>5.3</v>
      </c>
      <c r="O173" s="17">
        <v>9.5</v>
      </c>
      <c r="P173" s="17">
        <v>3.9</v>
      </c>
      <c r="Q173" s="17">
        <v>5.4</v>
      </c>
      <c r="R173" s="17">
        <v>5.35</v>
      </c>
      <c r="S173" s="17">
        <v>5.35</v>
      </c>
      <c r="T173" s="16">
        <f t="shared" si="10"/>
        <v>6553.75</v>
      </c>
      <c r="U173" s="18">
        <v>-193.82</v>
      </c>
      <c r="V173" s="19">
        <f t="shared" si="11"/>
        <v>-2.9573908067900057E-2</v>
      </c>
      <c r="W173" s="19">
        <f t="shared" si="12"/>
        <v>0</v>
      </c>
      <c r="X173" s="19">
        <f t="shared" si="13"/>
        <v>0.77570093457943945</v>
      </c>
      <c r="Y173" s="12" t="s">
        <v>293</v>
      </c>
      <c r="Z173" s="12" t="s">
        <v>70</v>
      </c>
      <c r="AA173" s="18">
        <v>-1646.31</v>
      </c>
      <c r="AB173" s="17">
        <v>2.72</v>
      </c>
      <c r="AC173" s="12" t="s">
        <v>71</v>
      </c>
      <c r="AD173" s="12" t="str">
        <f t="shared" si="14"/>
        <v>Rs 2+</v>
      </c>
      <c r="AE173" s="20">
        <v>1</v>
      </c>
    </row>
    <row r="174" spans="1:31" x14ac:dyDescent="0.3">
      <c r="A174" s="12" t="s">
        <v>208</v>
      </c>
      <c r="B174" s="12" t="s">
        <v>287</v>
      </c>
      <c r="C174" s="12" t="s">
        <v>294</v>
      </c>
      <c r="D174" s="12" t="s">
        <v>77</v>
      </c>
      <c r="E174" s="13">
        <v>-132.80000000000001</v>
      </c>
      <c r="F174" s="13">
        <v>-172.3</v>
      </c>
      <c r="G174" s="13">
        <v>-8.5</v>
      </c>
      <c r="H174" s="14">
        <v>751</v>
      </c>
      <c r="I174" s="12" t="s">
        <v>284</v>
      </c>
      <c r="J174" s="14">
        <v>770</v>
      </c>
      <c r="K174" s="15">
        <v>2</v>
      </c>
      <c r="L174" s="16">
        <v>700</v>
      </c>
      <c r="M174" s="16">
        <v>15203</v>
      </c>
      <c r="N174" s="17">
        <v>6.95</v>
      </c>
      <c r="O174" s="17">
        <v>14</v>
      </c>
      <c r="P174" s="17">
        <v>2.25</v>
      </c>
      <c r="Q174" s="17">
        <v>7.25</v>
      </c>
      <c r="R174" s="17">
        <v>7</v>
      </c>
      <c r="S174" s="17">
        <v>7.2</v>
      </c>
      <c r="T174" s="16">
        <f t="shared" si="10"/>
        <v>4900</v>
      </c>
      <c r="U174" s="18">
        <v>-117.88</v>
      </c>
      <c r="V174" s="19">
        <f t="shared" si="11"/>
        <v>-2.4057142857142857E-2</v>
      </c>
      <c r="W174" s="19">
        <f t="shared" si="12"/>
        <v>2.8571428571428692E-2</v>
      </c>
      <c r="X174" s="19">
        <f t="shared" si="13"/>
        <v>1</v>
      </c>
      <c r="Y174" s="12" t="s">
        <v>293</v>
      </c>
      <c r="Z174" s="12" t="s">
        <v>70</v>
      </c>
      <c r="AA174" s="18">
        <v>-1692.59</v>
      </c>
      <c r="AB174" s="17">
        <v>2.254</v>
      </c>
      <c r="AC174" s="12" t="s">
        <v>71</v>
      </c>
      <c r="AD174" s="12" t="str">
        <f t="shared" si="14"/>
        <v>Rs 2+</v>
      </c>
      <c r="AE174" s="20">
        <v>1</v>
      </c>
    </row>
    <row r="175" spans="1:31" x14ac:dyDescent="0.3">
      <c r="A175" s="12" t="s">
        <v>93</v>
      </c>
      <c r="B175" s="12" t="s">
        <v>287</v>
      </c>
      <c r="C175" s="12" t="s">
        <v>289</v>
      </c>
      <c r="D175" s="12" t="s">
        <v>68</v>
      </c>
      <c r="E175" s="13">
        <v>55.6</v>
      </c>
      <c r="F175" s="13">
        <v>15.6</v>
      </c>
      <c r="G175" s="13">
        <v>17.8</v>
      </c>
      <c r="H175" s="14">
        <v>7439.35</v>
      </c>
      <c r="I175" s="12" t="s">
        <v>284</v>
      </c>
      <c r="J175" s="14">
        <v>7400</v>
      </c>
      <c r="K175" s="15">
        <v>0</v>
      </c>
      <c r="L175" s="16">
        <v>125</v>
      </c>
      <c r="M175" s="16">
        <v>3271</v>
      </c>
      <c r="N175" s="17">
        <v>50.55</v>
      </c>
      <c r="O175" s="17">
        <v>61.8</v>
      </c>
      <c r="P175" s="17">
        <v>24.3</v>
      </c>
      <c r="Q175" s="17">
        <v>29.6</v>
      </c>
      <c r="R175" s="17">
        <v>50.6</v>
      </c>
      <c r="S175" s="17">
        <v>29.55</v>
      </c>
      <c r="T175" s="16">
        <f t="shared" si="10"/>
        <v>6325</v>
      </c>
      <c r="U175" s="18">
        <v>-2888.78</v>
      </c>
      <c r="V175" s="19">
        <f t="shared" si="11"/>
        <v>-0.4567241106719368</v>
      </c>
      <c r="W175" s="19">
        <f t="shared" si="12"/>
        <v>-0.41600790513833996</v>
      </c>
      <c r="X175" s="19">
        <f t="shared" si="13"/>
        <v>0.22134387351778639</v>
      </c>
      <c r="Y175" s="12" t="s">
        <v>287</v>
      </c>
      <c r="Z175" s="12" t="s">
        <v>70</v>
      </c>
      <c r="AA175" s="18">
        <v>-2888.78</v>
      </c>
      <c r="AB175" s="17">
        <v>-1.9059999999999999</v>
      </c>
      <c r="AC175" s="12" t="s">
        <v>71</v>
      </c>
      <c r="AD175" s="12" t="str">
        <f t="shared" si="14"/>
        <v>Rs 2+</v>
      </c>
      <c r="AE175" s="20">
        <v>1</v>
      </c>
    </row>
    <row r="176" spans="1:31" x14ac:dyDescent="0.3">
      <c r="A176" s="12" t="s">
        <v>295</v>
      </c>
      <c r="B176" s="12" t="s">
        <v>287</v>
      </c>
      <c r="C176" s="12" t="s">
        <v>294</v>
      </c>
      <c r="D176" s="12" t="s">
        <v>77</v>
      </c>
      <c r="E176" s="13">
        <v>-16.899999999999999</v>
      </c>
      <c r="F176" s="13">
        <v>-10.199999999999999</v>
      </c>
      <c r="G176" s="13">
        <v>-0.7</v>
      </c>
      <c r="H176" s="14">
        <v>299.5</v>
      </c>
      <c r="I176" s="12" t="s">
        <v>284</v>
      </c>
      <c r="J176" s="14">
        <v>330</v>
      </c>
      <c r="K176" s="15">
        <v>6</v>
      </c>
      <c r="L176" s="16">
        <v>3175</v>
      </c>
      <c r="M176" s="16">
        <v>265</v>
      </c>
      <c r="N176" s="17">
        <v>2.0499999999999998</v>
      </c>
      <c r="O176" s="17">
        <v>5.85</v>
      </c>
      <c r="P176" s="17">
        <v>1.9</v>
      </c>
      <c r="Q176" s="17">
        <v>5.8</v>
      </c>
      <c r="R176" s="17">
        <v>2.1</v>
      </c>
      <c r="S176" s="17">
        <v>5.75</v>
      </c>
      <c r="T176" s="16">
        <f t="shared" si="10"/>
        <v>6667.5</v>
      </c>
      <c r="U176" s="18">
        <v>10755.77</v>
      </c>
      <c r="V176" s="19">
        <f t="shared" si="11"/>
        <v>1.6131638545181852</v>
      </c>
      <c r="W176" s="19">
        <f t="shared" si="12"/>
        <v>1.7380952380952381</v>
      </c>
      <c r="X176" s="19">
        <f t="shared" si="13"/>
        <v>1.7857142857142856</v>
      </c>
      <c r="Y176" s="12" t="s">
        <v>293</v>
      </c>
      <c r="Z176" s="12" t="s">
        <v>70</v>
      </c>
      <c r="AA176" s="18">
        <v>-2153.5700000000002</v>
      </c>
      <c r="AB176" s="17">
        <v>8.0549999999999997</v>
      </c>
      <c r="AC176" s="12" t="s">
        <v>71</v>
      </c>
      <c r="AD176" s="12" t="str">
        <f t="shared" si="14"/>
        <v>Rs 2+</v>
      </c>
      <c r="AE176" s="20">
        <v>1</v>
      </c>
    </row>
    <row r="177" spans="1:31" x14ac:dyDescent="0.3">
      <c r="A177" s="12" t="s">
        <v>103</v>
      </c>
      <c r="B177" s="12" t="s">
        <v>296</v>
      </c>
      <c r="C177" s="12" t="s">
        <v>293</v>
      </c>
      <c r="D177" s="12" t="s">
        <v>68</v>
      </c>
      <c r="E177" s="13">
        <v>1685.3</v>
      </c>
      <c r="F177" s="13">
        <v>120.3</v>
      </c>
      <c r="G177" s="13">
        <v>163.4</v>
      </c>
      <c r="H177" s="14">
        <v>934.45</v>
      </c>
      <c r="I177" s="12" t="s">
        <v>284</v>
      </c>
      <c r="J177" s="14">
        <v>890</v>
      </c>
      <c r="K177" s="15">
        <v>4</v>
      </c>
      <c r="L177" s="16">
        <v>1700</v>
      </c>
      <c r="M177" s="16">
        <v>4960</v>
      </c>
      <c r="N177" s="17">
        <v>3.9</v>
      </c>
      <c r="O177" s="17">
        <v>10.25</v>
      </c>
      <c r="P177" s="17">
        <v>0.7</v>
      </c>
      <c r="Q177" s="17">
        <v>0.8</v>
      </c>
      <c r="R177" s="17">
        <v>3.95</v>
      </c>
      <c r="S177" s="17">
        <v>0.75</v>
      </c>
      <c r="T177" s="16">
        <f t="shared" si="10"/>
        <v>6715</v>
      </c>
      <c r="U177" s="18">
        <v>-5652.47</v>
      </c>
      <c r="V177" s="19">
        <f t="shared" si="11"/>
        <v>-0.84176768428890547</v>
      </c>
      <c r="W177" s="19">
        <f t="shared" si="12"/>
        <v>-0.810126582278481</v>
      </c>
      <c r="X177" s="19">
        <f t="shared" si="13"/>
        <v>1.5949367088607596</v>
      </c>
      <c r="Y177" s="12" t="s">
        <v>296</v>
      </c>
      <c r="Z177" s="12" t="s">
        <v>70</v>
      </c>
      <c r="AA177" s="18">
        <v>-5652.47</v>
      </c>
      <c r="AB177" s="17">
        <v>1.76</v>
      </c>
      <c r="AC177" s="12" t="s">
        <v>71</v>
      </c>
      <c r="AD177" s="12" t="str">
        <f t="shared" si="14"/>
        <v>Rs 2+</v>
      </c>
      <c r="AE177" s="20">
        <v>1</v>
      </c>
    </row>
    <row r="178" spans="1:31" x14ac:dyDescent="0.3">
      <c r="A178" s="12" t="s">
        <v>195</v>
      </c>
      <c r="B178" s="12" t="s">
        <v>291</v>
      </c>
      <c r="C178" s="12" t="s">
        <v>296</v>
      </c>
      <c r="D178" s="12" t="s">
        <v>68</v>
      </c>
      <c r="E178" s="13">
        <v>82.1</v>
      </c>
      <c r="F178" s="13">
        <v>19.399999999999999</v>
      </c>
      <c r="G178" s="13">
        <v>30.2</v>
      </c>
      <c r="H178" s="14">
        <v>1760</v>
      </c>
      <c r="I178" s="12" t="s">
        <v>297</v>
      </c>
      <c r="J178" s="14">
        <v>1680</v>
      </c>
      <c r="K178" s="15">
        <v>4</v>
      </c>
      <c r="L178" s="16">
        <v>375</v>
      </c>
      <c r="M178" s="16">
        <v>429</v>
      </c>
      <c r="N178" s="17">
        <v>10.85</v>
      </c>
      <c r="O178" s="17">
        <v>17.149999999999999</v>
      </c>
      <c r="P178" s="17">
        <v>10.85</v>
      </c>
      <c r="Q178" s="17">
        <v>14.4</v>
      </c>
      <c r="R178" s="17">
        <v>10.9</v>
      </c>
      <c r="S178" s="17">
        <v>14.35</v>
      </c>
      <c r="T178" s="16">
        <f t="shared" si="10"/>
        <v>4087.5</v>
      </c>
      <c r="U178" s="18">
        <v>1045</v>
      </c>
      <c r="V178" s="19">
        <f t="shared" si="11"/>
        <v>0.25565749235474006</v>
      </c>
      <c r="W178" s="19">
        <f t="shared" si="12"/>
        <v>0.3165137614678899</v>
      </c>
      <c r="X178" s="19">
        <f t="shared" si="13"/>
        <v>0.57339449541284382</v>
      </c>
      <c r="Y178" s="12" t="s">
        <v>298</v>
      </c>
      <c r="Z178" s="12" t="s">
        <v>84</v>
      </c>
      <c r="AA178" s="18">
        <v>-348.74</v>
      </c>
      <c r="AB178" s="17">
        <v>1.0489999999999999</v>
      </c>
      <c r="AC178" s="12" t="s">
        <v>71</v>
      </c>
      <c r="AD178" s="12" t="str">
        <f t="shared" si="14"/>
        <v>Rs 2+</v>
      </c>
      <c r="AE178" s="20">
        <v>1</v>
      </c>
    </row>
    <row r="179" spans="1:31" x14ac:dyDescent="0.3">
      <c r="A179" s="12" t="s">
        <v>247</v>
      </c>
      <c r="B179" s="12" t="s">
        <v>291</v>
      </c>
      <c r="C179" s="12" t="s">
        <v>299</v>
      </c>
      <c r="D179" s="12" t="s">
        <v>77</v>
      </c>
      <c r="E179" s="13">
        <v>-11.4</v>
      </c>
      <c r="F179" s="13">
        <v>-0.1</v>
      </c>
      <c r="G179" s="13">
        <v>4.7</v>
      </c>
      <c r="H179" s="14">
        <v>2187</v>
      </c>
      <c r="I179" s="12" t="s">
        <v>297</v>
      </c>
      <c r="J179" s="14">
        <v>2300</v>
      </c>
      <c r="K179" s="15">
        <v>6</v>
      </c>
      <c r="L179" s="16">
        <v>400</v>
      </c>
      <c r="M179" s="16">
        <v>4765</v>
      </c>
      <c r="N179" s="17">
        <v>17.899999999999999</v>
      </c>
      <c r="O179" s="17">
        <v>18</v>
      </c>
      <c r="P179" s="17">
        <v>8.0500000000000007</v>
      </c>
      <c r="Q179" s="17">
        <v>9.0500000000000007</v>
      </c>
      <c r="R179" s="17">
        <v>17.95</v>
      </c>
      <c r="S179" s="17">
        <v>9</v>
      </c>
      <c r="T179" s="16">
        <f t="shared" si="10"/>
        <v>7180</v>
      </c>
      <c r="U179" s="18">
        <v>-3745.15</v>
      </c>
      <c r="V179" s="19">
        <f t="shared" si="11"/>
        <v>-0.521608635097493</v>
      </c>
      <c r="W179" s="19">
        <f t="shared" si="12"/>
        <v>-0.49860724233983289</v>
      </c>
      <c r="X179" s="19">
        <f t="shared" si="13"/>
        <v>2.7855153203342198E-3</v>
      </c>
      <c r="Y179" s="12" t="s">
        <v>291</v>
      </c>
      <c r="Z179" s="12" t="s">
        <v>70</v>
      </c>
      <c r="AA179" s="18">
        <v>-3745.15</v>
      </c>
      <c r="AB179" s="17">
        <v>-1.093</v>
      </c>
      <c r="AC179" s="12" t="s">
        <v>71</v>
      </c>
      <c r="AD179" s="12" t="str">
        <f t="shared" si="14"/>
        <v>Rs 2+</v>
      </c>
      <c r="AE179" s="20">
        <v>1</v>
      </c>
    </row>
    <row r="180" spans="1:31" x14ac:dyDescent="0.3">
      <c r="A180" s="12" t="s">
        <v>300</v>
      </c>
      <c r="B180" s="12" t="s">
        <v>284</v>
      </c>
      <c r="C180" s="12" t="s">
        <v>291</v>
      </c>
      <c r="D180" s="12" t="s">
        <v>68</v>
      </c>
      <c r="E180" s="13">
        <v>28.1</v>
      </c>
      <c r="F180" s="13">
        <v>65.8</v>
      </c>
      <c r="G180" s="13">
        <v>6.3</v>
      </c>
      <c r="H180" s="14">
        <v>2810.4</v>
      </c>
      <c r="I180" s="12" t="s">
        <v>297</v>
      </c>
      <c r="J180" s="14">
        <v>2650</v>
      </c>
      <c r="K180" s="15">
        <v>3</v>
      </c>
      <c r="L180" s="16">
        <v>175</v>
      </c>
      <c r="M180" s="16">
        <v>447</v>
      </c>
      <c r="N180" s="17">
        <v>34.9</v>
      </c>
      <c r="O180" s="17">
        <v>54.85</v>
      </c>
      <c r="P180" s="17">
        <v>25.6</v>
      </c>
      <c r="Q180" s="17">
        <v>48.65</v>
      </c>
      <c r="R180" s="17">
        <v>34.950000000000003</v>
      </c>
      <c r="S180" s="17">
        <v>48.6</v>
      </c>
      <c r="T180" s="16">
        <f t="shared" si="10"/>
        <v>6116.2500000000009</v>
      </c>
      <c r="U180" s="18">
        <v>2176.25</v>
      </c>
      <c r="V180" s="19">
        <f t="shared" si="11"/>
        <v>0.35581442877580211</v>
      </c>
      <c r="W180" s="19">
        <f t="shared" si="12"/>
        <v>0.39055793991416299</v>
      </c>
      <c r="X180" s="19">
        <f t="shared" si="13"/>
        <v>0.56938483547925589</v>
      </c>
      <c r="Y180" s="12" t="s">
        <v>301</v>
      </c>
      <c r="Z180" s="12" t="s">
        <v>84</v>
      </c>
      <c r="AA180" s="18">
        <v>4251.22</v>
      </c>
      <c r="AB180" s="17">
        <v>3.1190000000000002</v>
      </c>
      <c r="AC180" s="12" t="s">
        <v>71</v>
      </c>
      <c r="AD180" s="12" t="str">
        <f t="shared" si="14"/>
        <v>Rs 2+</v>
      </c>
      <c r="AE180" s="20">
        <v>1</v>
      </c>
    </row>
    <row r="181" spans="1:31" x14ac:dyDescent="0.3">
      <c r="A181" s="12" t="s">
        <v>302</v>
      </c>
      <c r="B181" s="12" t="s">
        <v>284</v>
      </c>
      <c r="C181" s="12" t="s">
        <v>291</v>
      </c>
      <c r="D181" s="12" t="s">
        <v>68</v>
      </c>
      <c r="E181" s="13">
        <v>23.8</v>
      </c>
      <c r="F181" s="13">
        <v>9</v>
      </c>
      <c r="G181" s="13">
        <v>13.3</v>
      </c>
      <c r="H181" s="14">
        <v>927.6</v>
      </c>
      <c r="I181" s="12" t="s">
        <v>297</v>
      </c>
      <c r="J181" s="14">
        <v>840</v>
      </c>
      <c r="K181" s="15">
        <v>9</v>
      </c>
      <c r="L181" s="16">
        <v>650</v>
      </c>
      <c r="M181" s="16">
        <v>547</v>
      </c>
      <c r="N181" s="17">
        <v>8</v>
      </c>
      <c r="O181" s="17">
        <v>10.7</v>
      </c>
      <c r="P181" s="17">
        <v>3.95</v>
      </c>
      <c r="Q181" s="17">
        <v>5.25</v>
      </c>
      <c r="R181" s="17">
        <v>8.0500000000000007</v>
      </c>
      <c r="S181" s="17">
        <v>5.2</v>
      </c>
      <c r="T181" s="16">
        <f t="shared" si="10"/>
        <v>5232.5000000000009</v>
      </c>
      <c r="U181" s="18">
        <v>-2166.94</v>
      </c>
      <c r="V181" s="19">
        <f t="shared" si="11"/>
        <v>-0.41413091256569512</v>
      </c>
      <c r="W181" s="19">
        <f t="shared" si="12"/>
        <v>-0.35403726708074534</v>
      </c>
      <c r="X181" s="19">
        <f t="shared" si="13"/>
        <v>0.32919254658385078</v>
      </c>
      <c r="Y181" s="12" t="s">
        <v>284</v>
      </c>
      <c r="Z181" s="12" t="s">
        <v>70</v>
      </c>
      <c r="AA181" s="18">
        <v>-2166.94</v>
      </c>
      <c r="AB181" s="17">
        <v>-0.63600000000000001</v>
      </c>
      <c r="AC181" s="12" t="s">
        <v>71</v>
      </c>
      <c r="AD181" s="12" t="str">
        <f t="shared" si="14"/>
        <v>Rs 2+</v>
      </c>
      <c r="AE181" s="20">
        <v>1</v>
      </c>
    </row>
    <row r="182" spans="1:31" x14ac:dyDescent="0.3">
      <c r="A182" s="12" t="s">
        <v>99</v>
      </c>
      <c r="B182" s="12" t="s">
        <v>284</v>
      </c>
      <c r="C182" s="12" t="s">
        <v>291</v>
      </c>
      <c r="D182" s="12" t="s">
        <v>68</v>
      </c>
      <c r="E182" s="13">
        <v>18.7</v>
      </c>
      <c r="F182" s="13">
        <v>40.1</v>
      </c>
      <c r="G182" s="13">
        <v>23.6</v>
      </c>
      <c r="H182" s="14">
        <v>483.85</v>
      </c>
      <c r="I182" s="12" t="s">
        <v>297</v>
      </c>
      <c r="J182" s="14">
        <v>450</v>
      </c>
      <c r="K182" s="15">
        <v>7</v>
      </c>
      <c r="L182" s="16">
        <v>1050</v>
      </c>
      <c r="M182" s="16">
        <v>807</v>
      </c>
      <c r="N182" s="17">
        <v>5.5</v>
      </c>
      <c r="O182" s="17">
        <v>7.5</v>
      </c>
      <c r="P182" s="17">
        <v>4.3499999999999996</v>
      </c>
      <c r="Q182" s="17">
        <v>5.15</v>
      </c>
      <c r="R182" s="17">
        <v>5.55</v>
      </c>
      <c r="S182" s="17">
        <v>5.0999999999999996</v>
      </c>
      <c r="T182" s="16">
        <f t="shared" si="10"/>
        <v>5827.5</v>
      </c>
      <c r="U182" s="18">
        <v>-756.25</v>
      </c>
      <c r="V182" s="19">
        <f t="shared" si="11"/>
        <v>-0.12977262977262977</v>
      </c>
      <c r="W182" s="19">
        <f t="shared" si="12"/>
        <v>-8.1081081081081141E-2</v>
      </c>
      <c r="X182" s="19">
        <f t="shared" si="13"/>
        <v>0.35135135135135132</v>
      </c>
      <c r="Y182" s="12" t="s">
        <v>303</v>
      </c>
      <c r="Z182" s="12" t="s">
        <v>70</v>
      </c>
      <c r="AA182" s="18">
        <v>-1526.48</v>
      </c>
      <c r="AB182" s="17">
        <v>2.359</v>
      </c>
      <c r="AC182" s="12" t="s">
        <v>71</v>
      </c>
      <c r="AD182" s="12" t="str">
        <f t="shared" si="14"/>
        <v>Rs 2+</v>
      </c>
      <c r="AE182" s="20">
        <v>1</v>
      </c>
    </row>
    <row r="183" spans="1:31" x14ac:dyDescent="0.3">
      <c r="A183" s="12" t="s">
        <v>304</v>
      </c>
      <c r="B183" s="12" t="s">
        <v>303</v>
      </c>
      <c r="C183" s="12" t="s">
        <v>284</v>
      </c>
      <c r="D183" s="12" t="s">
        <v>77</v>
      </c>
      <c r="E183" s="13">
        <v>-26.2</v>
      </c>
      <c r="F183" s="13">
        <v>-57.5</v>
      </c>
      <c r="G183" s="13">
        <v>4.2</v>
      </c>
      <c r="H183" s="14">
        <v>1073.5</v>
      </c>
      <c r="I183" s="12" t="s">
        <v>297</v>
      </c>
      <c r="J183" s="14">
        <v>1120</v>
      </c>
      <c r="K183" s="15">
        <v>5</v>
      </c>
      <c r="L183" s="16">
        <v>625</v>
      </c>
      <c r="M183" s="16">
        <v>2618</v>
      </c>
      <c r="N183" s="17">
        <v>10</v>
      </c>
      <c r="O183" s="17">
        <v>24.85</v>
      </c>
      <c r="P183" s="17">
        <v>9.9499999999999993</v>
      </c>
      <c r="Q183" s="17">
        <v>14.15</v>
      </c>
      <c r="R183" s="17">
        <v>10.050000000000001</v>
      </c>
      <c r="S183" s="17">
        <v>14.1</v>
      </c>
      <c r="T183" s="16">
        <f t="shared" si="10"/>
        <v>6281.25</v>
      </c>
      <c r="U183" s="18">
        <v>2313.35</v>
      </c>
      <c r="V183" s="19">
        <f t="shared" si="11"/>
        <v>0.36829452736318408</v>
      </c>
      <c r="W183" s="19">
        <f t="shared" si="12"/>
        <v>0.4029850746268655</v>
      </c>
      <c r="X183" s="19">
        <f t="shared" si="13"/>
        <v>1.472636815920398</v>
      </c>
      <c r="Y183" s="12" t="s">
        <v>305</v>
      </c>
      <c r="Z183" s="12" t="s">
        <v>70</v>
      </c>
      <c r="AA183" s="18">
        <v>-3090.2</v>
      </c>
      <c r="AB183" s="17">
        <v>0.71499999999999997</v>
      </c>
      <c r="AC183" s="12" t="s">
        <v>71</v>
      </c>
      <c r="AD183" s="12" t="str">
        <f t="shared" si="14"/>
        <v>Rs 2+</v>
      </c>
      <c r="AE183" s="20">
        <v>1</v>
      </c>
    </row>
    <row r="184" spans="1:31" x14ac:dyDescent="0.3">
      <c r="A184" s="12" t="s">
        <v>120</v>
      </c>
      <c r="B184" s="12" t="s">
        <v>303</v>
      </c>
      <c r="C184" s="12" t="s">
        <v>284</v>
      </c>
      <c r="D184" s="12" t="s">
        <v>68</v>
      </c>
      <c r="E184" s="13">
        <v>41.6</v>
      </c>
      <c r="F184" s="13">
        <v>29.5</v>
      </c>
      <c r="G184" s="13">
        <v>24.3</v>
      </c>
      <c r="H184" s="14">
        <v>3561.8</v>
      </c>
      <c r="I184" s="12" t="s">
        <v>297</v>
      </c>
      <c r="J184" s="14">
        <v>3400</v>
      </c>
      <c r="K184" s="15">
        <v>3</v>
      </c>
      <c r="L184" s="16">
        <v>175</v>
      </c>
      <c r="M184" s="16">
        <v>3096</v>
      </c>
      <c r="N184" s="17">
        <v>35.549999999999997</v>
      </c>
      <c r="O184" s="17">
        <v>53.25</v>
      </c>
      <c r="P184" s="17">
        <v>35.5</v>
      </c>
      <c r="Q184" s="17">
        <v>45.55</v>
      </c>
      <c r="R184" s="17">
        <v>35.6</v>
      </c>
      <c r="S184" s="17">
        <v>45.5</v>
      </c>
      <c r="T184" s="16">
        <f t="shared" si="10"/>
        <v>6230</v>
      </c>
      <c r="U184" s="18">
        <v>1525.27</v>
      </c>
      <c r="V184" s="19">
        <f t="shared" si="11"/>
        <v>0.24482664526484751</v>
      </c>
      <c r="W184" s="19">
        <f t="shared" si="12"/>
        <v>0.2780898876404494</v>
      </c>
      <c r="X184" s="19">
        <f t="shared" si="13"/>
        <v>0.4957865168539326</v>
      </c>
      <c r="Y184" s="12" t="s">
        <v>306</v>
      </c>
      <c r="Z184" s="12" t="s">
        <v>84</v>
      </c>
      <c r="AA184" s="18">
        <v>-878.22</v>
      </c>
      <c r="AB184" s="17">
        <v>2.8079999999999998</v>
      </c>
      <c r="AC184" s="12" t="s">
        <v>71</v>
      </c>
      <c r="AD184" s="12" t="str">
        <f t="shared" si="14"/>
        <v>Rs 2+</v>
      </c>
      <c r="AE184" s="20">
        <v>1</v>
      </c>
    </row>
    <row r="185" spans="1:31" x14ac:dyDescent="0.3">
      <c r="A185" s="12" t="s">
        <v>86</v>
      </c>
      <c r="B185" s="12" t="s">
        <v>307</v>
      </c>
      <c r="C185" s="12" t="s">
        <v>303</v>
      </c>
      <c r="D185" s="12" t="s">
        <v>68</v>
      </c>
      <c r="E185" s="13">
        <v>460.4</v>
      </c>
      <c r="F185" s="13">
        <v>27.1</v>
      </c>
      <c r="G185" s="13">
        <v>9.1</v>
      </c>
      <c r="H185" s="14">
        <v>1804.85</v>
      </c>
      <c r="I185" s="12" t="s">
        <v>297</v>
      </c>
      <c r="J185" s="14">
        <v>1720</v>
      </c>
      <c r="K185" s="15">
        <v>4</v>
      </c>
      <c r="L185" s="16">
        <v>350</v>
      </c>
      <c r="M185" s="16">
        <v>472</v>
      </c>
      <c r="N185" s="17">
        <v>18.75</v>
      </c>
      <c r="O185" s="17">
        <v>28</v>
      </c>
      <c r="P185" s="17">
        <v>17.25</v>
      </c>
      <c r="Q185" s="17">
        <v>19.45</v>
      </c>
      <c r="R185" s="17">
        <v>18.8</v>
      </c>
      <c r="S185" s="17">
        <v>19.399999999999999</v>
      </c>
      <c r="T185" s="16">
        <f t="shared" si="10"/>
        <v>6580</v>
      </c>
      <c r="U185" s="18">
        <v>-120.61</v>
      </c>
      <c r="V185" s="19">
        <f t="shared" si="11"/>
        <v>-1.8329787234042553E-2</v>
      </c>
      <c r="W185" s="19">
        <f t="shared" si="12"/>
        <v>3.1914893617021267E-2</v>
      </c>
      <c r="X185" s="19">
        <f t="shared" si="13"/>
        <v>0.4893617021276595</v>
      </c>
      <c r="Y185" s="12" t="s">
        <v>298</v>
      </c>
      <c r="Z185" s="12" t="s">
        <v>70</v>
      </c>
      <c r="AA185" s="18">
        <v>-2243.04</v>
      </c>
      <c r="AB185" s="17">
        <v>2.214</v>
      </c>
      <c r="AC185" s="12" t="s">
        <v>71</v>
      </c>
      <c r="AD185" s="12" t="str">
        <f t="shared" si="14"/>
        <v>Rs 2+</v>
      </c>
      <c r="AE185" s="20">
        <v>1</v>
      </c>
    </row>
    <row r="186" spans="1:31" x14ac:dyDescent="0.3">
      <c r="A186" s="12" t="s">
        <v>308</v>
      </c>
      <c r="B186" s="12" t="s">
        <v>307</v>
      </c>
      <c r="C186" s="12" t="s">
        <v>303</v>
      </c>
      <c r="D186" s="12" t="s">
        <v>68</v>
      </c>
      <c r="E186" s="13">
        <v>151</v>
      </c>
      <c r="F186" s="13">
        <v>106.6</v>
      </c>
      <c r="G186" s="13">
        <v>140.4</v>
      </c>
      <c r="H186" s="14">
        <v>748.6</v>
      </c>
      <c r="I186" s="12" t="s">
        <v>297</v>
      </c>
      <c r="J186" s="14">
        <v>700</v>
      </c>
      <c r="K186" s="15">
        <v>5</v>
      </c>
      <c r="L186" s="16">
        <v>850</v>
      </c>
      <c r="M186" s="16">
        <v>1151</v>
      </c>
      <c r="N186" s="17">
        <v>6</v>
      </c>
      <c r="O186" s="17">
        <v>9.5</v>
      </c>
      <c r="P186" s="17">
        <v>5.95</v>
      </c>
      <c r="Q186" s="17">
        <v>7.95</v>
      </c>
      <c r="R186" s="17">
        <v>6.05</v>
      </c>
      <c r="S186" s="17">
        <v>7.9</v>
      </c>
      <c r="T186" s="16">
        <f t="shared" si="10"/>
        <v>5142.5</v>
      </c>
      <c r="U186" s="18">
        <v>1391.51</v>
      </c>
      <c r="V186" s="19">
        <f t="shared" si="11"/>
        <v>0.27059017987360234</v>
      </c>
      <c r="W186" s="19">
        <f t="shared" si="12"/>
        <v>0.30578512396694224</v>
      </c>
      <c r="X186" s="19">
        <f t="shared" si="13"/>
        <v>0.57024793388429762</v>
      </c>
      <c r="Y186" s="12" t="s">
        <v>298</v>
      </c>
      <c r="Z186" s="12" t="s">
        <v>70</v>
      </c>
      <c r="AA186" s="18">
        <v>-2051.9499999999998</v>
      </c>
      <c r="AB186" s="17">
        <v>2.56</v>
      </c>
      <c r="AC186" s="12" t="s">
        <v>71</v>
      </c>
      <c r="AD186" s="12" t="str">
        <f t="shared" si="14"/>
        <v>Rs 2+</v>
      </c>
      <c r="AE186" s="20">
        <v>1</v>
      </c>
    </row>
    <row r="187" spans="1:31" x14ac:dyDescent="0.3">
      <c r="A187" s="12" t="s">
        <v>309</v>
      </c>
      <c r="B187" s="12" t="s">
        <v>307</v>
      </c>
      <c r="C187" s="12" t="s">
        <v>303</v>
      </c>
      <c r="D187" s="12" t="s">
        <v>77</v>
      </c>
      <c r="E187" s="13">
        <v>-32.1</v>
      </c>
      <c r="F187" s="13">
        <v>-51.2</v>
      </c>
      <c r="G187" s="13">
        <v>-1.6</v>
      </c>
      <c r="H187" s="14">
        <v>382</v>
      </c>
      <c r="I187" s="12" t="s">
        <v>297</v>
      </c>
      <c r="J187" s="14">
        <v>390</v>
      </c>
      <c r="K187" s="15">
        <v>3</v>
      </c>
      <c r="L187" s="16">
        <v>1350</v>
      </c>
      <c r="M187" s="16">
        <v>9250</v>
      </c>
      <c r="N187" s="17">
        <v>5.55</v>
      </c>
      <c r="O187" s="17">
        <v>7.65</v>
      </c>
      <c r="P187" s="17">
        <v>4.4000000000000004</v>
      </c>
      <c r="Q187" s="17">
        <v>7.1</v>
      </c>
      <c r="R187" s="17">
        <v>5.6</v>
      </c>
      <c r="S187" s="17">
        <v>7.05</v>
      </c>
      <c r="T187" s="16">
        <f t="shared" si="10"/>
        <v>7559.9999999999991</v>
      </c>
      <c r="U187" s="18">
        <v>1717.84</v>
      </c>
      <c r="V187" s="19">
        <f t="shared" si="11"/>
        <v>0.22722751322751325</v>
      </c>
      <c r="W187" s="19">
        <f t="shared" si="12"/>
        <v>0.2589285714285714</v>
      </c>
      <c r="X187" s="19">
        <f t="shared" si="13"/>
        <v>0.36607142857142883</v>
      </c>
      <c r="Y187" s="12" t="s">
        <v>310</v>
      </c>
      <c r="Z187" s="12"/>
      <c r="AA187" s="18"/>
      <c r="AB187" s="17">
        <v>1.24</v>
      </c>
      <c r="AC187" s="12" t="s">
        <v>71</v>
      </c>
      <c r="AD187" s="12" t="str">
        <f t="shared" si="14"/>
        <v>Rs 2+</v>
      </c>
      <c r="AE187" s="20">
        <v>1</v>
      </c>
    </row>
    <row r="188" spans="1:31" x14ac:dyDescent="0.3">
      <c r="A188" s="12" t="s">
        <v>311</v>
      </c>
      <c r="B188" s="12" t="s">
        <v>307</v>
      </c>
      <c r="C188" s="12" t="s">
        <v>303</v>
      </c>
      <c r="D188" s="12" t="s">
        <v>68</v>
      </c>
      <c r="E188" s="13">
        <v>14.1</v>
      </c>
      <c r="F188" s="13">
        <v>8.3000000000000007</v>
      </c>
      <c r="G188" s="13">
        <v>10.4</v>
      </c>
      <c r="H188" s="14">
        <v>3957.7</v>
      </c>
      <c r="I188" s="12" t="s">
        <v>297</v>
      </c>
      <c r="J188" s="14">
        <v>3880</v>
      </c>
      <c r="K188" s="15">
        <v>4</v>
      </c>
      <c r="L188" s="16">
        <v>175</v>
      </c>
      <c r="M188" s="16">
        <v>1318</v>
      </c>
      <c r="N188" s="17">
        <v>44</v>
      </c>
      <c r="O188" s="17">
        <v>44</v>
      </c>
      <c r="P188" s="17">
        <v>20.55</v>
      </c>
      <c r="Q188" s="17">
        <v>32.049999999999997</v>
      </c>
      <c r="R188" s="17">
        <v>44.05</v>
      </c>
      <c r="S188" s="17">
        <v>32</v>
      </c>
      <c r="T188" s="16">
        <f t="shared" si="10"/>
        <v>7708.7499999999991</v>
      </c>
      <c r="U188" s="18">
        <v>-2303.27</v>
      </c>
      <c r="V188" s="19">
        <f t="shared" si="11"/>
        <v>-0.29878644397600135</v>
      </c>
      <c r="W188" s="19">
        <f t="shared" si="12"/>
        <v>-0.27355278093076041</v>
      </c>
      <c r="X188" s="19">
        <f t="shared" si="13"/>
        <v>-1.1350737797956034E-3</v>
      </c>
      <c r="Y188" s="12" t="s">
        <v>307</v>
      </c>
      <c r="Z188" s="12" t="s">
        <v>70</v>
      </c>
      <c r="AA188" s="18">
        <v>-2303.27</v>
      </c>
      <c r="AB188" s="17">
        <v>-0.188</v>
      </c>
      <c r="AC188" s="12" t="s">
        <v>71</v>
      </c>
      <c r="AD188" s="12" t="str">
        <f t="shared" si="14"/>
        <v>Rs 2+</v>
      </c>
      <c r="AE188" s="20">
        <v>1</v>
      </c>
    </row>
    <row r="189" spans="1:31" x14ac:dyDescent="0.3">
      <c r="A189" s="12" t="s">
        <v>134</v>
      </c>
      <c r="B189" s="12" t="s">
        <v>307</v>
      </c>
      <c r="C189" s="12" t="s">
        <v>303</v>
      </c>
      <c r="D189" s="12" t="s">
        <v>68</v>
      </c>
      <c r="E189" s="13">
        <v>164.6</v>
      </c>
      <c r="F189" s="13">
        <v>59.4</v>
      </c>
      <c r="G189" s="13">
        <v>38.200000000000003</v>
      </c>
      <c r="H189" s="14">
        <v>1723.4</v>
      </c>
      <c r="I189" s="12" t="s">
        <v>297</v>
      </c>
      <c r="J189" s="14">
        <v>1660</v>
      </c>
      <c r="K189" s="15">
        <v>3</v>
      </c>
      <c r="L189" s="16">
        <v>350</v>
      </c>
      <c r="M189" s="16">
        <v>1145</v>
      </c>
      <c r="N189" s="17">
        <v>21.2</v>
      </c>
      <c r="O189" s="17">
        <v>21.9</v>
      </c>
      <c r="P189" s="17">
        <v>6.4</v>
      </c>
      <c r="Q189" s="17">
        <v>7</v>
      </c>
      <c r="R189" s="17">
        <v>21.25</v>
      </c>
      <c r="S189" s="17">
        <v>6.95</v>
      </c>
      <c r="T189" s="16">
        <f t="shared" si="10"/>
        <v>7437.5</v>
      </c>
      <c r="U189" s="18">
        <v>-5257.62</v>
      </c>
      <c r="V189" s="19">
        <f t="shared" si="11"/>
        <v>-0.70690689075630253</v>
      </c>
      <c r="W189" s="19">
        <f t="shared" si="12"/>
        <v>-0.67294117647058815</v>
      </c>
      <c r="X189" s="19">
        <f t="shared" si="13"/>
        <v>3.0588235294117583E-2</v>
      </c>
      <c r="Y189" s="12" t="s">
        <v>307</v>
      </c>
      <c r="Z189" s="12" t="s">
        <v>70</v>
      </c>
      <c r="AA189" s="18">
        <v>-5257.62</v>
      </c>
      <c r="AB189" s="17">
        <v>-2.4209999999999998</v>
      </c>
      <c r="AC189" s="12" t="s">
        <v>71</v>
      </c>
      <c r="AD189" s="12" t="str">
        <f t="shared" si="14"/>
        <v>Rs 2+</v>
      </c>
      <c r="AE189" s="20">
        <v>1</v>
      </c>
    </row>
    <row r="190" spans="1:31" x14ac:dyDescent="0.3">
      <c r="A190" s="12" t="s">
        <v>172</v>
      </c>
      <c r="B190" s="12" t="s">
        <v>307</v>
      </c>
      <c r="C190" s="12" t="s">
        <v>303</v>
      </c>
      <c r="D190" s="12" t="s">
        <v>77</v>
      </c>
      <c r="E190" s="13">
        <v>-53.3</v>
      </c>
      <c r="F190" s="13">
        <v>-43.8</v>
      </c>
      <c r="G190" s="13">
        <v>8.1999999999999993</v>
      </c>
      <c r="H190" s="14">
        <v>140.55000000000001</v>
      </c>
      <c r="I190" s="12" t="s">
        <v>297</v>
      </c>
      <c r="J190" s="14">
        <v>152</v>
      </c>
      <c r="K190" s="15">
        <v>11</v>
      </c>
      <c r="L190" s="16">
        <v>4700</v>
      </c>
      <c r="M190" s="16">
        <v>320</v>
      </c>
      <c r="N190" s="17">
        <v>1.5</v>
      </c>
      <c r="O190" s="17">
        <v>1.5</v>
      </c>
      <c r="P190" s="17">
        <v>0.7</v>
      </c>
      <c r="Q190" s="17">
        <v>0.95</v>
      </c>
      <c r="R190" s="17">
        <v>1.55</v>
      </c>
      <c r="S190" s="17">
        <v>0.9</v>
      </c>
      <c r="T190" s="16">
        <f t="shared" si="10"/>
        <v>7285</v>
      </c>
      <c r="U190" s="18">
        <v>-3343.9</v>
      </c>
      <c r="V190" s="19">
        <f t="shared" si="11"/>
        <v>-0.45901166781056968</v>
      </c>
      <c r="W190" s="19">
        <f t="shared" si="12"/>
        <v>-0.41935483870967738</v>
      </c>
      <c r="X190" s="19">
        <f t="shared" si="13"/>
        <v>-3.2258064516129115E-2</v>
      </c>
      <c r="Y190" s="12" t="s">
        <v>307</v>
      </c>
      <c r="Z190" s="12" t="s">
        <v>70</v>
      </c>
      <c r="AA190" s="18">
        <v>-3343.9</v>
      </c>
      <c r="AB190" s="17">
        <v>-1.19</v>
      </c>
      <c r="AC190" s="12" t="s">
        <v>102</v>
      </c>
      <c r="AD190" s="12" t="str">
        <f t="shared" si="14"/>
        <v>Rs 1-2</v>
      </c>
      <c r="AE190" s="20">
        <v>1</v>
      </c>
    </row>
    <row r="191" spans="1:31" x14ac:dyDescent="0.3">
      <c r="A191" s="12" t="s">
        <v>136</v>
      </c>
      <c r="B191" s="12" t="s">
        <v>312</v>
      </c>
      <c r="C191" s="12" t="s">
        <v>307</v>
      </c>
      <c r="D191" s="12" t="s">
        <v>77</v>
      </c>
      <c r="E191" s="13">
        <v>-88.1</v>
      </c>
      <c r="F191" s="13">
        <v>-69.900000000000006</v>
      </c>
      <c r="G191" s="13">
        <v>-2.7</v>
      </c>
      <c r="H191" s="14">
        <v>170.6</v>
      </c>
      <c r="I191" s="12" t="s">
        <v>297</v>
      </c>
      <c r="J191" s="14">
        <v>172.5</v>
      </c>
      <c r="K191" s="15">
        <v>1</v>
      </c>
      <c r="L191" s="16">
        <v>3600</v>
      </c>
      <c r="M191" s="16">
        <v>2020</v>
      </c>
      <c r="N191" s="17">
        <v>2.15</v>
      </c>
      <c r="O191" s="17">
        <v>2.4500000000000002</v>
      </c>
      <c r="P191" s="17">
        <v>1</v>
      </c>
      <c r="Q191" s="17">
        <v>1.05</v>
      </c>
      <c r="R191" s="17">
        <v>2.2000000000000002</v>
      </c>
      <c r="S191" s="17">
        <v>1</v>
      </c>
      <c r="T191" s="16">
        <f t="shared" si="10"/>
        <v>7920.0000000000009</v>
      </c>
      <c r="U191" s="18">
        <v>-4723.28</v>
      </c>
      <c r="V191" s="19">
        <f t="shared" si="11"/>
        <v>-0.59637373737373722</v>
      </c>
      <c r="W191" s="19">
        <f t="shared" si="12"/>
        <v>-0.54545454545454541</v>
      </c>
      <c r="X191" s="19">
        <f t="shared" si="13"/>
        <v>0.11363636363636354</v>
      </c>
      <c r="Y191" s="12" t="s">
        <v>312</v>
      </c>
      <c r="Z191" s="12" t="s">
        <v>70</v>
      </c>
      <c r="AA191" s="18">
        <v>-4723.28</v>
      </c>
      <c r="AB191" s="17">
        <v>-4.5949999999999998</v>
      </c>
      <c r="AC191" s="12" t="s">
        <v>71</v>
      </c>
      <c r="AD191" s="12" t="str">
        <f t="shared" si="14"/>
        <v>Rs 2+</v>
      </c>
      <c r="AE191" s="20">
        <v>1</v>
      </c>
    </row>
    <row r="192" spans="1:31" x14ac:dyDescent="0.3">
      <c r="A192" s="12" t="s">
        <v>110</v>
      </c>
      <c r="B192" s="12" t="s">
        <v>312</v>
      </c>
      <c r="C192" s="12" t="s">
        <v>307</v>
      </c>
      <c r="D192" s="12" t="s">
        <v>68</v>
      </c>
      <c r="E192" s="13">
        <v>15.8</v>
      </c>
      <c r="F192" s="13">
        <v>51.8</v>
      </c>
      <c r="G192" s="13">
        <v>6.3</v>
      </c>
      <c r="H192" s="14">
        <v>132.9</v>
      </c>
      <c r="I192" s="12" t="s">
        <v>297</v>
      </c>
      <c r="J192" s="14">
        <v>124</v>
      </c>
      <c r="K192" s="15">
        <v>9</v>
      </c>
      <c r="L192" s="16">
        <v>6750</v>
      </c>
      <c r="M192" s="16">
        <v>284</v>
      </c>
      <c r="N192" s="17">
        <v>1.05</v>
      </c>
      <c r="O192" s="17">
        <v>1.05</v>
      </c>
      <c r="P192" s="17">
        <v>0.45</v>
      </c>
      <c r="Q192" s="17">
        <v>0.55000000000000004</v>
      </c>
      <c r="R192" s="17">
        <v>1.1000000000000001</v>
      </c>
      <c r="S192" s="17">
        <v>0.5</v>
      </c>
      <c r="T192" s="16">
        <f t="shared" si="10"/>
        <v>7425.0000000000009</v>
      </c>
      <c r="U192" s="18">
        <v>-4323.03</v>
      </c>
      <c r="V192" s="19">
        <f t="shared" si="11"/>
        <v>-0.58222626262626254</v>
      </c>
      <c r="W192" s="19">
        <f t="shared" si="12"/>
        <v>-0.54545454545454541</v>
      </c>
      <c r="X192" s="19">
        <f t="shared" si="13"/>
        <v>-4.5454545454545525E-2</v>
      </c>
      <c r="Y192" s="12" t="s">
        <v>312</v>
      </c>
      <c r="Z192" s="12" t="s">
        <v>70</v>
      </c>
      <c r="AA192" s="18">
        <v>-4323.03</v>
      </c>
      <c r="AB192" s="17">
        <v>-4.2619999999999996</v>
      </c>
      <c r="AC192" s="12" t="s">
        <v>102</v>
      </c>
      <c r="AD192" s="12" t="str">
        <f t="shared" si="14"/>
        <v>Rs 1-2</v>
      </c>
      <c r="AE192" s="20">
        <v>1</v>
      </c>
    </row>
    <row r="193" spans="1:31" x14ac:dyDescent="0.3">
      <c r="A193" s="12" t="s">
        <v>243</v>
      </c>
      <c r="B193" s="12" t="s">
        <v>312</v>
      </c>
      <c r="C193" s="12" t="s">
        <v>307</v>
      </c>
      <c r="D193" s="12" t="s">
        <v>68</v>
      </c>
      <c r="E193" s="13">
        <v>13.9</v>
      </c>
      <c r="F193" s="13">
        <v>2.2000000000000002</v>
      </c>
      <c r="G193" s="13">
        <v>10.4</v>
      </c>
      <c r="H193" s="14">
        <v>143.55000000000001</v>
      </c>
      <c r="I193" s="12" t="s">
        <v>297</v>
      </c>
      <c r="J193" s="14">
        <v>135</v>
      </c>
      <c r="K193" s="15">
        <v>3</v>
      </c>
      <c r="L193" s="16">
        <v>3750</v>
      </c>
      <c r="M193" s="16">
        <v>889</v>
      </c>
      <c r="N193" s="17">
        <v>1.9</v>
      </c>
      <c r="O193" s="17">
        <v>2.6</v>
      </c>
      <c r="P193" s="17">
        <v>1.45</v>
      </c>
      <c r="Q193" s="17">
        <v>2.5</v>
      </c>
      <c r="R193" s="17">
        <v>1.95</v>
      </c>
      <c r="S193" s="17">
        <v>2.4500000000000002</v>
      </c>
      <c r="T193" s="16">
        <f t="shared" si="10"/>
        <v>7312.5</v>
      </c>
      <c r="U193" s="18">
        <v>1311.86</v>
      </c>
      <c r="V193" s="19">
        <f t="shared" si="11"/>
        <v>0.17939965811965811</v>
      </c>
      <c r="W193" s="19">
        <f t="shared" si="12"/>
        <v>0.25641025641025661</v>
      </c>
      <c r="X193" s="19">
        <f t="shared" si="13"/>
        <v>0.33333333333333348</v>
      </c>
      <c r="Y193" s="12" t="s">
        <v>301</v>
      </c>
      <c r="Z193" s="12" t="s">
        <v>84</v>
      </c>
      <c r="AA193" s="18">
        <v>-1193.04</v>
      </c>
      <c r="AB193" s="17">
        <v>4.7469999999999999</v>
      </c>
      <c r="AC193" s="12" t="s">
        <v>102</v>
      </c>
      <c r="AD193" s="12" t="str">
        <f t="shared" si="14"/>
        <v>Rs 1-2</v>
      </c>
      <c r="AE193" s="20">
        <v>1</v>
      </c>
    </row>
    <row r="194" spans="1:31" x14ac:dyDescent="0.3">
      <c r="A194" s="12" t="s">
        <v>105</v>
      </c>
      <c r="B194" s="12" t="s">
        <v>312</v>
      </c>
      <c r="C194" s="12" t="s">
        <v>307</v>
      </c>
      <c r="D194" s="12" t="s">
        <v>68</v>
      </c>
      <c r="E194" s="13">
        <v>86.7</v>
      </c>
      <c r="F194" s="13">
        <v>17</v>
      </c>
      <c r="G194" s="13">
        <v>44.7</v>
      </c>
      <c r="H194" s="14">
        <v>1171.4000000000001</v>
      </c>
      <c r="I194" s="12" t="s">
        <v>297</v>
      </c>
      <c r="J194" s="14">
        <v>1140</v>
      </c>
      <c r="K194" s="15">
        <v>2</v>
      </c>
      <c r="L194" s="16">
        <v>450</v>
      </c>
      <c r="M194" s="16">
        <v>1247</v>
      </c>
      <c r="N194" s="17">
        <v>16.45</v>
      </c>
      <c r="O194" s="17">
        <v>17.899999999999999</v>
      </c>
      <c r="P194" s="17">
        <v>9.8000000000000007</v>
      </c>
      <c r="Q194" s="17">
        <v>14.3</v>
      </c>
      <c r="R194" s="17">
        <v>16.5</v>
      </c>
      <c r="S194" s="17">
        <v>14.25</v>
      </c>
      <c r="T194" s="16">
        <f t="shared" ref="T194:T257" si="15">R194*L194</f>
        <v>7425</v>
      </c>
      <c r="U194" s="18">
        <v>-1213.74</v>
      </c>
      <c r="V194" s="19">
        <f t="shared" ref="V194:V257" si="16">U194/T194</f>
        <v>-0.16346666666666668</v>
      </c>
      <c r="W194" s="19">
        <f t="shared" ref="W194:W257" si="17">S194/R194-1</f>
        <v>-0.13636363636363635</v>
      </c>
      <c r="X194" s="19">
        <f t="shared" ref="X194:X257" si="18">IF(O194="","",O194/R194-1)</f>
        <v>8.4848484848484729E-2</v>
      </c>
      <c r="Y194" s="12" t="s">
        <v>298</v>
      </c>
      <c r="Z194" s="12" t="s">
        <v>70</v>
      </c>
      <c r="AA194" s="18">
        <v>-5082.08</v>
      </c>
      <c r="AB194" s="17">
        <v>9.1999999999999998E-2</v>
      </c>
      <c r="AC194" s="12" t="s">
        <v>71</v>
      </c>
      <c r="AD194" s="12" t="str">
        <f t="shared" ref="AD194:AD257" si="19">IF(R194&lt;1,"under Rs 1",IF(R194&lt;2,"Rs 1-2","Rs 2+"))</f>
        <v>Rs 2+</v>
      </c>
      <c r="AE194" s="20">
        <v>1</v>
      </c>
    </row>
    <row r="195" spans="1:31" x14ac:dyDescent="0.3">
      <c r="A195" s="12" t="s">
        <v>98</v>
      </c>
      <c r="B195" s="12" t="s">
        <v>312</v>
      </c>
      <c r="C195" s="12" t="s">
        <v>312</v>
      </c>
      <c r="D195" s="12" t="s">
        <v>68</v>
      </c>
      <c r="E195" s="13">
        <v>10.8</v>
      </c>
      <c r="F195" s="13">
        <v>6.2</v>
      </c>
      <c r="G195" s="13">
        <v>10.3</v>
      </c>
      <c r="H195" s="14">
        <v>2893.7</v>
      </c>
      <c r="I195" s="12" t="s">
        <v>297</v>
      </c>
      <c r="J195" s="14">
        <v>2700</v>
      </c>
      <c r="K195" s="15">
        <v>4</v>
      </c>
      <c r="L195" s="16">
        <v>275</v>
      </c>
      <c r="M195" s="16">
        <v>2371</v>
      </c>
      <c r="N195" s="17">
        <v>23.75</v>
      </c>
      <c r="O195" s="17">
        <v>54.15</v>
      </c>
      <c r="P195" s="17">
        <v>18.5</v>
      </c>
      <c r="Q195" s="17">
        <v>48.35</v>
      </c>
      <c r="R195" s="17">
        <v>23.8</v>
      </c>
      <c r="S195" s="17">
        <v>48.3</v>
      </c>
      <c r="T195" s="16">
        <f t="shared" si="15"/>
        <v>6545</v>
      </c>
      <c r="U195" s="18">
        <v>6265.29</v>
      </c>
      <c r="V195" s="19">
        <f t="shared" si="16"/>
        <v>0.95726355996944235</v>
      </c>
      <c r="W195" s="19">
        <f t="shared" si="17"/>
        <v>1.0294117647058822</v>
      </c>
      <c r="X195" s="19">
        <f t="shared" si="18"/>
        <v>1.2752100840336134</v>
      </c>
      <c r="Y195" s="12" t="s">
        <v>306</v>
      </c>
      <c r="Z195" s="12" t="s">
        <v>84</v>
      </c>
      <c r="AA195" s="18">
        <v>1867.59</v>
      </c>
      <c r="AB195" s="17">
        <v>6.2919999999999998</v>
      </c>
      <c r="AC195" s="12" t="s">
        <v>71</v>
      </c>
      <c r="AD195" s="12" t="str">
        <f t="shared" si="19"/>
        <v>Rs 2+</v>
      </c>
      <c r="AE195" s="20">
        <v>1</v>
      </c>
    </row>
    <row r="196" spans="1:31" x14ac:dyDescent="0.3">
      <c r="A196" s="12" t="s">
        <v>206</v>
      </c>
      <c r="B196" s="12" t="s">
        <v>312</v>
      </c>
      <c r="C196" s="12" t="s">
        <v>307</v>
      </c>
      <c r="D196" s="12" t="s">
        <v>68</v>
      </c>
      <c r="E196" s="13">
        <v>36.1</v>
      </c>
      <c r="F196" s="13">
        <v>11.3</v>
      </c>
      <c r="G196" s="13">
        <v>7.9</v>
      </c>
      <c r="H196" s="14">
        <v>1394.45</v>
      </c>
      <c r="I196" s="12" t="s">
        <v>297</v>
      </c>
      <c r="J196" s="14">
        <v>1380</v>
      </c>
      <c r="K196" s="15">
        <v>1</v>
      </c>
      <c r="L196" s="16">
        <v>400</v>
      </c>
      <c r="M196" s="16">
        <v>1697</v>
      </c>
      <c r="N196" s="17">
        <v>14.85</v>
      </c>
      <c r="O196" s="17">
        <v>14.85</v>
      </c>
      <c r="P196" s="17">
        <v>4.8</v>
      </c>
      <c r="Q196" s="17">
        <v>13</v>
      </c>
      <c r="R196" s="17">
        <v>14.9</v>
      </c>
      <c r="S196" s="17">
        <v>12.95</v>
      </c>
      <c r="T196" s="16">
        <f t="shared" si="15"/>
        <v>5960</v>
      </c>
      <c r="U196" s="18">
        <v>-951.24</v>
      </c>
      <c r="V196" s="19">
        <f t="shared" si="16"/>
        <v>-0.1596040268456376</v>
      </c>
      <c r="W196" s="19">
        <f t="shared" si="17"/>
        <v>-0.1308724832214766</v>
      </c>
      <c r="X196" s="19">
        <f t="shared" si="18"/>
        <v>-3.3557046979866278E-3</v>
      </c>
      <c r="Y196" s="12" t="s">
        <v>298</v>
      </c>
      <c r="Z196" s="12" t="s">
        <v>70</v>
      </c>
      <c r="AA196" s="18">
        <v>-3243.58</v>
      </c>
      <c r="AB196" s="17">
        <v>1.6220000000000001</v>
      </c>
      <c r="AC196" s="12" t="s">
        <v>71</v>
      </c>
      <c r="AD196" s="12" t="str">
        <f t="shared" si="19"/>
        <v>Rs 2+</v>
      </c>
      <c r="AE196" s="20">
        <v>1</v>
      </c>
    </row>
    <row r="197" spans="1:31" x14ac:dyDescent="0.3">
      <c r="A197" s="12" t="s">
        <v>130</v>
      </c>
      <c r="B197" s="12" t="s">
        <v>298</v>
      </c>
      <c r="C197" s="12" t="s">
        <v>312</v>
      </c>
      <c r="D197" s="12" t="s">
        <v>68</v>
      </c>
      <c r="E197" s="13">
        <v>17.8</v>
      </c>
      <c r="F197" s="13">
        <v>32.799999999999997</v>
      </c>
      <c r="G197" s="13">
        <v>25.8</v>
      </c>
      <c r="H197" s="14">
        <v>426.1</v>
      </c>
      <c r="I197" s="12" t="s">
        <v>297</v>
      </c>
      <c r="J197" s="14">
        <v>415</v>
      </c>
      <c r="K197" s="15">
        <v>2</v>
      </c>
      <c r="L197" s="16">
        <v>1425</v>
      </c>
      <c r="M197" s="16">
        <v>8551</v>
      </c>
      <c r="N197" s="17">
        <v>5.05</v>
      </c>
      <c r="O197" s="17">
        <v>9.1</v>
      </c>
      <c r="P197" s="17">
        <v>4.05</v>
      </c>
      <c r="Q197" s="17">
        <v>6.45</v>
      </c>
      <c r="R197" s="17">
        <v>5.0999999999999996</v>
      </c>
      <c r="S197" s="17">
        <v>6.4</v>
      </c>
      <c r="T197" s="16">
        <f t="shared" si="15"/>
        <v>7267.4999999999991</v>
      </c>
      <c r="U197" s="18">
        <v>1620.64</v>
      </c>
      <c r="V197" s="19">
        <f t="shared" si="16"/>
        <v>0.22299828001375993</v>
      </c>
      <c r="W197" s="19">
        <f t="shared" si="17"/>
        <v>0.25490196078431393</v>
      </c>
      <c r="X197" s="19">
        <f t="shared" si="18"/>
        <v>0.78431372549019618</v>
      </c>
      <c r="Y197" s="12" t="s">
        <v>301</v>
      </c>
      <c r="Z197" s="12" t="s">
        <v>84</v>
      </c>
      <c r="AA197" s="18">
        <v>4295.8599999999997</v>
      </c>
      <c r="AB197" s="17">
        <v>1.3320000000000001</v>
      </c>
      <c r="AC197" s="12" t="s">
        <v>71</v>
      </c>
      <c r="AD197" s="12" t="str">
        <f t="shared" si="19"/>
        <v>Rs 2+</v>
      </c>
      <c r="AE197" s="20">
        <v>1</v>
      </c>
    </row>
    <row r="198" spans="1:31" x14ac:dyDescent="0.3">
      <c r="A198" s="12" t="s">
        <v>131</v>
      </c>
      <c r="B198" s="12" t="s">
        <v>298</v>
      </c>
      <c r="C198" s="12" t="s">
        <v>312</v>
      </c>
      <c r="D198" s="12" t="s">
        <v>77</v>
      </c>
      <c r="E198" s="13">
        <v>-26.1</v>
      </c>
      <c r="F198" s="13">
        <v>-16.5</v>
      </c>
      <c r="G198" s="13">
        <v>4.9000000000000004</v>
      </c>
      <c r="H198" s="14">
        <v>182.75</v>
      </c>
      <c r="I198" s="12" t="s">
        <v>297</v>
      </c>
      <c r="J198" s="14">
        <v>190</v>
      </c>
      <c r="K198" s="15">
        <v>3</v>
      </c>
      <c r="L198" s="16">
        <v>3150</v>
      </c>
      <c r="M198" s="16">
        <v>5329</v>
      </c>
      <c r="N198" s="17">
        <v>2.16</v>
      </c>
      <c r="O198" s="17">
        <v>2.4500000000000002</v>
      </c>
      <c r="P198" s="17">
        <v>1.1499999999999999</v>
      </c>
      <c r="Q198" s="17">
        <v>2.2999999999999998</v>
      </c>
      <c r="R198" s="17">
        <v>2.21</v>
      </c>
      <c r="S198" s="17">
        <v>2.25</v>
      </c>
      <c r="T198" s="16">
        <f t="shared" si="15"/>
        <v>6961.5</v>
      </c>
      <c r="U198" s="18">
        <v>-78.44</v>
      </c>
      <c r="V198" s="19">
        <f t="shared" si="16"/>
        <v>-1.1267686561804208E-2</v>
      </c>
      <c r="W198" s="19">
        <f t="shared" si="17"/>
        <v>1.8099547511312153E-2</v>
      </c>
      <c r="X198" s="19">
        <f t="shared" si="18"/>
        <v>0.10859728506787336</v>
      </c>
      <c r="Y198" s="12" t="s">
        <v>310</v>
      </c>
      <c r="Z198" s="12" t="s">
        <v>70</v>
      </c>
      <c r="AA198" s="18">
        <v>-2257.14</v>
      </c>
      <c r="AB198" s="17">
        <v>0.68500000000000005</v>
      </c>
      <c r="AC198" s="12" t="s">
        <v>71</v>
      </c>
      <c r="AD198" s="12" t="str">
        <f t="shared" si="19"/>
        <v>Rs 2+</v>
      </c>
      <c r="AE198" s="20">
        <v>1</v>
      </c>
    </row>
    <row r="199" spans="1:31" x14ac:dyDescent="0.3">
      <c r="A199" s="12" t="s">
        <v>281</v>
      </c>
      <c r="B199" s="12" t="s">
        <v>298</v>
      </c>
      <c r="C199" s="12" t="s">
        <v>312</v>
      </c>
      <c r="D199" s="12" t="s">
        <v>68</v>
      </c>
      <c r="E199" s="13">
        <v>67.400000000000006</v>
      </c>
      <c r="F199" s="13">
        <v>186.5</v>
      </c>
      <c r="G199" s="13">
        <v>20.2</v>
      </c>
      <c r="H199" s="14">
        <v>602.4</v>
      </c>
      <c r="I199" s="12" t="s">
        <v>297</v>
      </c>
      <c r="J199" s="14">
        <v>580</v>
      </c>
      <c r="K199" s="15">
        <v>4</v>
      </c>
      <c r="L199" s="16">
        <v>900</v>
      </c>
      <c r="M199" s="16">
        <v>4572</v>
      </c>
      <c r="N199" s="17">
        <v>6.85</v>
      </c>
      <c r="O199" s="17">
        <v>23.1</v>
      </c>
      <c r="P199" s="17">
        <v>6</v>
      </c>
      <c r="Q199" s="17">
        <v>15.55</v>
      </c>
      <c r="R199" s="17">
        <v>6.9</v>
      </c>
      <c r="S199" s="17">
        <v>15.5</v>
      </c>
      <c r="T199" s="16">
        <f t="shared" si="15"/>
        <v>6210</v>
      </c>
      <c r="U199" s="18">
        <v>7260</v>
      </c>
      <c r="V199" s="19">
        <f t="shared" si="16"/>
        <v>1.1690821256038648</v>
      </c>
      <c r="W199" s="19">
        <f t="shared" si="17"/>
        <v>1.2463768115942027</v>
      </c>
      <c r="X199" s="19">
        <f t="shared" si="18"/>
        <v>2.347826086956522</v>
      </c>
      <c r="Y199" s="12" t="s">
        <v>306</v>
      </c>
      <c r="Z199" s="12" t="s">
        <v>84</v>
      </c>
      <c r="AA199" s="18">
        <v>3826.94</v>
      </c>
      <c r="AB199" s="17">
        <v>4.7450000000000001</v>
      </c>
      <c r="AC199" s="12" t="s">
        <v>71</v>
      </c>
      <c r="AD199" s="12" t="str">
        <f t="shared" si="19"/>
        <v>Rs 2+</v>
      </c>
      <c r="AE199" s="20">
        <v>1</v>
      </c>
    </row>
    <row r="200" spans="1:31" x14ac:dyDescent="0.3">
      <c r="A200" s="12" t="s">
        <v>313</v>
      </c>
      <c r="B200" s="12" t="s">
        <v>298</v>
      </c>
      <c r="C200" s="12" t="s">
        <v>312</v>
      </c>
      <c r="D200" s="12" t="s">
        <v>68</v>
      </c>
      <c r="E200" s="13">
        <v>31.5</v>
      </c>
      <c r="F200" s="13">
        <v>19.7</v>
      </c>
      <c r="G200" s="13">
        <v>21.5</v>
      </c>
      <c r="H200" s="14">
        <v>1682.45</v>
      </c>
      <c r="I200" s="12" t="s">
        <v>297</v>
      </c>
      <c r="J200" s="14">
        <v>1620</v>
      </c>
      <c r="K200" s="15">
        <v>3</v>
      </c>
      <c r="L200" s="16">
        <v>350</v>
      </c>
      <c r="M200" s="16">
        <v>304</v>
      </c>
      <c r="N200" s="17">
        <v>16.850000000000001</v>
      </c>
      <c r="O200" s="17">
        <v>16.850000000000001</v>
      </c>
      <c r="P200" s="17">
        <v>7.45</v>
      </c>
      <c r="Q200" s="17">
        <v>8.75</v>
      </c>
      <c r="R200" s="17">
        <v>16.899999999999999</v>
      </c>
      <c r="S200" s="17">
        <v>8.6999999999999993</v>
      </c>
      <c r="T200" s="16">
        <f t="shared" si="15"/>
        <v>5914.9999999999991</v>
      </c>
      <c r="U200" s="18">
        <v>-3104.92</v>
      </c>
      <c r="V200" s="19">
        <f t="shared" si="16"/>
        <v>-0.52492307692307705</v>
      </c>
      <c r="W200" s="19">
        <f t="shared" si="17"/>
        <v>-0.48520710059171601</v>
      </c>
      <c r="X200" s="19">
        <f t="shared" si="18"/>
        <v>-2.9585798816565978E-3</v>
      </c>
      <c r="Y200" s="12" t="s">
        <v>298</v>
      </c>
      <c r="Z200" s="12" t="s">
        <v>70</v>
      </c>
      <c r="AA200" s="18">
        <v>-3104.92</v>
      </c>
      <c r="AB200" s="17">
        <v>-3.0379999999999998</v>
      </c>
      <c r="AC200" s="12" t="s">
        <v>71</v>
      </c>
      <c r="AD200" s="12" t="str">
        <f t="shared" si="19"/>
        <v>Rs 2+</v>
      </c>
      <c r="AE200" s="20">
        <v>1</v>
      </c>
    </row>
    <row r="201" spans="1:31" x14ac:dyDescent="0.3">
      <c r="A201" s="12" t="s">
        <v>253</v>
      </c>
      <c r="B201" s="12" t="s">
        <v>298</v>
      </c>
      <c r="C201" s="12" t="s">
        <v>312</v>
      </c>
      <c r="D201" s="12" t="s">
        <v>77</v>
      </c>
      <c r="E201" s="13">
        <v>-37.9</v>
      </c>
      <c r="F201" s="13">
        <v>-21.9</v>
      </c>
      <c r="G201" s="13">
        <v>5.9</v>
      </c>
      <c r="H201" s="14">
        <v>493.55</v>
      </c>
      <c r="I201" s="12" t="s">
        <v>297</v>
      </c>
      <c r="J201" s="14">
        <v>530</v>
      </c>
      <c r="K201" s="15">
        <v>7</v>
      </c>
      <c r="L201" s="16">
        <v>1150</v>
      </c>
      <c r="M201" s="16">
        <v>5112</v>
      </c>
      <c r="N201" s="17">
        <v>6.45</v>
      </c>
      <c r="O201" s="17">
        <v>10.1</v>
      </c>
      <c r="P201" s="17">
        <v>6</v>
      </c>
      <c r="Q201" s="17">
        <v>9.4</v>
      </c>
      <c r="R201" s="17">
        <v>6.5</v>
      </c>
      <c r="S201" s="17">
        <v>9.35</v>
      </c>
      <c r="T201" s="16">
        <f t="shared" si="15"/>
        <v>7475</v>
      </c>
      <c r="U201" s="18">
        <v>3024</v>
      </c>
      <c r="V201" s="19">
        <f t="shared" si="16"/>
        <v>0.40454849498327761</v>
      </c>
      <c r="W201" s="19">
        <f t="shared" si="17"/>
        <v>0.43846153846153846</v>
      </c>
      <c r="X201" s="19">
        <f t="shared" si="18"/>
        <v>0.55384615384615388</v>
      </c>
      <c r="Y201" s="12" t="s">
        <v>305</v>
      </c>
      <c r="Z201" s="12" t="s">
        <v>84</v>
      </c>
      <c r="AA201" s="18">
        <v>-725.77</v>
      </c>
      <c r="AB201" s="17">
        <v>2.1909999999999998</v>
      </c>
      <c r="AC201" s="12" t="s">
        <v>71</v>
      </c>
      <c r="AD201" s="12" t="str">
        <f t="shared" si="19"/>
        <v>Rs 2+</v>
      </c>
      <c r="AE201" s="20">
        <v>1</v>
      </c>
    </row>
    <row r="202" spans="1:31" x14ac:dyDescent="0.3">
      <c r="A202" s="12" t="s">
        <v>121</v>
      </c>
      <c r="B202" s="12" t="s">
        <v>310</v>
      </c>
      <c r="C202" s="12" t="s">
        <v>298</v>
      </c>
      <c r="D202" s="12" t="s">
        <v>68</v>
      </c>
      <c r="E202" s="13">
        <v>386.9</v>
      </c>
      <c r="F202" s="13">
        <v>137.4</v>
      </c>
      <c r="G202" s="13">
        <v>22.1</v>
      </c>
      <c r="H202" s="14">
        <v>577.20000000000005</v>
      </c>
      <c r="I202" s="12" t="s">
        <v>297</v>
      </c>
      <c r="J202" s="14">
        <v>565</v>
      </c>
      <c r="K202" s="15">
        <v>2</v>
      </c>
      <c r="L202" s="16">
        <v>1050</v>
      </c>
      <c r="M202" s="16">
        <v>640</v>
      </c>
      <c r="N202" s="17">
        <v>6.35</v>
      </c>
      <c r="O202" s="17">
        <v>11.75</v>
      </c>
      <c r="P202" s="17">
        <v>4</v>
      </c>
      <c r="Q202" s="17">
        <v>10.95</v>
      </c>
      <c r="R202" s="17">
        <v>6.4</v>
      </c>
      <c r="S202" s="17">
        <v>10.9</v>
      </c>
      <c r="T202" s="16">
        <f t="shared" si="15"/>
        <v>6720</v>
      </c>
      <c r="U202" s="18">
        <v>4471.1400000000003</v>
      </c>
      <c r="V202" s="19">
        <f t="shared" si="16"/>
        <v>0.66534821428571433</v>
      </c>
      <c r="W202" s="19">
        <f t="shared" si="17"/>
        <v>0.703125</v>
      </c>
      <c r="X202" s="19">
        <f t="shared" si="18"/>
        <v>0.8359375</v>
      </c>
      <c r="Y202" s="12" t="s">
        <v>314</v>
      </c>
      <c r="Z202" s="12" t="s">
        <v>84</v>
      </c>
      <c r="AA202" s="18">
        <v>3433.66</v>
      </c>
      <c r="AB202" s="17">
        <v>2.6419999999999999</v>
      </c>
      <c r="AC202" s="12" t="s">
        <v>71</v>
      </c>
      <c r="AD202" s="12" t="str">
        <f t="shared" si="19"/>
        <v>Rs 2+</v>
      </c>
      <c r="AE202" s="20">
        <v>1</v>
      </c>
    </row>
    <row r="203" spans="1:31" x14ac:dyDescent="0.3">
      <c r="A203" s="12" t="s">
        <v>155</v>
      </c>
      <c r="B203" s="12" t="s">
        <v>310</v>
      </c>
      <c r="C203" s="12" t="s">
        <v>298</v>
      </c>
      <c r="D203" s="12" t="s">
        <v>68</v>
      </c>
      <c r="E203" s="13">
        <v>108.3</v>
      </c>
      <c r="F203" s="13">
        <v>16.600000000000001</v>
      </c>
      <c r="G203" s="13">
        <v>25.7</v>
      </c>
      <c r="H203" s="14">
        <v>2074</v>
      </c>
      <c r="I203" s="12" t="s">
        <v>297</v>
      </c>
      <c r="J203" s="14">
        <v>2040</v>
      </c>
      <c r="K203" s="15">
        <v>2</v>
      </c>
      <c r="L203" s="16">
        <v>475</v>
      </c>
      <c r="M203" s="16">
        <v>4132</v>
      </c>
      <c r="N203" s="17">
        <v>13.25</v>
      </c>
      <c r="O203" s="17">
        <v>14.25</v>
      </c>
      <c r="P203" s="17">
        <v>7.5</v>
      </c>
      <c r="Q203" s="17">
        <v>9.75</v>
      </c>
      <c r="R203" s="17">
        <v>13.3</v>
      </c>
      <c r="S203" s="17">
        <v>9.6999999999999993</v>
      </c>
      <c r="T203" s="16">
        <f t="shared" si="15"/>
        <v>6317.5</v>
      </c>
      <c r="U203" s="18">
        <v>-1878.15</v>
      </c>
      <c r="V203" s="19">
        <f t="shared" si="16"/>
        <v>-0.29729323308270678</v>
      </c>
      <c r="W203" s="19">
        <f t="shared" si="17"/>
        <v>-0.2706766917293234</v>
      </c>
      <c r="X203" s="19">
        <f t="shared" si="18"/>
        <v>7.1428571428571397E-2</v>
      </c>
      <c r="Y203" s="12" t="s">
        <v>310</v>
      </c>
      <c r="Z203" s="12" t="s">
        <v>70</v>
      </c>
      <c r="AA203" s="18">
        <v>-1878.15</v>
      </c>
      <c r="AB203" s="17">
        <v>-0.29899999999999999</v>
      </c>
      <c r="AC203" s="12" t="s">
        <v>71</v>
      </c>
      <c r="AD203" s="12" t="str">
        <f t="shared" si="19"/>
        <v>Rs 2+</v>
      </c>
      <c r="AE203" s="20">
        <v>1</v>
      </c>
    </row>
    <row r="204" spans="1:31" x14ac:dyDescent="0.3">
      <c r="A204" s="12" t="s">
        <v>315</v>
      </c>
      <c r="B204" s="12" t="s">
        <v>310</v>
      </c>
      <c r="C204" s="12" t="s">
        <v>298</v>
      </c>
      <c r="D204" s="12" t="s">
        <v>68</v>
      </c>
      <c r="E204" s="13">
        <v>405.6</v>
      </c>
      <c r="F204" s="13">
        <v>100.9</v>
      </c>
      <c r="G204" s="13">
        <v>17.899999999999999</v>
      </c>
      <c r="H204" s="14">
        <v>17919.2</v>
      </c>
      <c r="I204" s="12" t="s">
        <v>297</v>
      </c>
      <c r="J204" s="14">
        <v>17250</v>
      </c>
      <c r="K204" s="15">
        <v>3</v>
      </c>
      <c r="L204" s="16">
        <v>50</v>
      </c>
      <c r="M204" s="16">
        <v>113</v>
      </c>
      <c r="N204" s="17">
        <v>86.3</v>
      </c>
      <c r="O204" s="17">
        <v>95.8</v>
      </c>
      <c r="P204" s="17">
        <v>50.65</v>
      </c>
      <c r="Q204" s="17">
        <v>54.6</v>
      </c>
      <c r="R204" s="17">
        <v>86.35</v>
      </c>
      <c r="S204" s="17">
        <v>54.55</v>
      </c>
      <c r="T204" s="16">
        <f t="shared" si="15"/>
        <v>4317.5</v>
      </c>
      <c r="U204" s="18">
        <v>-1785.27</v>
      </c>
      <c r="V204" s="19">
        <f t="shared" si="16"/>
        <v>-0.41349623624782861</v>
      </c>
      <c r="W204" s="19">
        <f t="shared" si="17"/>
        <v>-0.36826867400115804</v>
      </c>
      <c r="X204" s="19">
        <f t="shared" si="18"/>
        <v>0.10943833236826861</v>
      </c>
      <c r="Y204" s="12" t="s">
        <v>310</v>
      </c>
      <c r="Z204" s="12" t="s">
        <v>70</v>
      </c>
      <c r="AA204" s="18">
        <v>-1785.27</v>
      </c>
      <c r="AB204" s="17">
        <v>-6.4909999999999997</v>
      </c>
      <c r="AC204" s="12" t="s">
        <v>71</v>
      </c>
      <c r="AD204" s="12" t="str">
        <f t="shared" si="19"/>
        <v>Rs 2+</v>
      </c>
      <c r="AE204" s="20">
        <v>1</v>
      </c>
    </row>
    <row r="205" spans="1:31" x14ac:dyDescent="0.3">
      <c r="A205" s="12" t="s">
        <v>316</v>
      </c>
      <c r="B205" s="12" t="s">
        <v>310</v>
      </c>
      <c r="C205" s="12" t="s">
        <v>298</v>
      </c>
      <c r="D205" s="12" t="s">
        <v>68</v>
      </c>
      <c r="E205" s="13">
        <v>10.7</v>
      </c>
      <c r="F205" s="13">
        <v>22.5</v>
      </c>
      <c r="G205" s="13">
        <v>17.8</v>
      </c>
      <c r="H205" s="14">
        <v>1197.5999999999999</v>
      </c>
      <c r="I205" s="12" t="s">
        <v>297</v>
      </c>
      <c r="J205" s="14">
        <v>1160</v>
      </c>
      <c r="K205" s="15">
        <v>4</v>
      </c>
      <c r="L205" s="16">
        <v>550</v>
      </c>
      <c r="M205" s="16">
        <v>10807</v>
      </c>
      <c r="N205" s="17">
        <v>13.35</v>
      </c>
      <c r="O205" s="17">
        <v>29.2</v>
      </c>
      <c r="P205" s="17">
        <v>13.35</v>
      </c>
      <c r="Q205" s="17">
        <v>15.5</v>
      </c>
      <c r="R205" s="17">
        <v>13.4</v>
      </c>
      <c r="S205" s="17">
        <v>15.45</v>
      </c>
      <c r="T205" s="16">
        <f t="shared" si="15"/>
        <v>7370</v>
      </c>
      <c r="U205" s="18">
        <v>901.98</v>
      </c>
      <c r="V205" s="19">
        <f t="shared" si="16"/>
        <v>0.1223853459972863</v>
      </c>
      <c r="W205" s="19">
        <f t="shared" si="17"/>
        <v>0.1529850746268655</v>
      </c>
      <c r="X205" s="19">
        <f t="shared" si="18"/>
        <v>1.1791044776119404</v>
      </c>
      <c r="Y205" s="12" t="s">
        <v>305</v>
      </c>
      <c r="Z205" s="12" t="s">
        <v>84</v>
      </c>
      <c r="AA205" s="18">
        <v>-1597.86</v>
      </c>
      <c r="AB205" s="17">
        <v>1.7090000000000001</v>
      </c>
      <c r="AC205" s="12" t="s">
        <v>71</v>
      </c>
      <c r="AD205" s="12" t="str">
        <f t="shared" si="19"/>
        <v>Rs 2+</v>
      </c>
      <c r="AE205" s="20">
        <v>1</v>
      </c>
    </row>
    <row r="206" spans="1:31" x14ac:dyDescent="0.3">
      <c r="A206" s="12" t="s">
        <v>268</v>
      </c>
      <c r="B206" s="12" t="s">
        <v>310</v>
      </c>
      <c r="C206" s="12" t="s">
        <v>298</v>
      </c>
      <c r="D206" s="12" t="s">
        <v>68</v>
      </c>
      <c r="E206" s="13">
        <v>59.1</v>
      </c>
      <c r="F206" s="13">
        <v>2.7</v>
      </c>
      <c r="G206" s="13">
        <v>28.8</v>
      </c>
      <c r="H206" s="14">
        <v>3724.55</v>
      </c>
      <c r="I206" s="12" t="s">
        <v>297</v>
      </c>
      <c r="J206" s="14">
        <v>3680</v>
      </c>
      <c r="K206" s="15">
        <v>2</v>
      </c>
      <c r="L206" s="16">
        <v>175</v>
      </c>
      <c r="M206" s="16">
        <v>1977</v>
      </c>
      <c r="N206" s="17">
        <v>43.25</v>
      </c>
      <c r="O206" s="17">
        <v>44.05</v>
      </c>
      <c r="P206" s="17">
        <v>21.25</v>
      </c>
      <c r="Q206" s="17">
        <v>23.6</v>
      </c>
      <c r="R206" s="17">
        <v>43.3</v>
      </c>
      <c r="S206" s="17">
        <v>23.55</v>
      </c>
      <c r="T206" s="16">
        <f t="shared" si="15"/>
        <v>7577.4999999999991</v>
      </c>
      <c r="U206" s="18">
        <v>-3631.76</v>
      </c>
      <c r="V206" s="19">
        <f t="shared" si="16"/>
        <v>-0.47928208512042236</v>
      </c>
      <c r="W206" s="19">
        <f t="shared" si="17"/>
        <v>-0.45612009237875284</v>
      </c>
      <c r="X206" s="19">
        <f t="shared" si="18"/>
        <v>1.7321016166281789E-2</v>
      </c>
      <c r="Y206" s="12" t="s">
        <v>310</v>
      </c>
      <c r="Z206" s="12" t="s">
        <v>70</v>
      </c>
      <c r="AA206" s="18">
        <v>-3631.76</v>
      </c>
      <c r="AB206" s="17">
        <v>-2.39</v>
      </c>
      <c r="AC206" s="12" t="s">
        <v>71</v>
      </c>
      <c r="AD206" s="12" t="str">
        <f t="shared" si="19"/>
        <v>Rs 2+</v>
      </c>
      <c r="AE206" s="20">
        <v>1</v>
      </c>
    </row>
    <row r="207" spans="1:31" x14ac:dyDescent="0.3">
      <c r="A207" s="12" t="s">
        <v>273</v>
      </c>
      <c r="B207" s="12" t="s">
        <v>305</v>
      </c>
      <c r="C207" s="12" t="s">
        <v>317</v>
      </c>
      <c r="D207" s="12" t="s">
        <v>68</v>
      </c>
      <c r="E207" s="13">
        <v>24</v>
      </c>
      <c r="F207" s="13">
        <v>70.2</v>
      </c>
      <c r="G207" s="13">
        <v>15.1</v>
      </c>
      <c r="H207" s="14">
        <v>1467.2</v>
      </c>
      <c r="I207" s="12" t="s">
        <v>297</v>
      </c>
      <c r="J207" s="14">
        <v>1440</v>
      </c>
      <c r="K207" s="15">
        <v>1</v>
      </c>
      <c r="L207" s="16">
        <v>425</v>
      </c>
      <c r="M207" s="16">
        <v>2132</v>
      </c>
      <c r="N207" s="17">
        <v>16.7</v>
      </c>
      <c r="O207" s="17">
        <v>16.7</v>
      </c>
      <c r="P207" s="17">
        <v>3.7</v>
      </c>
      <c r="Q207" s="17">
        <v>4</v>
      </c>
      <c r="R207" s="17">
        <v>16.75</v>
      </c>
      <c r="S207" s="17">
        <v>3.95</v>
      </c>
      <c r="T207" s="16">
        <f t="shared" si="15"/>
        <v>7118.75</v>
      </c>
      <c r="U207" s="18">
        <v>-5669.59</v>
      </c>
      <c r="V207" s="19">
        <f t="shared" si="16"/>
        <v>-0.79643055311676914</v>
      </c>
      <c r="W207" s="19">
        <f t="shared" si="17"/>
        <v>-0.76417910447761195</v>
      </c>
      <c r="X207" s="19">
        <f t="shared" si="18"/>
        <v>-2.9850746268657025E-3</v>
      </c>
      <c r="Y207" s="12" t="s">
        <v>305</v>
      </c>
      <c r="Z207" s="12" t="s">
        <v>70</v>
      </c>
      <c r="AA207" s="18">
        <v>-5669.59</v>
      </c>
      <c r="AB207" s="17">
        <v>-5.6390000000000002</v>
      </c>
      <c r="AC207" s="12" t="s">
        <v>71</v>
      </c>
      <c r="AD207" s="12" t="str">
        <f t="shared" si="19"/>
        <v>Rs 2+</v>
      </c>
      <c r="AE207" s="20">
        <v>1</v>
      </c>
    </row>
    <row r="208" spans="1:31" x14ac:dyDescent="0.3">
      <c r="A208" s="12" t="s">
        <v>318</v>
      </c>
      <c r="B208" s="12" t="s">
        <v>305</v>
      </c>
      <c r="C208" s="12" t="s">
        <v>317</v>
      </c>
      <c r="D208" s="12" t="s">
        <v>68</v>
      </c>
      <c r="E208" s="13">
        <v>23.2</v>
      </c>
      <c r="F208" s="13">
        <v>25.9</v>
      </c>
      <c r="G208" s="13">
        <v>3.7</v>
      </c>
      <c r="H208" s="14">
        <v>5892.35</v>
      </c>
      <c r="I208" s="12" t="s">
        <v>297</v>
      </c>
      <c r="J208" s="14">
        <v>5900</v>
      </c>
      <c r="K208" s="15">
        <v>0</v>
      </c>
      <c r="L208" s="16">
        <v>125</v>
      </c>
      <c r="M208" s="16">
        <v>2160</v>
      </c>
      <c r="N208" s="17">
        <v>45</v>
      </c>
      <c r="O208" s="17">
        <v>60.25</v>
      </c>
      <c r="P208" s="17">
        <v>31</v>
      </c>
      <c r="Q208" s="17">
        <v>51.9</v>
      </c>
      <c r="R208" s="17">
        <v>45.05</v>
      </c>
      <c r="S208" s="17">
        <v>51.85</v>
      </c>
      <c r="T208" s="16">
        <f t="shared" si="15"/>
        <v>5631.25</v>
      </c>
      <c r="U208" s="18">
        <v>666.69</v>
      </c>
      <c r="V208" s="19">
        <f t="shared" si="16"/>
        <v>0.11839112097669258</v>
      </c>
      <c r="W208" s="19">
        <f t="shared" si="17"/>
        <v>0.15094339622641528</v>
      </c>
      <c r="X208" s="19">
        <f t="shared" si="18"/>
        <v>0.33740288568257504</v>
      </c>
      <c r="Y208" s="12" t="s">
        <v>301</v>
      </c>
      <c r="Z208" s="12" t="s">
        <v>70</v>
      </c>
      <c r="AA208" s="18">
        <v>-3106.54</v>
      </c>
      <c r="AB208" s="17">
        <v>2.7890000000000001</v>
      </c>
      <c r="AC208" s="12" t="s">
        <v>71</v>
      </c>
      <c r="AD208" s="12" t="str">
        <f t="shared" si="19"/>
        <v>Rs 2+</v>
      </c>
      <c r="AE208" s="20">
        <v>1</v>
      </c>
    </row>
    <row r="209" spans="1:31" x14ac:dyDescent="0.3">
      <c r="A209" s="12" t="s">
        <v>161</v>
      </c>
      <c r="B209" s="12" t="s">
        <v>305</v>
      </c>
      <c r="C209" s="12" t="s">
        <v>317</v>
      </c>
      <c r="D209" s="12" t="s">
        <v>77</v>
      </c>
      <c r="E209" s="13">
        <v>-595</v>
      </c>
      <c r="F209" s="13">
        <v>-155.5</v>
      </c>
      <c r="G209" s="13">
        <v>16.899999999999999</v>
      </c>
      <c r="H209" s="14">
        <v>484.85</v>
      </c>
      <c r="I209" s="12" t="s">
        <v>297</v>
      </c>
      <c r="J209" s="14">
        <v>515</v>
      </c>
      <c r="K209" s="15">
        <v>6</v>
      </c>
      <c r="L209" s="16">
        <v>2075</v>
      </c>
      <c r="M209" s="16">
        <v>282</v>
      </c>
      <c r="N209" s="17">
        <v>1.8</v>
      </c>
      <c r="O209" s="17">
        <v>1.85</v>
      </c>
      <c r="P209" s="17">
        <v>0.65</v>
      </c>
      <c r="Q209" s="17">
        <v>0.75</v>
      </c>
      <c r="R209" s="17">
        <v>1.85</v>
      </c>
      <c r="S209" s="17">
        <v>0.7</v>
      </c>
      <c r="T209" s="16">
        <f t="shared" si="15"/>
        <v>3838.75</v>
      </c>
      <c r="U209" s="18">
        <v>-2596.71</v>
      </c>
      <c r="V209" s="19">
        <f t="shared" si="16"/>
        <v>-0.67644676001302506</v>
      </c>
      <c r="W209" s="19">
        <f t="shared" si="17"/>
        <v>-0.62162162162162171</v>
      </c>
      <c r="X209" s="19">
        <f t="shared" si="18"/>
        <v>0</v>
      </c>
      <c r="Y209" s="12" t="s">
        <v>305</v>
      </c>
      <c r="Z209" s="12" t="s">
        <v>70</v>
      </c>
      <c r="AA209" s="18">
        <v>-2596.71</v>
      </c>
      <c r="AB209" s="17">
        <v>-5.83</v>
      </c>
      <c r="AC209" s="12" t="s">
        <v>102</v>
      </c>
      <c r="AD209" s="12" t="str">
        <f t="shared" si="19"/>
        <v>Rs 1-2</v>
      </c>
      <c r="AE209" s="20">
        <v>1</v>
      </c>
    </row>
    <row r="210" spans="1:31" x14ac:dyDescent="0.3">
      <c r="A210" s="12" t="s">
        <v>82</v>
      </c>
      <c r="B210" s="12" t="s">
        <v>305</v>
      </c>
      <c r="C210" s="12" t="s">
        <v>310</v>
      </c>
      <c r="D210" s="12" t="s">
        <v>77</v>
      </c>
      <c r="E210" s="13">
        <v>-45.4</v>
      </c>
      <c r="F210" s="13">
        <v>-3.4</v>
      </c>
      <c r="G210" s="13">
        <v>11.8</v>
      </c>
      <c r="H210" s="14">
        <v>743.25</v>
      </c>
      <c r="I210" s="12" t="s">
        <v>297</v>
      </c>
      <c r="J210" s="14">
        <v>760</v>
      </c>
      <c r="K210" s="15">
        <v>2</v>
      </c>
      <c r="L210" s="16">
        <v>1000</v>
      </c>
      <c r="M210" s="16">
        <v>3521</v>
      </c>
      <c r="N210" s="17">
        <v>5.35</v>
      </c>
      <c r="O210" s="17">
        <v>7</v>
      </c>
      <c r="P210" s="17">
        <v>1.05</v>
      </c>
      <c r="Q210" s="17">
        <v>1.6</v>
      </c>
      <c r="R210" s="17">
        <v>5.4</v>
      </c>
      <c r="S210" s="17">
        <v>1.55</v>
      </c>
      <c r="T210" s="16">
        <f t="shared" si="15"/>
        <v>5400</v>
      </c>
      <c r="U210" s="18">
        <v>-3972.12</v>
      </c>
      <c r="V210" s="19">
        <f t="shared" si="16"/>
        <v>-0.73557777777777777</v>
      </c>
      <c r="W210" s="19">
        <f t="shared" si="17"/>
        <v>-0.71296296296296302</v>
      </c>
      <c r="X210" s="19">
        <f t="shared" si="18"/>
        <v>0.29629629629629628</v>
      </c>
      <c r="Y210" s="12" t="s">
        <v>305</v>
      </c>
      <c r="Z210" s="12" t="s">
        <v>70</v>
      </c>
      <c r="AA210" s="18">
        <v>-3972.12</v>
      </c>
      <c r="AB210" s="17">
        <v>-2.5169999999999999</v>
      </c>
      <c r="AC210" s="12" t="s">
        <v>71</v>
      </c>
      <c r="AD210" s="12" t="str">
        <f t="shared" si="19"/>
        <v>Rs 2+</v>
      </c>
      <c r="AE210" s="20">
        <v>1</v>
      </c>
    </row>
    <row r="211" spans="1:31" x14ac:dyDescent="0.3">
      <c r="A211" s="12" t="s">
        <v>319</v>
      </c>
      <c r="B211" s="12" t="s">
        <v>305</v>
      </c>
      <c r="C211" s="12" t="s">
        <v>310</v>
      </c>
      <c r="D211" s="12" t="s">
        <v>68</v>
      </c>
      <c r="E211" s="13">
        <v>101.6</v>
      </c>
      <c r="F211" s="13">
        <v>62.7</v>
      </c>
      <c r="G211" s="13">
        <v>58.4</v>
      </c>
      <c r="H211" s="14">
        <v>6658.05</v>
      </c>
      <c r="I211" s="12" t="s">
        <v>297</v>
      </c>
      <c r="J211" s="14">
        <v>6200</v>
      </c>
      <c r="K211" s="15">
        <v>5</v>
      </c>
      <c r="L211" s="16">
        <v>100</v>
      </c>
      <c r="M211" s="16">
        <v>2518</v>
      </c>
      <c r="N211" s="17">
        <v>50</v>
      </c>
      <c r="O211" s="17">
        <v>175</v>
      </c>
      <c r="P211" s="17">
        <v>50</v>
      </c>
      <c r="Q211" s="17">
        <v>157.80000000000001</v>
      </c>
      <c r="R211" s="17">
        <v>50.05</v>
      </c>
      <c r="S211" s="17">
        <v>157.75</v>
      </c>
      <c r="T211" s="16">
        <f t="shared" si="15"/>
        <v>5005</v>
      </c>
      <c r="U211" s="18">
        <v>10274.65</v>
      </c>
      <c r="V211" s="19">
        <f t="shared" si="16"/>
        <v>2.0528771228771228</v>
      </c>
      <c r="W211" s="19">
        <f t="shared" si="17"/>
        <v>2.151848151848152</v>
      </c>
      <c r="X211" s="19">
        <f t="shared" si="18"/>
        <v>2.4965034965034967</v>
      </c>
      <c r="Y211" s="12" t="s">
        <v>306</v>
      </c>
      <c r="Z211" s="12" t="s">
        <v>84</v>
      </c>
      <c r="AA211" s="18">
        <v>3281.38</v>
      </c>
      <c r="AB211" s="17">
        <v>7.7140000000000004</v>
      </c>
      <c r="AC211" s="12" t="s">
        <v>71</v>
      </c>
      <c r="AD211" s="12" t="str">
        <f t="shared" si="19"/>
        <v>Rs 2+</v>
      </c>
      <c r="AE211" s="20">
        <v>1</v>
      </c>
    </row>
    <row r="212" spans="1:31" x14ac:dyDescent="0.3">
      <c r="A212" s="12" t="s">
        <v>320</v>
      </c>
      <c r="B212" s="12" t="s">
        <v>305</v>
      </c>
      <c r="C212" s="12" t="s">
        <v>310</v>
      </c>
      <c r="D212" s="12" t="s">
        <v>77</v>
      </c>
      <c r="E212" s="13">
        <v>-97.7</v>
      </c>
      <c r="F212" s="13">
        <v>-82.9</v>
      </c>
      <c r="G212" s="13">
        <v>24.2</v>
      </c>
      <c r="H212" s="14">
        <v>1268</v>
      </c>
      <c r="I212" s="12" t="s">
        <v>297</v>
      </c>
      <c r="J212" s="14">
        <v>1440</v>
      </c>
      <c r="K212" s="15">
        <v>9</v>
      </c>
      <c r="L212" s="16">
        <v>725</v>
      </c>
      <c r="M212" s="16">
        <v>3920</v>
      </c>
      <c r="N212" s="17">
        <v>9.8000000000000007</v>
      </c>
      <c r="O212" s="17">
        <v>11.3</v>
      </c>
      <c r="P212" s="17">
        <v>5.6</v>
      </c>
      <c r="Q212" s="17">
        <v>7.35</v>
      </c>
      <c r="R212" s="17">
        <v>9.85</v>
      </c>
      <c r="S212" s="17">
        <v>7.3</v>
      </c>
      <c r="T212" s="16">
        <f t="shared" si="15"/>
        <v>7141.25</v>
      </c>
      <c r="U212" s="18">
        <v>-2158.0100000000002</v>
      </c>
      <c r="V212" s="19">
        <f t="shared" si="16"/>
        <v>-0.30218939261333805</v>
      </c>
      <c r="W212" s="19">
        <f t="shared" si="17"/>
        <v>-0.25888324873096447</v>
      </c>
      <c r="X212" s="19">
        <f t="shared" si="18"/>
        <v>0.14720812182741128</v>
      </c>
      <c r="Y212" s="12" t="s">
        <v>305</v>
      </c>
      <c r="Z212" s="12" t="s">
        <v>70</v>
      </c>
      <c r="AA212" s="18">
        <v>-2158.0100000000002</v>
      </c>
      <c r="AB212" s="17">
        <v>0.80900000000000005</v>
      </c>
      <c r="AC212" s="12" t="s">
        <v>71</v>
      </c>
      <c r="AD212" s="12" t="str">
        <f t="shared" si="19"/>
        <v>Rs 2+</v>
      </c>
      <c r="AE212" s="20">
        <v>1</v>
      </c>
    </row>
    <row r="213" spans="1:31" x14ac:dyDescent="0.3">
      <c r="A213" s="12" t="s">
        <v>321</v>
      </c>
      <c r="B213" s="12" t="s">
        <v>301</v>
      </c>
      <c r="C213" s="12" t="s">
        <v>305</v>
      </c>
      <c r="D213" s="12" t="s">
        <v>77</v>
      </c>
      <c r="E213" s="13">
        <v>-253.3</v>
      </c>
      <c r="F213" s="13">
        <v>-130.30000000000001</v>
      </c>
      <c r="G213" s="13">
        <v>-2.2000000000000002</v>
      </c>
      <c r="H213" s="14">
        <v>7832.55</v>
      </c>
      <c r="I213" s="12" t="s">
        <v>297</v>
      </c>
      <c r="J213" s="14">
        <v>7800</v>
      </c>
      <c r="K213" s="15">
        <v>0</v>
      </c>
      <c r="L213" s="16">
        <v>100</v>
      </c>
      <c r="M213" s="16">
        <v>5382</v>
      </c>
      <c r="N213" s="17">
        <v>35.049999999999997</v>
      </c>
      <c r="O213" s="17">
        <v>75.900000000000006</v>
      </c>
      <c r="P213" s="17">
        <v>14</v>
      </c>
      <c r="Q213" s="17">
        <v>24.75</v>
      </c>
      <c r="R213" s="17">
        <v>35.1</v>
      </c>
      <c r="S213" s="17">
        <v>24.7</v>
      </c>
      <c r="T213" s="16">
        <f t="shared" si="15"/>
        <v>3510</v>
      </c>
      <c r="U213" s="18">
        <v>-1272.94</v>
      </c>
      <c r="V213" s="19">
        <f t="shared" si="16"/>
        <v>-0.3626609686609687</v>
      </c>
      <c r="W213" s="19">
        <f t="shared" si="17"/>
        <v>-0.29629629629629639</v>
      </c>
      <c r="X213" s="19">
        <f t="shared" si="18"/>
        <v>1.1623931623931623</v>
      </c>
      <c r="Y213" s="12" t="s">
        <v>301</v>
      </c>
      <c r="Z213" s="12" t="s">
        <v>70</v>
      </c>
      <c r="AA213" s="18">
        <v>-1272.94</v>
      </c>
      <c r="AB213" s="17">
        <v>1.796</v>
      </c>
      <c r="AC213" s="12" t="s">
        <v>71</v>
      </c>
      <c r="AD213" s="12" t="str">
        <f t="shared" si="19"/>
        <v>Rs 2+</v>
      </c>
      <c r="AE213" s="20">
        <v>1</v>
      </c>
    </row>
    <row r="214" spans="1:31" x14ac:dyDescent="0.3">
      <c r="A214" s="12" t="s">
        <v>221</v>
      </c>
      <c r="B214" s="12" t="s">
        <v>301</v>
      </c>
      <c r="C214" s="12" t="s">
        <v>305</v>
      </c>
      <c r="D214" s="12" t="s">
        <v>68</v>
      </c>
      <c r="E214" s="13">
        <v>24.8</v>
      </c>
      <c r="F214" s="13">
        <v>12</v>
      </c>
      <c r="G214" s="13">
        <v>12.8</v>
      </c>
      <c r="H214" s="14">
        <v>7782</v>
      </c>
      <c r="I214" s="12" t="s">
        <v>297</v>
      </c>
      <c r="J214" s="14">
        <v>7600</v>
      </c>
      <c r="K214" s="15">
        <v>4</v>
      </c>
      <c r="L214" s="16">
        <v>125</v>
      </c>
      <c r="M214" s="16">
        <v>2232</v>
      </c>
      <c r="N214" s="17">
        <v>51.05</v>
      </c>
      <c r="O214" s="17">
        <v>107</v>
      </c>
      <c r="P214" s="17">
        <v>45.8</v>
      </c>
      <c r="Q214" s="17">
        <v>94.45</v>
      </c>
      <c r="R214" s="17">
        <v>51.1</v>
      </c>
      <c r="S214" s="17">
        <v>94.4</v>
      </c>
      <c r="T214" s="16">
        <f t="shared" si="15"/>
        <v>6387.5</v>
      </c>
      <c r="U214" s="18">
        <v>5157.8900000000003</v>
      </c>
      <c r="V214" s="19">
        <f t="shared" si="16"/>
        <v>0.80749745596868894</v>
      </c>
      <c r="W214" s="19">
        <f t="shared" si="17"/>
        <v>0.84735812133072419</v>
      </c>
      <c r="X214" s="19">
        <f t="shared" si="18"/>
        <v>1.0939334637964775</v>
      </c>
      <c r="Y214" s="12" t="s">
        <v>322</v>
      </c>
      <c r="Z214" s="12" t="s">
        <v>84</v>
      </c>
      <c r="AA214" s="18">
        <v>13927.09</v>
      </c>
      <c r="AB214" s="17">
        <v>1.887</v>
      </c>
      <c r="AC214" s="12" t="s">
        <v>71</v>
      </c>
      <c r="AD214" s="12" t="str">
        <f t="shared" si="19"/>
        <v>Rs 2+</v>
      </c>
      <c r="AE214" s="20">
        <v>1</v>
      </c>
    </row>
    <row r="215" spans="1:31" x14ac:dyDescent="0.3">
      <c r="A215" s="12" t="s">
        <v>146</v>
      </c>
      <c r="B215" s="12" t="s">
        <v>301</v>
      </c>
      <c r="C215" s="12" t="s">
        <v>305</v>
      </c>
      <c r="D215" s="12" t="s">
        <v>68</v>
      </c>
      <c r="E215" s="13">
        <v>38.5</v>
      </c>
      <c r="F215" s="13">
        <v>3.1</v>
      </c>
      <c r="G215" s="13">
        <v>26.4</v>
      </c>
      <c r="H215" s="14">
        <v>4316.1499999999996</v>
      </c>
      <c r="I215" s="12" t="s">
        <v>297</v>
      </c>
      <c r="J215" s="14">
        <v>4150</v>
      </c>
      <c r="K215" s="15">
        <v>3</v>
      </c>
      <c r="L215" s="16">
        <v>200</v>
      </c>
      <c r="M215" s="16">
        <v>1473</v>
      </c>
      <c r="N215" s="17">
        <v>25</v>
      </c>
      <c r="O215" s="17">
        <v>62</v>
      </c>
      <c r="P215" s="17">
        <v>13.7</v>
      </c>
      <c r="Q215" s="17">
        <v>40.549999999999997</v>
      </c>
      <c r="R215" s="17">
        <v>25.05</v>
      </c>
      <c r="S215" s="17">
        <v>40.5</v>
      </c>
      <c r="T215" s="16">
        <f t="shared" si="15"/>
        <v>5010</v>
      </c>
      <c r="U215" s="18">
        <v>2762.78</v>
      </c>
      <c r="V215" s="19">
        <f t="shared" si="16"/>
        <v>0.55145309381237528</v>
      </c>
      <c r="W215" s="19">
        <f t="shared" si="17"/>
        <v>0.61676646706586813</v>
      </c>
      <c r="X215" s="19">
        <f t="shared" si="18"/>
        <v>1.4750499001996009</v>
      </c>
      <c r="Y215" s="12" t="s">
        <v>306</v>
      </c>
      <c r="Z215" s="12" t="s">
        <v>84</v>
      </c>
      <c r="AA215" s="18">
        <v>-543.12</v>
      </c>
      <c r="AB215" s="17">
        <v>2.4569999999999999</v>
      </c>
      <c r="AC215" s="12" t="s">
        <v>71</v>
      </c>
      <c r="AD215" s="12" t="str">
        <f t="shared" si="19"/>
        <v>Rs 2+</v>
      </c>
      <c r="AE215" s="20">
        <v>1</v>
      </c>
    </row>
    <row r="216" spans="1:31" x14ac:dyDescent="0.3">
      <c r="A216" s="12" t="s">
        <v>260</v>
      </c>
      <c r="B216" s="12" t="s">
        <v>301</v>
      </c>
      <c r="C216" s="12" t="s">
        <v>305</v>
      </c>
      <c r="D216" s="12" t="s">
        <v>68</v>
      </c>
      <c r="E216" s="13">
        <v>72.8</v>
      </c>
      <c r="F216" s="13">
        <v>21.6</v>
      </c>
      <c r="G216" s="13">
        <v>24.2</v>
      </c>
      <c r="H216" s="14">
        <v>1955.5</v>
      </c>
      <c r="I216" s="12" t="s">
        <v>297</v>
      </c>
      <c r="J216" s="14">
        <v>1900</v>
      </c>
      <c r="K216" s="15">
        <v>3</v>
      </c>
      <c r="L216" s="16">
        <v>425</v>
      </c>
      <c r="M216" s="16">
        <v>2957</v>
      </c>
      <c r="N216" s="17">
        <v>15.15</v>
      </c>
      <c r="O216" s="17">
        <v>20.100000000000001</v>
      </c>
      <c r="P216" s="17">
        <v>10.199999999999999</v>
      </c>
      <c r="Q216" s="17">
        <v>16.149999999999999</v>
      </c>
      <c r="R216" s="17">
        <v>15.2</v>
      </c>
      <c r="S216" s="17">
        <v>16.100000000000001</v>
      </c>
      <c r="T216" s="16">
        <f t="shared" si="15"/>
        <v>6460</v>
      </c>
      <c r="U216" s="18">
        <v>186.23</v>
      </c>
      <c r="V216" s="19">
        <f t="shared" si="16"/>
        <v>2.8828173374613002E-2</v>
      </c>
      <c r="W216" s="19">
        <f t="shared" si="17"/>
        <v>5.9210526315789602E-2</v>
      </c>
      <c r="X216" s="19">
        <f t="shared" si="18"/>
        <v>0.32236842105263164</v>
      </c>
      <c r="Y216" s="12" t="s">
        <v>306</v>
      </c>
      <c r="Z216" s="12" t="s">
        <v>70</v>
      </c>
      <c r="AA216" s="18">
        <v>-2375.37</v>
      </c>
      <c r="AB216" s="17">
        <v>0.61499999999999999</v>
      </c>
      <c r="AC216" s="12" t="s">
        <v>71</v>
      </c>
      <c r="AD216" s="12" t="str">
        <f t="shared" si="19"/>
        <v>Rs 2+</v>
      </c>
      <c r="AE216" s="20">
        <v>1</v>
      </c>
    </row>
    <row r="217" spans="1:31" x14ac:dyDescent="0.3">
      <c r="A217" s="12" t="s">
        <v>164</v>
      </c>
      <c r="B217" s="12" t="s">
        <v>301</v>
      </c>
      <c r="C217" s="12" t="s">
        <v>305</v>
      </c>
      <c r="D217" s="12" t="s">
        <v>68</v>
      </c>
      <c r="E217" s="13">
        <v>14</v>
      </c>
      <c r="F217" s="13">
        <v>7.8</v>
      </c>
      <c r="G217" s="13">
        <v>10.3</v>
      </c>
      <c r="H217" s="14">
        <v>82.85</v>
      </c>
      <c r="I217" s="12" t="s">
        <v>297</v>
      </c>
      <c r="J217" s="14">
        <v>80</v>
      </c>
      <c r="K217" s="15">
        <v>3</v>
      </c>
      <c r="L217" s="16">
        <v>6400</v>
      </c>
      <c r="M217" s="16">
        <v>956</v>
      </c>
      <c r="N217" s="17">
        <v>1.17</v>
      </c>
      <c r="O217" s="17">
        <v>1.73</v>
      </c>
      <c r="P217" s="17">
        <v>0.96</v>
      </c>
      <c r="Q217" s="17">
        <v>0.99</v>
      </c>
      <c r="R217" s="17">
        <v>1.22</v>
      </c>
      <c r="S217" s="17">
        <v>0.94</v>
      </c>
      <c r="T217" s="16">
        <f t="shared" si="15"/>
        <v>7808</v>
      </c>
      <c r="U217" s="18">
        <v>-2130.75</v>
      </c>
      <c r="V217" s="19">
        <f t="shared" si="16"/>
        <v>-0.27289318647540983</v>
      </c>
      <c r="W217" s="19">
        <f t="shared" si="17"/>
        <v>-0.22950819672131151</v>
      </c>
      <c r="X217" s="19">
        <f t="shared" si="18"/>
        <v>0.41803278688524581</v>
      </c>
      <c r="Y217" s="12" t="s">
        <v>306</v>
      </c>
      <c r="Z217" s="12" t="s">
        <v>70</v>
      </c>
      <c r="AA217" s="18">
        <v>-4133.84</v>
      </c>
      <c r="AB217" s="17">
        <v>1.236</v>
      </c>
      <c r="AC217" s="12" t="s">
        <v>102</v>
      </c>
      <c r="AD217" s="12" t="str">
        <f t="shared" si="19"/>
        <v>Rs 1-2</v>
      </c>
      <c r="AE217" s="20">
        <v>1</v>
      </c>
    </row>
    <row r="218" spans="1:31" x14ac:dyDescent="0.3">
      <c r="A218" s="12" t="s">
        <v>141</v>
      </c>
      <c r="B218" s="12" t="s">
        <v>306</v>
      </c>
      <c r="C218" s="12" t="s">
        <v>301</v>
      </c>
      <c r="D218" s="12" t="s">
        <v>68</v>
      </c>
      <c r="E218" s="13">
        <v>35.1</v>
      </c>
      <c r="F218" s="13">
        <v>26.4</v>
      </c>
      <c r="G218" s="13">
        <v>16.100000000000001</v>
      </c>
      <c r="H218" s="14">
        <v>6656.5</v>
      </c>
      <c r="I218" s="12" t="s">
        <v>297</v>
      </c>
      <c r="J218" s="14">
        <v>6500</v>
      </c>
      <c r="K218" s="15">
        <v>3</v>
      </c>
      <c r="L218" s="16">
        <v>100</v>
      </c>
      <c r="M218" s="16">
        <v>1866</v>
      </c>
      <c r="N218" s="17">
        <v>72</v>
      </c>
      <c r="O218" s="17">
        <v>77</v>
      </c>
      <c r="P218" s="17">
        <v>45.9</v>
      </c>
      <c r="Q218" s="17">
        <v>49.8</v>
      </c>
      <c r="R218" s="17">
        <v>72.05</v>
      </c>
      <c r="S218" s="17">
        <v>49.75</v>
      </c>
      <c r="T218" s="16">
        <f t="shared" si="15"/>
        <v>7205</v>
      </c>
      <c r="U218" s="18">
        <v>-2411.8000000000002</v>
      </c>
      <c r="V218" s="19">
        <f t="shared" si="16"/>
        <v>-0.3347397640527412</v>
      </c>
      <c r="W218" s="19">
        <f t="shared" si="17"/>
        <v>-0.30950728660652327</v>
      </c>
      <c r="X218" s="19">
        <f t="shared" si="18"/>
        <v>6.8702290076335881E-2</v>
      </c>
      <c r="Y218" s="12" t="s">
        <v>306</v>
      </c>
      <c r="Z218" s="12" t="s">
        <v>70</v>
      </c>
      <c r="AA218" s="18">
        <v>-2411.8000000000002</v>
      </c>
      <c r="AB218" s="17">
        <v>0.127</v>
      </c>
      <c r="AC218" s="12" t="s">
        <v>71</v>
      </c>
      <c r="AD218" s="12" t="str">
        <f t="shared" si="19"/>
        <v>Rs 2+</v>
      </c>
      <c r="AE218" s="20">
        <v>1</v>
      </c>
    </row>
    <row r="219" spans="1:31" x14ac:dyDescent="0.3">
      <c r="A219" s="12" t="s">
        <v>204</v>
      </c>
      <c r="B219" s="12" t="s">
        <v>306</v>
      </c>
      <c r="C219" s="12" t="s">
        <v>301</v>
      </c>
      <c r="D219" s="12" t="s">
        <v>68</v>
      </c>
      <c r="E219" s="13">
        <v>21.3</v>
      </c>
      <c r="F219" s="13">
        <v>18.399999999999999</v>
      </c>
      <c r="G219" s="13">
        <v>13.5</v>
      </c>
      <c r="H219" s="14">
        <v>790.4</v>
      </c>
      <c r="I219" s="12" t="s">
        <v>297</v>
      </c>
      <c r="J219" s="14">
        <v>780</v>
      </c>
      <c r="K219" s="15">
        <v>1</v>
      </c>
      <c r="L219" s="16">
        <v>700</v>
      </c>
      <c r="M219" s="16">
        <v>3974</v>
      </c>
      <c r="N219" s="17">
        <v>9.1</v>
      </c>
      <c r="O219" s="17">
        <v>13.25</v>
      </c>
      <c r="P219" s="17">
        <v>7.8</v>
      </c>
      <c r="Q219" s="17">
        <v>12.6</v>
      </c>
      <c r="R219" s="17">
        <v>9.15</v>
      </c>
      <c r="S219" s="17">
        <v>12.55</v>
      </c>
      <c r="T219" s="16">
        <f t="shared" si="15"/>
        <v>6405</v>
      </c>
      <c r="U219" s="18">
        <v>2161.14</v>
      </c>
      <c r="V219" s="19">
        <f t="shared" si="16"/>
        <v>0.33741451990632315</v>
      </c>
      <c r="W219" s="19">
        <f t="shared" si="17"/>
        <v>0.37158469945355188</v>
      </c>
      <c r="X219" s="19">
        <f t="shared" si="18"/>
        <v>0.44808743169398912</v>
      </c>
      <c r="Y219" s="12" t="s">
        <v>323</v>
      </c>
      <c r="Z219" s="12" t="s">
        <v>84</v>
      </c>
      <c r="AA219" s="18">
        <v>-536.32000000000005</v>
      </c>
      <c r="AB219" s="17">
        <v>0.85899999999999999</v>
      </c>
      <c r="AC219" s="12" t="s">
        <v>71</v>
      </c>
      <c r="AD219" s="12" t="str">
        <f t="shared" si="19"/>
        <v>Rs 2+</v>
      </c>
      <c r="AE219" s="20">
        <v>1</v>
      </c>
    </row>
    <row r="220" spans="1:31" x14ac:dyDescent="0.3">
      <c r="A220" s="12" t="s">
        <v>168</v>
      </c>
      <c r="B220" s="12" t="s">
        <v>306</v>
      </c>
      <c r="C220" s="12" t="s">
        <v>301</v>
      </c>
      <c r="D220" s="12" t="s">
        <v>68</v>
      </c>
      <c r="E220" s="13">
        <v>36.700000000000003</v>
      </c>
      <c r="F220" s="13">
        <v>36.299999999999997</v>
      </c>
      <c r="G220" s="13">
        <v>7.3</v>
      </c>
      <c r="H220" s="14">
        <v>234.7</v>
      </c>
      <c r="I220" s="12" t="s">
        <v>297</v>
      </c>
      <c r="J220" s="14">
        <v>235</v>
      </c>
      <c r="K220" s="15">
        <v>0</v>
      </c>
      <c r="L220" s="16">
        <v>3750</v>
      </c>
      <c r="M220" s="16">
        <v>3809</v>
      </c>
      <c r="N220" s="17">
        <v>2.06</v>
      </c>
      <c r="O220" s="17">
        <v>3.25</v>
      </c>
      <c r="P220" s="17">
        <v>1.05</v>
      </c>
      <c r="Q220" s="17">
        <v>1.1599999999999999</v>
      </c>
      <c r="R220" s="17">
        <v>2.11</v>
      </c>
      <c r="S220" s="17">
        <v>1.1100000000000001</v>
      </c>
      <c r="T220" s="16">
        <f t="shared" si="15"/>
        <v>7912.4999999999991</v>
      </c>
      <c r="U220" s="18">
        <v>-4050.26</v>
      </c>
      <c r="V220" s="19">
        <f t="shared" si="16"/>
        <v>-0.51188120063191167</v>
      </c>
      <c r="W220" s="19">
        <f t="shared" si="17"/>
        <v>-0.47393364928909942</v>
      </c>
      <c r="X220" s="19">
        <f t="shared" si="18"/>
        <v>0.54028436018957349</v>
      </c>
      <c r="Y220" s="12" t="s">
        <v>306</v>
      </c>
      <c r="Z220" s="12" t="s">
        <v>70</v>
      </c>
      <c r="AA220" s="18">
        <v>-4050.26</v>
      </c>
      <c r="AB220" s="17">
        <v>-6.7220000000000004</v>
      </c>
      <c r="AC220" s="12" t="s">
        <v>71</v>
      </c>
      <c r="AD220" s="12" t="str">
        <f t="shared" si="19"/>
        <v>Rs 2+</v>
      </c>
      <c r="AE220" s="20">
        <v>1</v>
      </c>
    </row>
    <row r="221" spans="1:31" x14ac:dyDescent="0.3">
      <c r="A221" s="12" t="s">
        <v>170</v>
      </c>
      <c r="B221" s="12" t="s">
        <v>306</v>
      </c>
      <c r="C221" s="12" t="s">
        <v>301</v>
      </c>
      <c r="D221" s="12" t="s">
        <v>68</v>
      </c>
      <c r="E221" s="13">
        <v>154.30000000000001</v>
      </c>
      <c r="F221" s="13">
        <v>34.799999999999997</v>
      </c>
      <c r="G221" s="13">
        <v>25.1</v>
      </c>
      <c r="H221" s="14">
        <v>245.9</v>
      </c>
      <c r="I221" s="12" t="s">
        <v>297</v>
      </c>
      <c r="J221" s="14">
        <v>240</v>
      </c>
      <c r="K221" s="15">
        <v>2</v>
      </c>
      <c r="L221" s="16">
        <v>3125</v>
      </c>
      <c r="M221" s="16">
        <v>2532</v>
      </c>
      <c r="N221" s="17">
        <v>1.8</v>
      </c>
      <c r="O221" s="17">
        <v>3.22</v>
      </c>
      <c r="P221" s="17">
        <v>0.75</v>
      </c>
      <c r="Q221" s="17">
        <v>1.06</v>
      </c>
      <c r="R221" s="17">
        <v>1.85</v>
      </c>
      <c r="S221" s="17">
        <v>1.01</v>
      </c>
      <c r="T221" s="16">
        <f t="shared" si="15"/>
        <v>5781.25</v>
      </c>
      <c r="U221" s="18">
        <v>-2859.6</v>
      </c>
      <c r="V221" s="19">
        <f t="shared" si="16"/>
        <v>-0.49463351351351348</v>
      </c>
      <c r="W221" s="19">
        <f t="shared" si="17"/>
        <v>-0.45405405405405408</v>
      </c>
      <c r="X221" s="19">
        <f t="shared" si="18"/>
        <v>0.74054054054054053</v>
      </c>
      <c r="Y221" s="12" t="s">
        <v>306</v>
      </c>
      <c r="Z221" s="12" t="s">
        <v>70</v>
      </c>
      <c r="AA221" s="18">
        <v>-2859.6</v>
      </c>
      <c r="AB221" s="17">
        <v>-3.0830000000000002</v>
      </c>
      <c r="AC221" s="12" t="s">
        <v>102</v>
      </c>
      <c r="AD221" s="12" t="str">
        <f t="shared" si="19"/>
        <v>Rs 1-2</v>
      </c>
      <c r="AE221" s="20">
        <v>1</v>
      </c>
    </row>
    <row r="222" spans="1:31" x14ac:dyDescent="0.3">
      <c r="A222" s="12" t="s">
        <v>324</v>
      </c>
      <c r="B222" s="12" t="s">
        <v>306</v>
      </c>
      <c r="C222" s="12" t="s">
        <v>301</v>
      </c>
      <c r="D222" s="12" t="s">
        <v>68</v>
      </c>
      <c r="E222" s="13">
        <v>21.3</v>
      </c>
      <c r="F222" s="13">
        <v>4.5</v>
      </c>
      <c r="G222" s="13">
        <v>13.4</v>
      </c>
      <c r="H222" s="14">
        <v>1229.7</v>
      </c>
      <c r="I222" s="12" t="s">
        <v>297</v>
      </c>
      <c r="J222" s="14">
        <v>1200</v>
      </c>
      <c r="K222" s="15">
        <v>1</v>
      </c>
      <c r="L222" s="16">
        <v>550</v>
      </c>
      <c r="M222" s="16">
        <v>1474</v>
      </c>
      <c r="N222" s="17">
        <v>13.25</v>
      </c>
      <c r="O222" s="17">
        <v>13.25</v>
      </c>
      <c r="P222" s="17">
        <v>3.05</v>
      </c>
      <c r="Q222" s="17">
        <v>3.25</v>
      </c>
      <c r="R222" s="17">
        <v>13.3</v>
      </c>
      <c r="S222" s="17">
        <v>3.2</v>
      </c>
      <c r="T222" s="16">
        <f t="shared" si="15"/>
        <v>7315</v>
      </c>
      <c r="U222" s="18">
        <v>-5790.38</v>
      </c>
      <c r="V222" s="19">
        <f t="shared" si="16"/>
        <v>-0.79157621326042382</v>
      </c>
      <c r="W222" s="19">
        <f t="shared" si="17"/>
        <v>-0.75939849624060152</v>
      </c>
      <c r="X222" s="19">
        <f t="shared" si="18"/>
        <v>-3.7593984962406291E-3</v>
      </c>
      <c r="Y222" s="12" t="s">
        <v>306</v>
      </c>
      <c r="Z222" s="12" t="s">
        <v>70</v>
      </c>
      <c r="AA222" s="18">
        <v>-5790.38</v>
      </c>
      <c r="AB222" s="17">
        <v>-7.2859999999999996</v>
      </c>
      <c r="AC222" s="12" t="s">
        <v>71</v>
      </c>
      <c r="AD222" s="12" t="str">
        <f t="shared" si="19"/>
        <v>Rs 2+</v>
      </c>
      <c r="AE222" s="20">
        <v>1</v>
      </c>
    </row>
    <row r="223" spans="1:31" x14ac:dyDescent="0.3">
      <c r="A223" s="12" t="s">
        <v>123</v>
      </c>
      <c r="B223" s="12" t="s">
        <v>323</v>
      </c>
      <c r="C223" s="12" t="s">
        <v>306</v>
      </c>
      <c r="D223" s="12" t="s">
        <v>68</v>
      </c>
      <c r="E223" s="13">
        <v>23.3</v>
      </c>
      <c r="F223" s="13">
        <v>3.8</v>
      </c>
      <c r="G223" s="13">
        <v>18.100000000000001</v>
      </c>
      <c r="H223" s="14">
        <v>1085</v>
      </c>
      <c r="I223" s="12" t="s">
        <v>297</v>
      </c>
      <c r="J223" s="14">
        <v>1000</v>
      </c>
      <c r="K223" s="15">
        <v>9</v>
      </c>
      <c r="L223" s="16">
        <v>750</v>
      </c>
      <c r="M223" s="16">
        <v>30763</v>
      </c>
      <c r="N223" s="17">
        <v>7.5</v>
      </c>
      <c r="O223" s="17">
        <v>20.350000000000001</v>
      </c>
      <c r="P223" s="17">
        <v>7.5</v>
      </c>
      <c r="Q223" s="17">
        <v>15.25</v>
      </c>
      <c r="R223" s="17">
        <v>7.55</v>
      </c>
      <c r="S223" s="17">
        <v>15.2</v>
      </c>
      <c r="T223" s="16">
        <f t="shared" si="15"/>
        <v>5662.5</v>
      </c>
      <c r="U223" s="18">
        <v>5495.23</v>
      </c>
      <c r="V223" s="19">
        <f t="shared" si="16"/>
        <v>0.97046004415011033</v>
      </c>
      <c r="W223" s="19">
        <f t="shared" si="17"/>
        <v>1.0132450331125828</v>
      </c>
      <c r="X223" s="19">
        <f t="shared" si="18"/>
        <v>1.6953642384105962</v>
      </c>
      <c r="Y223" s="12" t="s">
        <v>314</v>
      </c>
      <c r="Z223" s="12" t="s">
        <v>84</v>
      </c>
      <c r="AA223" s="18">
        <v>2123.41</v>
      </c>
      <c r="AB223" s="17">
        <v>3.6890000000000001</v>
      </c>
      <c r="AC223" s="12" t="s">
        <v>71</v>
      </c>
      <c r="AD223" s="12" t="str">
        <f t="shared" si="19"/>
        <v>Rs 2+</v>
      </c>
      <c r="AE223" s="20">
        <v>1</v>
      </c>
    </row>
    <row r="224" spans="1:31" x14ac:dyDescent="0.3">
      <c r="A224" s="12" t="s">
        <v>183</v>
      </c>
      <c r="B224" s="12" t="s">
        <v>323</v>
      </c>
      <c r="C224" s="12" t="s">
        <v>306</v>
      </c>
      <c r="D224" s="12" t="s">
        <v>77</v>
      </c>
      <c r="E224" s="13">
        <v>-17</v>
      </c>
      <c r="F224" s="13">
        <v>-1.6</v>
      </c>
      <c r="G224" s="13">
        <v>7.9</v>
      </c>
      <c r="H224" s="14">
        <v>1192.9000000000001</v>
      </c>
      <c r="I224" s="12" t="s">
        <v>297</v>
      </c>
      <c r="J224" s="14">
        <v>1220</v>
      </c>
      <c r="K224" s="15">
        <v>1</v>
      </c>
      <c r="L224" s="16">
        <v>400</v>
      </c>
      <c r="M224" s="16">
        <v>2355</v>
      </c>
      <c r="N224" s="17">
        <v>18.05</v>
      </c>
      <c r="O224" s="17">
        <v>27.35</v>
      </c>
      <c r="P224" s="17">
        <v>11.95</v>
      </c>
      <c r="Q224" s="17">
        <v>24.6</v>
      </c>
      <c r="R224" s="17">
        <v>18.100000000000001</v>
      </c>
      <c r="S224" s="17">
        <v>24.55</v>
      </c>
      <c r="T224" s="16">
        <f t="shared" si="15"/>
        <v>7240.0000000000009</v>
      </c>
      <c r="U224" s="18">
        <v>2169.48</v>
      </c>
      <c r="V224" s="19">
        <f t="shared" si="16"/>
        <v>0.29965193370165744</v>
      </c>
      <c r="W224" s="19">
        <f t="shared" si="17"/>
        <v>0.35635359116022092</v>
      </c>
      <c r="X224" s="19">
        <f t="shared" si="18"/>
        <v>0.51104972375690605</v>
      </c>
      <c r="Y224" s="12" t="s">
        <v>325</v>
      </c>
      <c r="Z224" s="12" t="s">
        <v>84</v>
      </c>
      <c r="AA224" s="18">
        <v>1934.75</v>
      </c>
      <c r="AB224" s="17">
        <v>2.3980000000000001</v>
      </c>
      <c r="AC224" s="12" t="s">
        <v>71</v>
      </c>
      <c r="AD224" s="12" t="str">
        <f t="shared" si="19"/>
        <v>Rs 2+</v>
      </c>
      <c r="AE224" s="20">
        <v>1</v>
      </c>
    </row>
    <row r="225" spans="1:31" x14ac:dyDescent="0.3">
      <c r="A225" s="12" t="s">
        <v>152</v>
      </c>
      <c r="B225" s="12" t="s">
        <v>323</v>
      </c>
      <c r="C225" s="12" t="s">
        <v>306</v>
      </c>
      <c r="D225" s="12" t="s">
        <v>68</v>
      </c>
      <c r="E225" s="13">
        <v>19.100000000000001</v>
      </c>
      <c r="F225" s="13">
        <v>2.6</v>
      </c>
      <c r="G225" s="13">
        <v>21.4</v>
      </c>
      <c r="H225" s="14">
        <v>13407</v>
      </c>
      <c r="I225" s="12" t="s">
        <v>297</v>
      </c>
      <c r="J225" s="14">
        <v>12500</v>
      </c>
      <c r="K225" s="15">
        <v>4</v>
      </c>
      <c r="L225" s="16">
        <v>75</v>
      </c>
      <c r="M225" s="16">
        <v>1999</v>
      </c>
      <c r="N225" s="17">
        <v>83.15</v>
      </c>
      <c r="O225" s="17">
        <v>93.8</v>
      </c>
      <c r="P225" s="17">
        <v>21.5</v>
      </c>
      <c r="Q225" s="17">
        <v>24.7</v>
      </c>
      <c r="R225" s="17">
        <v>83.2</v>
      </c>
      <c r="S225" s="17">
        <v>24.65</v>
      </c>
      <c r="T225" s="16">
        <f t="shared" si="15"/>
        <v>6240</v>
      </c>
      <c r="U225" s="18">
        <v>-4525.71</v>
      </c>
      <c r="V225" s="19">
        <f t="shared" si="16"/>
        <v>-0.72527403846153848</v>
      </c>
      <c r="W225" s="19">
        <f t="shared" si="17"/>
        <v>-0.70372596153846156</v>
      </c>
      <c r="X225" s="19">
        <f t="shared" si="18"/>
        <v>0.12740384615384603</v>
      </c>
      <c r="Y225" s="12" t="s">
        <v>323</v>
      </c>
      <c r="Z225" s="12" t="s">
        <v>70</v>
      </c>
      <c r="AA225" s="18">
        <v>-4525.71</v>
      </c>
      <c r="AB225" s="17">
        <v>-2.2850000000000001</v>
      </c>
      <c r="AC225" s="12" t="s">
        <v>71</v>
      </c>
      <c r="AD225" s="12" t="str">
        <f t="shared" si="19"/>
        <v>Rs 2+</v>
      </c>
      <c r="AE225" s="20">
        <v>1</v>
      </c>
    </row>
    <row r="226" spans="1:31" x14ac:dyDescent="0.3">
      <c r="A226" s="12" t="s">
        <v>176</v>
      </c>
      <c r="B226" s="12" t="s">
        <v>314</v>
      </c>
      <c r="C226" s="12" t="s">
        <v>323</v>
      </c>
      <c r="D226" s="12" t="s">
        <v>68</v>
      </c>
      <c r="E226" s="13">
        <v>23</v>
      </c>
      <c r="F226" s="13">
        <v>5.4</v>
      </c>
      <c r="G226" s="13">
        <v>9.3000000000000007</v>
      </c>
      <c r="H226" s="14">
        <v>1402.1</v>
      </c>
      <c r="I226" s="12" t="s">
        <v>297</v>
      </c>
      <c r="J226" s="14">
        <v>1360</v>
      </c>
      <c r="K226" s="15">
        <v>2</v>
      </c>
      <c r="L226" s="16">
        <v>500</v>
      </c>
      <c r="M226" s="16">
        <v>1673</v>
      </c>
      <c r="N226" s="17">
        <v>15.65</v>
      </c>
      <c r="O226" s="17">
        <v>20</v>
      </c>
      <c r="P226" s="17">
        <v>12</v>
      </c>
      <c r="Q226" s="17">
        <v>15.75</v>
      </c>
      <c r="R226" s="17">
        <v>15.7</v>
      </c>
      <c r="S226" s="17">
        <v>15.7</v>
      </c>
      <c r="T226" s="16">
        <f t="shared" si="15"/>
        <v>7850</v>
      </c>
      <c r="U226" s="18">
        <v>-379.82</v>
      </c>
      <c r="V226" s="19">
        <f t="shared" si="16"/>
        <v>-4.8384713375796175E-2</v>
      </c>
      <c r="W226" s="19">
        <f t="shared" si="17"/>
        <v>0</v>
      </c>
      <c r="X226" s="19">
        <f t="shared" si="18"/>
        <v>0.2738853503184715</v>
      </c>
      <c r="Y226" s="12" t="s">
        <v>325</v>
      </c>
      <c r="Z226" s="12" t="s">
        <v>70</v>
      </c>
      <c r="AA226" s="18">
        <v>-2873.92</v>
      </c>
      <c r="AB226" s="17">
        <v>1.4750000000000001</v>
      </c>
      <c r="AC226" s="12" t="s">
        <v>71</v>
      </c>
      <c r="AD226" s="12" t="str">
        <f t="shared" si="19"/>
        <v>Rs 2+</v>
      </c>
      <c r="AE226" s="20">
        <v>1</v>
      </c>
    </row>
    <row r="227" spans="1:31" x14ac:dyDescent="0.3">
      <c r="A227" s="12" t="s">
        <v>265</v>
      </c>
      <c r="B227" s="12" t="s">
        <v>314</v>
      </c>
      <c r="C227" s="12" t="s">
        <v>323</v>
      </c>
      <c r="D227" s="12" t="s">
        <v>68</v>
      </c>
      <c r="E227" s="13">
        <v>390</v>
      </c>
      <c r="F227" s="13">
        <v>48.9</v>
      </c>
      <c r="G227" s="13">
        <v>19.600000000000001</v>
      </c>
      <c r="H227" s="14">
        <v>385.1</v>
      </c>
      <c r="I227" s="12" t="s">
        <v>297</v>
      </c>
      <c r="J227" s="14">
        <v>370</v>
      </c>
      <c r="K227" s="15">
        <v>3</v>
      </c>
      <c r="L227" s="16">
        <v>2500</v>
      </c>
      <c r="M227" s="16">
        <v>3452</v>
      </c>
      <c r="N227" s="17">
        <v>2.0499999999999998</v>
      </c>
      <c r="O227" s="17">
        <v>3.9</v>
      </c>
      <c r="P227" s="17">
        <v>0.75</v>
      </c>
      <c r="Q227" s="17">
        <v>0.85</v>
      </c>
      <c r="R227" s="17">
        <v>2.1</v>
      </c>
      <c r="S227" s="17">
        <v>0.8</v>
      </c>
      <c r="T227" s="16">
        <f t="shared" si="15"/>
        <v>5250</v>
      </c>
      <c r="U227" s="18">
        <v>-3448.42</v>
      </c>
      <c r="V227" s="19">
        <f t="shared" si="16"/>
        <v>-0.65684190476190474</v>
      </c>
      <c r="W227" s="19">
        <f t="shared" si="17"/>
        <v>-0.61904761904761907</v>
      </c>
      <c r="X227" s="19">
        <f t="shared" si="18"/>
        <v>0.85714285714285698</v>
      </c>
      <c r="Y227" s="12" t="s">
        <v>314</v>
      </c>
      <c r="Z227" s="12" t="s">
        <v>70</v>
      </c>
      <c r="AA227" s="18">
        <v>-3448.42</v>
      </c>
      <c r="AB227" s="17">
        <v>-4.7480000000000002</v>
      </c>
      <c r="AC227" s="12" t="s">
        <v>71</v>
      </c>
      <c r="AD227" s="12" t="str">
        <f t="shared" si="19"/>
        <v>Rs 2+</v>
      </c>
      <c r="AE227" s="20">
        <v>1</v>
      </c>
    </row>
    <row r="228" spans="1:31" x14ac:dyDescent="0.3">
      <c r="A228" s="12" t="s">
        <v>267</v>
      </c>
      <c r="B228" s="12" t="s">
        <v>314</v>
      </c>
      <c r="C228" s="12" t="s">
        <v>323</v>
      </c>
      <c r="D228" s="12" t="s">
        <v>68</v>
      </c>
      <c r="E228" s="13">
        <v>61.1</v>
      </c>
      <c r="F228" s="13">
        <v>3.5</v>
      </c>
      <c r="G228" s="13">
        <v>43.2</v>
      </c>
      <c r="H228" s="14">
        <v>2644.2</v>
      </c>
      <c r="I228" s="12" t="s">
        <v>297</v>
      </c>
      <c r="J228" s="14">
        <v>2500</v>
      </c>
      <c r="K228" s="15">
        <v>3</v>
      </c>
      <c r="L228" s="16">
        <v>375</v>
      </c>
      <c r="M228" s="16">
        <v>12319</v>
      </c>
      <c r="N228" s="17">
        <v>13.95</v>
      </c>
      <c r="O228" s="17">
        <v>18.05</v>
      </c>
      <c r="P228" s="17">
        <v>9.25</v>
      </c>
      <c r="Q228" s="17">
        <v>10.75</v>
      </c>
      <c r="R228" s="17">
        <v>14</v>
      </c>
      <c r="S228" s="17">
        <v>10.7</v>
      </c>
      <c r="T228" s="16">
        <f t="shared" si="15"/>
        <v>5250</v>
      </c>
      <c r="U228" s="18">
        <v>-1480.04</v>
      </c>
      <c r="V228" s="19">
        <f t="shared" si="16"/>
        <v>-0.28191238095238097</v>
      </c>
      <c r="W228" s="19">
        <f t="shared" si="17"/>
        <v>-0.23571428571428577</v>
      </c>
      <c r="X228" s="19">
        <f t="shared" si="18"/>
        <v>0.28928571428571437</v>
      </c>
      <c r="Y228" s="12" t="s">
        <v>314</v>
      </c>
      <c r="Z228" s="12" t="s">
        <v>70</v>
      </c>
      <c r="AA228" s="18">
        <v>-1480.04</v>
      </c>
      <c r="AB228" s="17">
        <v>-0.19500000000000001</v>
      </c>
      <c r="AC228" s="12" t="s">
        <v>71</v>
      </c>
      <c r="AD228" s="12" t="str">
        <f t="shared" si="19"/>
        <v>Rs 2+</v>
      </c>
      <c r="AE228" s="20">
        <v>1</v>
      </c>
    </row>
    <row r="229" spans="1:31" x14ac:dyDescent="0.3">
      <c r="A229" s="12" t="s">
        <v>263</v>
      </c>
      <c r="B229" s="12" t="s">
        <v>314</v>
      </c>
      <c r="C229" s="12" t="s">
        <v>323</v>
      </c>
      <c r="D229" s="12" t="s">
        <v>68</v>
      </c>
      <c r="E229" s="13">
        <v>70.3</v>
      </c>
      <c r="F229" s="13">
        <v>23.3</v>
      </c>
      <c r="G229" s="13">
        <v>17.3</v>
      </c>
      <c r="H229" s="14">
        <v>986.9</v>
      </c>
      <c r="I229" s="12" t="s">
        <v>297</v>
      </c>
      <c r="J229" s="14">
        <v>960</v>
      </c>
      <c r="K229" s="15">
        <v>3</v>
      </c>
      <c r="L229" s="16">
        <v>775</v>
      </c>
      <c r="M229" s="16">
        <v>3649</v>
      </c>
      <c r="N229" s="17">
        <v>7.25</v>
      </c>
      <c r="O229" s="17">
        <v>28.6</v>
      </c>
      <c r="P229" s="17">
        <v>7.05</v>
      </c>
      <c r="Q229" s="17">
        <v>16.350000000000001</v>
      </c>
      <c r="R229" s="17">
        <v>7.3</v>
      </c>
      <c r="S229" s="17">
        <v>16.3</v>
      </c>
      <c r="T229" s="16">
        <f t="shared" si="15"/>
        <v>5657.5</v>
      </c>
      <c r="U229" s="18">
        <v>6535.19</v>
      </c>
      <c r="V229" s="19">
        <f t="shared" si="16"/>
        <v>1.1551374281926645</v>
      </c>
      <c r="W229" s="19">
        <f t="shared" si="17"/>
        <v>1.2328767123287672</v>
      </c>
      <c r="X229" s="19">
        <f t="shared" si="18"/>
        <v>2.9178082191780823</v>
      </c>
      <c r="Y229" s="12" t="s">
        <v>326</v>
      </c>
      <c r="Z229" s="12" t="s">
        <v>111</v>
      </c>
      <c r="AA229" s="18">
        <v>22984.04</v>
      </c>
      <c r="AB229" s="17">
        <v>3.456</v>
      </c>
      <c r="AC229" s="12" t="s">
        <v>71</v>
      </c>
      <c r="AD229" s="12" t="str">
        <f t="shared" si="19"/>
        <v>Rs 2+</v>
      </c>
      <c r="AE229" s="20">
        <v>1</v>
      </c>
    </row>
    <row r="230" spans="1:31" x14ac:dyDescent="0.3">
      <c r="A230" s="12" t="s">
        <v>143</v>
      </c>
      <c r="B230" s="12" t="s">
        <v>314</v>
      </c>
      <c r="C230" s="12" t="s">
        <v>323</v>
      </c>
      <c r="D230" s="12" t="s">
        <v>77</v>
      </c>
      <c r="E230" s="13">
        <v>-95.8</v>
      </c>
      <c r="F230" s="13">
        <v>-93.2</v>
      </c>
      <c r="G230" s="13">
        <v>-26.8</v>
      </c>
      <c r="H230" s="14">
        <v>1635.5</v>
      </c>
      <c r="I230" s="12" t="s">
        <v>297</v>
      </c>
      <c r="J230" s="14">
        <v>1680</v>
      </c>
      <c r="K230" s="15">
        <v>2</v>
      </c>
      <c r="L230" s="16">
        <v>400</v>
      </c>
      <c r="M230" s="16">
        <v>7285</v>
      </c>
      <c r="N230" s="17">
        <v>19.95</v>
      </c>
      <c r="O230" s="17">
        <v>70</v>
      </c>
      <c r="P230" s="17">
        <v>19.899999999999999</v>
      </c>
      <c r="Q230" s="17">
        <v>61.85</v>
      </c>
      <c r="R230" s="17">
        <v>20</v>
      </c>
      <c r="S230" s="17">
        <v>61.8</v>
      </c>
      <c r="T230" s="16">
        <f t="shared" si="15"/>
        <v>8000</v>
      </c>
      <c r="U230" s="18">
        <v>15967.33</v>
      </c>
      <c r="V230" s="19">
        <f t="shared" si="16"/>
        <v>1.9959162500000001</v>
      </c>
      <c r="W230" s="19">
        <f t="shared" si="17"/>
        <v>2.09</v>
      </c>
      <c r="X230" s="19">
        <f t="shared" si="18"/>
        <v>2.5</v>
      </c>
      <c r="Y230" s="12" t="s">
        <v>325</v>
      </c>
      <c r="Z230" s="12" t="s">
        <v>84</v>
      </c>
      <c r="AA230" s="18">
        <v>2430.6999999999998</v>
      </c>
      <c r="AB230" s="17">
        <v>7.4249999999999998</v>
      </c>
      <c r="AC230" s="12" t="s">
        <v>71</v>
      </c>
      <c r="AD230" s="12" t="str">
        <f t="shared" si="19"/>
        <v>Rs 2+</v>
      </c>
      <c r="AE230" s="20">
        <v>1</v>
      </c>
    </row>
    <row r="231" spans="1:31" x14ac:dyDescent="0.3">
      <c r="A231" s="12" t="s">
        <v>327</v>
      </c>
      <c r="B231" s="12" t="s">
        <v>328</v>
      </c>
      <c r="C231" s="12" t="s">
        <v>314</v>
      </c>
      <c r="D231" s="12" t="s">
        <v>68</v>
      </c>
      <c r="E231" s="13">
        <v>10.5</v>
      </c>
      <c r="F231" s="13">
        <v>20.6</v>
      </c>
      <c r="G231" s="13">
        <v>10.9</v>
      </c>
      <c r="H231" s="14">
        <v>4748.45</v>
      </c>
      <c r="I231" s="12" t="s">
        <v>297</v>
      </c>
      <c r="J231" s="14">
        <v>4600</v>
      </c>
      <c r="K231" s="15">
        <v>3</v>
      </c>
      <c r="L231" s="16">
        <v>150</v>
      </c>
      <c r="M231" s="16">
        <v>6282</v>
      </c>
      <c r="N231" s="17">
        <v>46.4</v>
      </c>
      <c r="O231" s="17">
        <v>70</v>
      </c>
      <c r="P231" s="17">
        <v>26.4</v>
      </c>
      <c r="Q231" s="17">
        <v>32.1</v>
      </c>
      <c r="R231" s="17">
        <v>46.45</v>
      </c>
      <c r="S231" s="17">
        <v>32.049999999999997</v>
      </c>
      <c r="T231" s="16">
        <f t="shared" si="15"/>
        <v>6967.5</v>
      </c>
      <c r="U231" s="18">
        <v>-2337.33</v>
      </c>
      <c r="V231" s="19">
        <f t="shared" si="16"/>
        <v>-0.33546178686759953</v>
      </c>
      <c r="W231" s="19">
        <f t="shared" si="17"/>
        <v>-0.31001076426264806</v>
      </c>
      <c r="X231" s="19">
        <f t="shared" si="18"/>
        <v>0.50699677072120553</v>
      </c>
      <c r="Y231" s="12" t="s">
        <v>328</v>
      </c>
      <c r="Z231" s="12" t="s">
        <v>70</v>
      </c>
      <c r="AA231" s="18">
        <v>-2337.33</v>
      </c>
      <c r="AB231" s="17">
        <v>-0.317</v>
      </c>
      <c r="AC231" s="12" t="s">
        <v>71</v>
      </c>
      <c r="AD231" s="12" t="str">
        <f t="shared" si="19"/>
        <v>Rs 2+</v>
      </c>
      <c r="AE231" s="20">
        <v>1</v>
      </c>
    </row>
    <row r="232" spans="1:31" x14ac:dyDescent="0.3">
      <c r="A232" s="12" t="s">
        <v>148</v>
      </c>
      <c r="B232" s="12" t="s">
        <v>328</v>
      </c>
      <c r="C232" s="12" t="s">
        <v>314</v>
      </c>
      <c r="D232" s="12" t="s">
        <v>68</v>
      </c>
      <c r="E232" s="13">
        <v>310.10000000000002</v>
      </c>
      <c r="F232" s="13">
        <v>1.4</v>
      </c>
      <c r="G232" s="13">
        <v>14.9</v>
      </c>
      <c r="H232" s="14">
        <v>1376.4</v>
      </c>
      <c r="I232" s="12" t="s">
        <v>297</v>
      </c>
      <c r="J232" s="14">
        <v>1340</v>
      </c>
      <c r="K232" s="15">
        <v>2</v>
      </c>
      <c r="L232" s="16">
        <v>375</v>
      </c>
      <c r="M232" s="16">
        <v>3383</v>
      </c>
      <c r="N232" s="17">
        <v>15.95</v>
      </c>
      <c r="O232" s="17">
        <v>33.65</v>
      </c>
      <c r="P232" s="17">
        <v>15.95</v>
      </c>
      <c r="Q232" s="17">
        <v>23.1</v>
      </c>
      <c r="R232" s="17">
        <v>16</v>
      </c>
      <c r="S232" s="17">
        <v>23.05</v>
      </c>
      <c r="T232" s="16">
        <f t="shared" si="15"/>
        <v>6000</v>
      </c>
      <c r="U232" s="18">
        <v>2430.81</v>
      </c>
      <c r="V232" s="19">
        <f t="shared" si="16"/>
        <v>0.40513499999999997</v>
      </c>
      <c r="W232" s="19">
        <f t="shared" si="17"/>
        <v>0.44062500000000004</v>
      </c>
      <c r="X232" s="19">
        <f t="shared" si="18"/>
        <v>1.1031249999999999</v>
      </c>
      <c r="Y232" s="12" t="s">
        <v>322</v>
      </c>
      <c r="Z232" s="12" t="s">
        <v>70</v>
      </c>
      <c r="AA232" s="18">
        <v>-2386.0700000000002</v>
      </c>
      <c r="AB232" s="17">
        <v>2.5459999999999998</v>
      </c>
      <c r="AC232" s="12" t="s">
        <v>71</v>
      </c>
      <c r="AD232" s="12" t="str">
        <f t="shared" si="19"/>
        <v>Rs 2+</v>
      </c>
      <c r="AE232" s="20">
        <v>1</v>
      </c>
    </row>
    <row r="233" spans="1:31" x14ac:dyDescent="0.3">
      <c r="A233" s="12" t="s">
        <v>135</v>
      </c>
      <c r="B233" s="12" t="s">
        <v>328</v>
      </c>
      <c r="C233" s="12" t="s">
        <v>314</v>
      </c>
      <c r="D233" s="12" t="s">
        <v>68</v>
      </c>
      <c r="E233" s="13">
        <v>95</v>
      </c>
      <c r="F233" s="13">
        <v>46.8</v>
      </c>
      <c r="G233" s="13">
        <v>5.5</v>
      </c>
      <c r="H233" s="14">
        <v>1701.15</v>
      </c>
      <c r="I233" s="12" t="s">
        <v>297</v>
      </c>
      <c r="J233" s="14">
        <v>1680</v>
      </c>
      <c r="K233" s="15">
        <v>1</v>
      </c>
      <c r="L233" s="16">
        <v>450</v>
      </c>
      <c r="M233" s="16">
        <v>588</v>
      </c>
      <c r="N233" s="17">
        <v>12.8</v>
      </c>
      <c r="O233" s="17">
        <v>28.5</v>
      </c>
      <c r="P233" s="17">
        <v>9</v>
      </c>
      <c r="Q233" s="17">
        <v>13.2</v>
      </c>
      <c r="R233" s="17">
        <v>12.85</v>
      </c>
      <c r="S233" s="17">
        <v>13.15</v>
      </c>
      <c r="T233" s="16">
        <f t="shared" si="15"/>
        <v>5782.5</v>
      </c>
      <c r="U233" s="18">
        <v>-160.16999999999999</v>
      </c>
      <c r="V233" s="19">
        <f t="shared" si="16"/>
        <v>-2.7699092088197146E-2</v>
      </c>
      <c r="W233" s="19">
        <f t="shared" si="17"/>
        <v>2.3346303501945664E-2</v>
      </c>
      <c r="X233" s="19">
        <f t="shared" si="18"/>
        <v>1.217898832684825</v>
      </c>
      <c r="Y233" s="12" t="s">
        <v>329</v>
      </c>
      <c r="Z233" s="12" t="s">
        <v>70</v>
      </c>
      <c r="AA233" s="18">
        <v>-1986.73</v>
      </c>
      <c r="AB233" s="17">
        <v>-1.9870000000000001</v>
      </c>
      <c r="AC233" s="12" t="s">
        <v>71</v>
      </c>
      <c r="AD233" s="12" t="str">
        <f t="shared" si="19"/>
        <v>Rs 2+</v>
      </c>
      <c r="AE233" s="20">
        <v>1</v>
      </c>
    </row>
    <row r="234" spans="1:31" x14ac:dyDescent="0.3">
      <c r="A234" s="12" t="s">
        <v>112</v>
      </c>
      <c r="B234" s="12" t="s">
        <v>328</v>
      </c>
      <c r="C234" s="12" t="s">
        <v>314</v>
      </c>
      <c r="D234" s="12" t="s">
        <v>68</v>
      </c>
      <c r="E234" s="13">
        <v>319.5</v>
      </c>
      <c r="F234" s="13">
        <v>58.6</v>
      </c>
      <c r="G234" s="13">
        <v>8.9</v>
      </c>
      <c r="H234" s="14">
        <v>178.6</v>
      </c>
      <c r="I234" s="12" t="s">
        <v>297</v>
      </c>
      <c r="J234" s="14">
        <v>175</v>
      </c>
      <c r="K234" s="15">
        <v>1</v>
      </c>
      <c r="L234" s="16">
        <v>5500</v>
      </c>
      <c r="M234" s="16">
        <v>12270</v>
      </c>
      <c r="N234" s="17">
        <v>1.1499999999999999</v>
      </c>
      <c r="O234" s="17">
        <v>3.57</v>
      </c>
      <c r="P234" s="17">
        <v>0.7</v>
      </c>
      <c r="Q234" s="17">
        <v>2.58</v>
      </c>
      <c r="R234" s="17">
        <v>1.2</v>
      </c>
      <c r="S234" s="17">
        <v>2.5299999999999998</v>
      </c>
      <c r="T234" s="16">
        <f t="shared" si="15"/>
        <v>6600</v>
      </c>
      <c r="U234" s="18">
        <v>7032.97</v>
      </c>
      <c r="V234" s="19">
        <f t="shared" si="16"/>
        <v>1.0656015151515152</v>
      </c>
      <c r="W234" s="19">
        <f t="shared" si="17"/>
        <v>1.1083333333333334</v>
      </c>
      <c r="X234" s="19">
        <f t="shared" si="18"/>
        <v>1.9750000000000001</v>
      </c>
      <c r="Y234" s="12" t="s">
        <v>326</v>
      </c>
      <c r="Z234" s="12" t="s">
        <v>111</v>
      </c>
      <c r="AA234" s="18">
        <v>44856.65</v>
      </c>
      <c r="AB234" s="17">
        <v>3.9950000000000001</v>
      </c>
      <c r="AC234" s="12" t="s">
        <v>102</v>
      </c>
      <c r="AD234" s="12" t="str">
        <f t="shared" si="19"/>
        <v>Rs 1-2</v>
      </c>
      <c r="AE234" s="20">
        <v>1</v>
      </c>
    </row>
    <row r="235" spans="1:31" x14ac:dyDescent="0.3">
      <c r="A235" s="12" t="s">
        <v>275</v>
      </c>
      <c r="B235" s="12" t="s">
        <v>325</v>
      </c>
      <c r="C235" s="12" t="s">
        <v>328</v>
      </c>
      <c r="D235" s="12" t="s">
        <v>68</v>
      </c>
      <c r="E235" s="13">
        <v>11</v>
      </c>
      <c r="F235" s="13">
        <v>16.600000000000001</v>
      </c>
      <c r="G235" s="13">
        <v>17.2</v>
      </c>
      <c r="H235" s="14">
        <v>5725.4</v>
      </c>
      <c r="I235" s="12" t="s">
        <v>297</v>
      </c>
      <c r="J235" s="14">
        <v>5600</v>
      </c>
      <c r="K235" s="15">
        <v>3</v>
      </c>
      <c r="L235" s="16">
        <v>125</v>
      </c>
      <c r="M235" s="16">
        <v>2397</v>
      </c>
      <c r="N235" s="17">
        <v>56.1</v>
      </c>
      <c r="O235" s="17">
        <v>85.5</v>
      </c>
      <c r="P235" s="17">
        <v>29.55</v>
      </c>
      <c r="Q235" s="17">
        <v>33.049999999999997</v>
      </c>
      <c r="R235" s="17">
        <v>56.15</v>
      </c>
      <c r="S235" s="17">
        <v>33</v>
      </c>
      <c r="T235" s="16">
        <f t="shared" si="15"/>
        <v>7018.75</v>
      </c>
      <c r="U235" s="18">
        <v>-3174.91</v>
      </c>
      <c r="V235" s="19">
        <f t="shared" si="16"/>
        <v>-0.452346927871772</v>
      </c>
      <c r="W235" s="19">
        <f t="shared" si="17"/>
        <v>-0.41228851291184321</v>
      </c>
      <c r="X235" s="19">
        <f t="shared" si="18"/>
        <v>0.52270703472840618</v>
      </c>
      <c r="Y235" s="12" t="s">
        <v>325</v>
      </c>
      <c r="Z235" s="12" t="s">
        <v>70</v>
      </c>
      <c r="AA235" s="18">
        <v>-3174.91</v>
      </c>
      <c r="AB235" s="17">
        <v>1.345</v>
      </c>
      <c r="AC235" s="12" t="s">
        <v>71</v>
      </c>
      <c r="AD235" s="12" t="str">
        <f t="shared" si="19"/>
        <v>Rs 2+</v>
      </c>
      <c r="AE235" s="20">
        <v>1</v>
      </c>
    </row>
    <row r="236" spans="1:31" x14ac:dyDescent="0.3">
      <c r="A236" s="12" t="s">
        <v>330</v>
      </c>
      <c r="B236" s="12" t="s">
        <v>325</v>
      </c>
      <c r="C236" s="12" t="s">
        <v>328</v>
      </c>
      <c r="D236" s="12" t="s">
        <v>68</v>
      </c>
      <c r="E236" s="13">
        <v>76.2</v>
      </c>
      <c r="F236" s="13">
        <v>1076.5</v>
      </c>
      <c r="G236" s="13">
        <v>110.6</v>
      </c>
      <c r="H236" s="14">
        <v>1517.9</v>
      </c>
      <c r="I236" s="12" t="s">
        <v>297</v>
      </c>
      <c r="J236" s="14">
        <v>1520</v>
      </c>
      <c r="K236" s="15">
        <v>0</v>
      </c>
      <c r="L236" s="16">
        <v>325</v>
      </c>
      <c r="M236" s="16">
        <v>2382</v>
      </c>
      <c r="N236" s="17">
        <v>15.05</v>
      </c>
      <c r="O236" s="17">
        <v>15.1</v>
      </c>
      <c r="P236" s="17">
        <v>4.6500000000000004</v>
      </c>
      <c r="Q236" s="17">
        <v>5.0999999999999996</v>
      </c>
      <c r="R236" s="17">
        <v>15.1</v>
      </c>
      <c r="S236" s="17">
        <v>5.05</v>
      </c>
      <c r="T236" s="16">
        <f t="shared" si="15"/>
        <v>4907.5</v>
      </c>
      <c r="U236" s="18">
        <v>-3449.78</v>
      </c>
      <c r="V236" s="19">
        <f t="shared" si="16"/>
        <v>-0.7029607743250128</v>
      </c>
      <c r="W236" s="19">
        <f t="shared" si="17"/>
        <v>-0.66556291390728473</v>
      </c>
      <c r="X236" s="19">
        <f t="shared" si="18"/>
        <v>0</v>
      </c>
      <c r="Y236" s="12" t="s">
        <v>325</v>
      </c>
      <c r="Z236" s="12" t="s">
        <v>70</v>
      </c>
      <c r="AA236" s="18">
        <v>-3449.78</v>
      </c>
      <c r="AB236" s="17">
        <v>-0.8</v>
      </c>
      <c r="AC236" s="12" t="s">
        <v>71</v>
      </c>
      <c r="AD236" s="12" t="str">
        <f t="shared" si="19"/>
        <v>Rs 2+</v>
      </c>
      <c r="AE236" s="20">
        <v>1</v>
      </c>
    </row>
    <row r="237" spans="1:31" x14ac:dyDescent="0.3">
      <c r="A237" s="12" t="s">
        <v>166</v>
      </c>
      <c r="B237" s="12" t="s">
        <v>325</v>
      </c>
      <c r="C237" s="12" t="s">
        <v>328</v>
      </c>
      <c r="D237" s="12" t="s">
        <v>68</v>
      </c>
      <c r="E237" s="13">
        <v>24.5</v>
      </c>
      <c r="F237" s="13">
        <v>13.6</v>
      </c>
      <c r="G237" s="13">
        <v>44.8</v>
      </c>
      <c r="H237" s="14">
        <v>6854.75</v>
      </c>
      <c r="I237" s="12" t="s">
        <v>297</v>
      </c>
      <c r="J237" s="14">
        <v>6550</v>
      </c>
      <c r="K237" s="15">
        <v>6</v>
      </c>
      <c r="L237" s="16">
        <v>175</v>
      </c>
      <c r="M237" s="16">
        <v>1249</v>
      </c>
      <c r="N237" s="17">
        <v>40.950000000000003</v>
      </c>
      <c r="O237" s="17">
        <v>47.6</v>
      </c>
      <c r="P237" s="17">
        <v>18.55</v>
      </c>
      <c r="Q237" s="17">
        <v>34.9</v>
      </c>
      <c r="R237" s="17">
        <v>41</v>
      </c>
      <c r="S237" s="17">
        <v>34.85</v>
      </c>
      <c r="T237" s="16">
        <f t="shared" si="15"/>
        <v>7175</v>
      </c>
      <c r="U237" s="18">
        <v>-1271.1500000000001</v>
      </c>
      <c r="V237" s="19">
        <f t="shared" si="16"/>
        <v>-0.1771637630662021</v>
      </c>
      <c r="W237" s="19">
        <f t="shared" si="17"/>
        <v>-0.14999999999999991</v>
      </c>
      <c r="X237" s="19">
        <f t="shared" si="18"/>
        <v>0.1609756097560977</v>
      </c>
      <c r="Y237" s="12" t="s">
        <v>329</v>
      </c>
      <c r="Z237" s="12" t="s">
        <v>70</v>
      </c>
      <c r="AA237" s="18">
        <v>-4677.54</v>
      </c>
      <c r="AB237" s="17">
        <v>1.53</v>
      </c>
      <c r="AC237" s="12" t="s">
        <v>71</v>
      </c>
      <c r="AD237" s="12" t="str">
        <f t="shared" si="19"/>
        <v>Rs 2+</v>
      </c>
      <c r="AE237" s="20">
        <v>1</v>
      </c>
    </row>
    <row r="238" spans="1:31" x14ac:dyDescent="0.3">
      <c r="A238" s="12" t="s">
        <v>177</v>
      </c>
      <c r="B238" s="12" t="s">
        <v>325</v>
      </c>
      <c r="C238" s="12" t="s">
        <v>328</v>
      </c>
      <c r="D238" s="12" t="s">
        <v>68</v>
      </c>
      <c r="E238" s="13">
        <v>192.5</v>
      </c>
      <c r="F238" s="13">
        <v>106.3</v>
      </c>
      <c r="G238" s="13">
        <v>19.7</v>
      </c>
      <c r="H238" s="14">
        <v>573.5</v>
      </c>
      <c r="I238" s="12" t="s">
        <v>297</v>
      </c>
      <c r="J238" s="14">
        <v>570</v>
      </c>
      <c r="K238" s="15">
        <v>0</v>
      </c>
      <c r="L238" s="16">
        <v>1250</v>
      </c>
      <c r="M238" s="16">
        <v>2932</v>
      </c>
      <c r="N238" s="17">
        <v>2.5499999999999998</v>
      </c>
      <c r="O238" s="17">
        <v>3.65</v>
      </c>
      <c r="P238" s="17">
        <v>1.1000000000000001</v>
      </c>
      <c r="Q238" s="17">
        <v>1.2</v>
      </c>
      <c r="R238" s="17">
        <v>2.6</v>
      </c>
      <c r="S238" s="17">
        <v>1.1499999999999999</v>
      </c>
      <c r="T238" s="16">
        <f t="shared" si="15"/>
        <v>3250</v>
      </c>
      <c r="U238" s="18">
        <v>-1957.67</v>
      </c>
      <c r="V238" s="19">
        <f t="shared" si="16"/>
        <v>-0.60236000000000001</v>
      </c>
      <c r="W238" s="19">
        <f t="shared" si="17"/>
        <v>-0.55769230769230771</v>
      </c>
      <c r="X238" s="19">
        <f t="shared" si="18"/>
        <v>0.40384615384615374</v>
      </c>
      <c r="Y238" s="12" t="s">
        <v>325</v>
      </c>
      <c r="Z238" s="12" t="s">
        <v>70</v>
      </c>
      <c r="AA238" s="18">
        <v>-1957.67</v>
      </c>
      <c r="AB238" s="17">
        <v>-1.7110000000000001</v>
      </c>
      <c r="AC238" s="12" t="s">
        <v>71</v>
      </c>
      <c r="AD238" s="12" t="str">
        <f t="shared" si="19"/>
        <v>Rs 2+</v>
      </c>
      <c r="AE238" s="20">
        <v>1</v>
      </c>
    </row>
    <row r="239" spans="1:31" x14ac:dyDescent="0.3">
      <c r="A239" s="12" t="s">
        <v>179</v>
      </c>
      <c r="B239" s="12" t="s">
        <v>325</v>
      </c>
      <c r="C239" s="12" t="s">
        <v>328</v>
      </c>
      <c r="D239" s="12" t="s">
        <v>68</v>
      </c>
      <c r="E239" s="13">
        <v>82.5</v>
      </c>
      <c r="F239" s="13">
        <v>22.2</v>
      </c>
      <c r="G239" s="13">
        <v>47.8</v>
      </c>
      <c r="H239" s="14">
        <v>3393.05</v>
      </c>
      <c r="I239" s="12" t="s">
        <v>297</v>
      </c>
      <c r="J239" s="14">
        <v>3400</v>
      </c>
      <c r="K239" s="15">
        <v>0</v>
      </c>
      <c r="L239" s="16">
        <v>275</v>
      </c>
      <c r="M239" s="16">
        <v>9234</v>
      </c>
      <c r="N239" s="17">
        <v>11.1</v>
      </c>
      <c r="O239" s="17">
        <v>33.950000000000003</v>
      </c>
      <c r="P239" s="17">
        <v>6.45</v>
      </c>
      <c r="Q239" s="17">
        <v>7.05</v>
      </c>
      <c r="R239" s="17">
        <v>11.15</v>
      </c>
      <c r="S239" s="17">
        <v>7</v>
      </c>
      <c r="T239" s="16">
        <f t="shared" si="15"/>
        <v>3066.25</v>
      </c>
      <c r="U239" s="18">
        <v>-1293.3499999999999</v>
      </c>
      <c r="V239" s="19">
        <f t="shared" si="16"/>
        <v>-0.42180187525479002</v>
      </c>
      <c r="W239" s="19">
        <f t="shared" si="17"/>
        <v>-0.37219730941704043</v>
      </c>
      <c r="X239" s="19">
        <f t="shared" si="18"/>
        <v>2.0448430493273544</v>
      </c>
      <c r="Y239" s="12" t="s">
        <v>325</v>
      </c>
      <c r="Z239" s="12" t="s">
        <v>70</v>
      </c>
      <c r="AA239" s="18">
        <v>-1293.3499999999999</v>
      </c>
      <c r="AB239" s="17">
        <v>-2.0710000000000002</v>
      </c>
      <c r="AC239" s="12" t="s">
        <v>71</v>
      </c>
      <c r="AD239" s="12" t="str">
        <f t="shared" si="19"/>
        <v>Rs 2+</v>
      </c>
      <c r="AE239" s="20">
        <v>1</v>
      </c>
    </row>
    <row r="240" spans="1:31" x14ac:dyDescent="0.3">
      <c r="A240" s="12" t="s">
        <v>171</v>
      </c>
      <c r="B240" s="12" t="s">
        <v>325</v>
      </c>
      <c r="C240" s="12" t="s">
        <v>328</v>
      </c>
      <c r="D240" s="12" t="s">
        <v>68</v>
      </c>
      <c r="E240" s="13">
        <v>25.2</v>
      </c>
      <c r="F240" s="13">
        <v>16</v>
      </c>
      <c r="G240" s="13">
        <v>18.399999999999999</v>
      </c>
      <c r="H240" s="14">
        <v>109</v>
      </c>
      <c r="I240" s="12" t="s">
        <v>297</v>
      </c>
      <c r="J240" s="14">
        <v>105</v>
      </c>
      <c r="K240" s="15">
        <v>4</v>
      </c>
      <c r="L240" s="16">
        <v>6500</v>
      </c>
      <c r="M240" s="16">
        <v>1245</v>
      </c>
      <c r="N240" s="17">
        <v>1.02</v>
      </c>
      <c r="O240" s="17">
        <v>1.46</v>
      </c>
      <c r="P240" s="17">
        <v>0.3</v>
      </c>
      <c r="Q240" s="17">
        <v>0.38</v>
      </c>
      <c r="R240" s="17">
        <v>1.07</v>
      </c>
      <c r="S240" s="17">
        <v>0.33</v>
      </c>
      <c r="T240" s="16">
        <f t="shared" si="15"/>
        <v>6955</v>
      </c>
      <c r="U240" s="18">
        <v>-5137.46</v>
      </c>
      <c r="V240" s="19">
        <f t="shared" si="16"/>
        <v>-0.73867145938173973</v>
      </c>
      <c r="W240" s="19">
        <f t="shared" si="17"/>
        <v>-0.69158878504672905</v>
      </c>
      <c r="X240" s="19">
        <f t="shared" si="18"/>
        <v>0.36448598130841114</v>
      </c>
      <c r="Y240" s="12" t="s">
        <v>325</v>
      </c>
      <c r="Z240" s="12" t="s">
        <v>70</v>
      </c>
      <c r="AA240" s="18">
        <v>-5137.46</v>
      </c>
      <c r="AB240" s="17">
        <v>-3.7639999999999998</v>
      </c>
      <c r="AC240" s="12" t="s">
        <v>102</v>
      </c>
      <c r="AD240" s="12" t="str">
        <f t="shared" si="19"/>
        <v>Rs 1-2</v>
      </c>
      <c r="AE240" s="20">
        <v>1</v>
      </c>
    </row>
    <row r="241" spans="1:31" x14ac:dyDescent="0.3">
      <c r="A241" s="12" t="s">
        <v>150</v>
      </c>
      <c r="B241" s="12" t="s">
        <v>325</v>
      </c>
      <c r="C241" s="12" t="s">
        <v>328</v>
      </c>
      <c r="D241" s="12" t="s">
        <v>68</v>
      </c>
      <c r="E241" s="13">
        <v>102.6</v>
      </c>
      <c r="F241" s="13">
        <v>97</v>
      </c>
      <c r="G241" s="13">
        <v>109.2</v>
      </c>
      <c r="H241" s="14">
        <v>39583.800000000003</v>
      </c>
      <c r="I241" s="12" t="s">
        <v>297</v>
      </c>
      <c r="J241" s="14">
        <v>38500</v>
      </c>
      <c r="K241" s="15">
        <v>2</v>
      </c>
      <c r="L241" s="16">
        <v>15</v>
      </c>
      <c r="M241" s="16">
        <v>1423</v>
      </c>
      <c r="N241" s="17">
        <v>520</v>
      </c>
      <c r="O241" s="17">
        <v>697.5</v>
      </c>
      <c r="P241" s="17">
        <v>160</v>
      </c>
      <c r="Q241" s="17">
        <v>187.05</v>
      </c>
      <c r="R241" s="17">
        <v>520.04999999999995</v>
      </c>
      <c r="S241" s="17">
        <v>187</v>
      </c>
      <c r="T241" s="16">
        <f t="shared" si="15"/>
        <v>7800.7499999999991</v>
      </c>
      <c r="U241" s="18">
        <v>-5263.96</v>
      </c>
      <c r="V241" s="19">
        <f t="shared" si="16"/>
        <v>-0.67480178187994755</v>
      </c>
      <c r="W241" s="19">
        <f t="shared" si="17"/>
        <v>-0.64041919046245543</v>
      </c>
      <c r="X241" s="19">
        <f t="shared" si="18"/>
        <v>0.34121719065474476</v>
      </c>
      <c r="Y241" s="12" t="s">
        <v>325</v>
      </c>
      <c r="Z241" s="12" t="s">
        <v>70</v>
      </c>
      <c r="AA241" s="18">
        <v>-5263.96</v>
      </c>
      <c r="AB241" s="17">
        <v>-0.67100000000000004</v>
      </c>
      <c r="AC241" s="12" t="s">
        <v>71</v>
      </c>
      <c r="AD241" s="12" t="str">
        <f t="shared" si="19"/>
        <v>Rs 2+</v>
      </c>
      <c r="AE241" s="20">
        <v>1</v>
      </c>
    </row>
    <row r="242" spans="1:31" x14ac:dyDescent="0.3">
      <c r="A242" s="12" t="s">
        <v>269</v>
      </c>
      <c r="B242" s="12" t="s">
        <v>325</v>
      </c>
      <c r="C242" s="12" t="s">
        <v>328</v>
      </c>
      <c r="D242" s="12" t="s">
        <v>77</v>
      </c>
      <c r="E242" s="13">
        <v>-85.7</v>
      </c>
      <c r="F242" s="13">
        <v>-95.9</v>
      </c>
      <c r="G242" s="13">
        <v>-2.4</v>
      </c>
      <c r="H242" s="14">
        <v>559.45000000000005</v>
      </c>
      <c r="I242" s="12" t="s">
        <v>297</v>
      </c>
      <c r="J242" s="14">
        <v>570</v>
      </c>
      <c r="K242" s="15">
        <v>1</v>
      </c>
      <c r="L242" s="16">
        <v>700</v>
      </c>
      <c r="M242" s="16">
        <v>15954</v>
      </c>
      <c r="N242" s="17">
        <v>4.95</v>
      </c>
      <c r="O242" s="17">
        <v>26.15</v>
      </c>
      <c r="P242" s="17">
        <v>4.95</v>
      </c>
      <c r="Q242" s="17">
        <v>21.1</v>
      </c>
      <c r="R242" s="17">
        <v>5</v>
      </c>
      <c r="S242" s="17">
        <v>21.05</v>
      </c>
      <c r="T242" s="16">
        <f t="shared" si="15"/>
        <v>3500</v>
      </c>
      <c r="U242" s="18">
        <v>10610.89</v>
      </c>
      <c r="V242" s="19">
        <f t="shared" si="16"/>
        <v>3.0316828571428571</v>
      </c>
      <c r="W242" s="19">
        <f t="shared" si="17"/>
        <v>3.21</v>
      </c>
      <c r="X242" s="19">
        <f t="shared" si="18"/>
        <v>4.2299999999999995</v>
      </c>
      <c r="Y242" s="12" t="s">
        <v>326</v>
      </c>
      <c r="Z242" s="12" t="s">
        <v>84</v>
      </c>
      <c r="AA242" s="18">
        <v>1259.24</v>
      </c>
      <c r="AB242" s="17">
        <v>7.056</v>
      </c>
      <c r="AC242" s="12" t="s">
        <v>71</v>
      </c>
      <c r="AD242" s="12" t="str">
        <f t="shared" si="19"/>
        <v>Rs 2+</v>
      </c>
      <c r="AE242" s="20">
        <v>1</v>
      </c>
    </row>
    <row r="243" spans="1:31" x14ac:dyDescent="0.3">
      <c r="A243" s="12" t="s">
        <v>272</v>
      </c>
      <c r="B243" s="12" t="s">
        <v>325</v>
      </c>
      <c r="C243" s="12" t="s">
        <v>328</v>
      </c>
      <c r="D243" s="12" t="s">
        <v>77</v>
      </c>
      <c r="E243" s="13">
        <v>-76.3</v>
      </c>
      <c r="F243" s="13">
        <v>-77.599999999999994</v>
      </c>
      <c r="G243" s="13">
        <v>-10.4</v>
      </c>
      <c r="H243" s="14">
        <v>1336.9</v>
      </c>
      <c r="I243" s="12" t="s">
        <v>297</v>
      </c>
      <c r="J243" s="14">
        <v>1340</v>
      </c>
      <c r="K243" s="15">
        <v>0</v>
      </c>
      <c r="L243" s="16">
        <v>375</v>
      </c>
      <c r="M243" s="16">
        <v>14677</v>
      </c>
      <c r="N243" s="17">
        <v>14.4</v>
      </c>
      <c r="O243" s="17">
        <v>39.9</v>
      </c>
      <c r="P243" s="17">
        <v>9.9</v>
      </c>
      <c r="Q243" s="17">
        <v>31.55</v>
      </c>
      <c r="R243" s="17">
        <v>14.45</v>
      </c>
      <c r="S243" s="17">
        <v>31.5</v>
      </c>
      <c r="T243" s="16">
        <f t="shared" si="15"/>
        <v>5418.75</v>
      </c>
      <c r="U243" s="18">
        <v>5976.78</v>
      </c>
      <c r="V243" s="19">
        <f t="shared" si="16"/>
        <v>1.1029813148788927</v>
      </c>
      <c r="W243" s="19">
        <f t="shared" si="17"/>
        <v>1.179930795847751</v>
      </c>
      <c r="X243" s="19">
        <f t="shared" si="18"/>
        <v>1.7612456747404845</v>
      </c>
      <c r="Y243" s="12" t="s">
        <v>331</v>
      </c>
      <c r="Z243" s="12" t="s">
        <v>84</v>
      </c>
      <c r="AA243" s="18">
        <v>13880.89</v>
      </c>
      <c r="AB243" s="17">
        <v>3.597</v>
      </c>
      <c r="AC243" s="12" t="s">
        <v>71</v>
      </c>
      <c r="AD243" s="12" t="str">
        <f t="shared" si="19"/>
        <v>Rs 2+</v>
      </c>
      <c r="AE243" s="20">
        <v>1</v>
      </c>
    </row>
    <row r="244" spans="1:31" x14ac:dyDescent="0.3">
      <c r="A244" s="12" t="s">
        <v>332</v>
      </c>
      <c r="B244" s="12" t="s">
        <v>329</v>
      </c>
      <c r="C244" s="12" t="s">
        <v>325</v>
      </c>
      <c r="D244" s="12" t="s">
        <v>68</v>
      </c>
      <c r="E244" s="13">
        <v>72.2</v>
      </c>
      <c r="F244" s="13">
        <v>1199.5999999999999</v>
      </c>
      <c r="G244" s="13">
        <v>76.099999999999994</v>
      </c>
      <c r="H244" s="14">
        <v>1895.6</v>
      </c>
      <c r="I244" s="12" t="s">
        <v>297</v>
      </c>
      <c r="J244" s="14">
        <v>1780</v>
      </c>
      <c r="K244" s="15">
        <v>6</v>
      </c>
      <c r="L244" s="16">
        <v>375</v>
      </c>
      <c r="M244" s="16">
        <v>5077</v>
      </c>
      <c r="N244" s="17">
        <v>11.55</v>
      </c>
      <c r="O244" s="17">
        <v>21</v>
      </c>
      <c r="P244" s="17">
        <v>3.5</v>
      </c>
      <c r="Q244" s="17">
        <v>7.95</v>
      </c>
      <c r="R244" s="17">
        <v>11.6</v>
      </c>
      <c r="S244" s="17">
        <v>7.9</v>
      </c>
      <c r="T244" s="16">
        <f t="shared" si="15"/>
        <v>4350</v>
      </c>
      <c r="U244" s="18">
        <v>-1588.59</v>
      </c>
      <c r="V244" s="19">
        <f t="shared" si="16"/>
        <v>-0.36519310344827582</v>
      </c>
      <c r="W244" s="19">
        <f t="shared" si="17"/>
        <v>-0.31896551724137923</v>
      </c>
      <c r="X244" s="19">
        <f t="shared" si="18"/>
        <v>0.81034482758620685</v>
      </c>
      <c r="Y244" s="12" t="s">
        <v>329</v>
      </c>
      <c r="Z244" s="12" t="s">
        <v>70</v>
      </c>
      <c r="AA244" s="18">
        <v>-1588.59</v>
      </c>
      <c r="AB244" s="17">
        <v>-0.74399999999999999</v>
      </c>
      <c r="AC244" s="12" t="s">
        <v>71</v>
      </c>
      <c r="AD244" s="12" t="str">
        <f t="shared" si="19"/>
        <v>Rs 2+</v>
      </c>
      <c r="AE244" s="20">
        <v>1</v>
      </c>
    </row>
    <row r="245" spans="1:31" x14ac:dyDescent="0.3">
      <c r="A245" s="12" t="s">
        <v>223</v>
      </c>
      <c r="B245" s="12" t="s">
        <v>329</v>
      </c>
      <c r="C245" s="12" t="s">
        <v>325</v>
      </c>
      <c r="D245" s="12" t="s">
        <v>68</v>
      </c>
      <c r="E245" s="13">
        <v>33.700000000000003</v>
      </c>
      <c r="F245" s="13">
        <v>23.9</v>
      </c>
      <c r="G245" s="13">
        <v>52.8</v>
      </c>
      <c r="H245" s="14">
        <v>148.69999999999999</v>
      </c>
      <c r="I245" s="12" t="s">
        <v>297</v>
      </c>
      <c r="J245" s="14">
        <v>147.5</v>
      </c>
      <c r="K245" s="15">
        <v>0</v>
      </c>
      <c r="L245" s="16">
        <v>3272</v>
      </c>
      <c r="M245" s="16">
        <v>1137</v>
      </c>
      <c r="N245" s="17">
        <v>2.0099999999999998</v>
      </c>
      <c r="O245" s="17">
        <v>5.71</v>
      </c>
      <c r="P245" s="17">
        <v>1.64</v>
      </c>
      <c r="Q245" s="17">
        <v>3.93</v>
      </c>
      <c r="R245" s="17">
        <v>2.06</v>
      </c>
      <c r="S245" s="17">
        <v>3.88</v>
      </c>
      <c r="T245" s="16">
        <f t="shared" si="15"/>
        <v>6740.3200000000006</v>
      </c>
      <c r="U245" s="18">
        <v>5297.37</v>
      </c>
      <c r="V245" s="19">
        <f t="shared" si="16"/>
        <v>0.78592262681890468</v>
      </c>
      <c r="W245" s="19">
        <f t="shared" si="17"/>
        <v>0.88349514563106779</v>
      </c>
      <c r="X245" s="19">
        <f t="shared" si="18"/>
        <v>1.7718446601941746</v>
      </c>
      <c r="Y245" s="12" t="s">
        <v>326</v>
      </c>
      <c r="Z245" s="12" t="s">
        <v>111</v>
      </c>
      <c r="AA245" s="18">
        <v>27470.25</v>
      </c>
      <c r="AB245" s="17">
        <v>2.9169999999999998</v>
      </c>
      <c r="AC245" s="12" t="s">
        <v>71</v>
      </c>
      <c r="AD245" s="12" t="str">
        <f t="shared" si="19"/>
        <v>Rs 2+</v>
      </c>
      <c r="AE245" s="20">
        <v>1</v>
      </c>
    </row>
    <row r="246" spans="1:31" x14ac:dyDescent="0.3">
      <c r="A246" s="12" t="s">
        <v>133</v>
      </c>
      <c r="B246" s="12" t="s">
        <v>329</v>
      </c>
      <c r="C246" s="12" t="s">
        <v>325</v>
      </c>
      <c r="D246" s="12" t="s">
        <v>68</v>
      </c>
      <c r="E246" s="13">
        <v>74.3</v>
      </c>
      <c r="F246" s="13">
        <v>59.5</v>
      </c>
      <c r="G246" s="13">
        <v>25.1</v>
      </c>
      <c r="H246" s="14">
        <v>1103.05</v>
      </c>
      <c r="I246" s="12" t="s">
        <v>297</v>
      </c>
      <c r="J246" s="14">
        <v>1060</v>
      </c>
      <c r="K246" s="15">
        <v>2</v>
      </c>
      <c r="L246" s="16">
        <v>525</v>
      </c>
      <c r="M246" s="16">
        <v>3184</v>
      </c>
      <c r="N246" s="17">
        <v>6.15</v>
      </c>
      <c r="O246" s="17">
        <v>10.6</v>
      </c>
      <c r="P246" s="17">
        <v>2.65</v>
      </c>
      <c r="Q246" s="17">
        <v>2.9</v>
      </c>
      <c r="R246" s="17">
        <v>6.2</v>
      </c>
      <c r="S246" s="17">
        <v>2.85</v>
      </c>
      <c r="T246" s="16">
        <f t="shared" si="15"/>
        <v>3255</v>
      </c>
      <c r="U246" s="18">
        <v>-1857.8</v>
      </c>
      <c r="V246" s="19">
        <f t="shared" si="16"/>
        <v>-0.57075268817204294</v>
      </c>
      <c r="W246" s="19">
        <f t="shared" si="17"/>
        <v>-0.54032258064516125</v>
      </c>
      <c r="X246" s="19">
        <f t="shared" si="18"/>
        <v>0.70967741935483852</v>
      </c>
      <c r="Y246" s="12" t="s">
        <v>329</v>
      </c>
      <c r="Z246" s="12" t="s">
        <v>70</v>
      </c>
      <c r="AA246" s="18">
        <v>-1857.8</v>
      </c>
      <c r="AB246" s="17">
        <v>-1.502</v>
      </c>
      <c r="AC246" s="12" t="s">
        <v>71</v>
      </c>
      <c r="AD246" s="12" t="str">
        <f t="shared" si="19"/>
        <v>Rs 2+</v>
      </c>
      <c r="AE246" s="20">
        <v>1</v>
      </c>
    </row>
    <row r="247" spans="1:31" x14ac:dyDescent="0.3">
      <c r="A247" s="12" t="s">
        <v>165</v>
      </c>
      <c r="B247" s="12" t="s">
        <v>329</v>
      </c>
      <c r="C247" s="12" t="s">
        <v>325</v>
      </c>
      <c r="D247" s="12" t="s">
        <v>68</v>
      </c>
      <c r="E247" s="13">
        <v>78.3</v>
      </c>
      <c r="F247" s="13">
        <v>80.3</v>
      </c>
      <c r="G247" s="13">
        <v>120.3</v>
      </c>
      <c r="H247" s="14">
        <v>436.85</v>
      </c>
      <c r="I247" s="12" t="s">
        <v>297</v>
      </c>
      <c r="J247" s="14">
        <v>420</v>
      </c>
      <c r="K247" s="15">
        <v>3</v>
      </c>
      <c r="L247" s="16">
        <v>1400</v>
      </c>
      <c r="M247" s="16">
        <v>723</v>
      </c>
      <c r="N247" s="17">
        <v>4.75</v>
      </c>
      <c r="O247" s="17">
        <v>5</v>
      </c>
      <c r="P247" s="17">
        <v>1.6</v>
      </c>
      <c r="Q247" s="17">
        <v>2.5499999999999998</v>
      </c>
      <c r="R247" s="17">
        <v>4.8</v>
      </c>
      <c r="S247" s="17">
        <v>2.5</v>
      </c>
      <c r="T247" s="16">
        <f t="shared" si="15"/>
        <v>6720</v>
      </c>
      <c r="U247" s="18">
        <v>-3481.34</v>
      </c>
      <c r="V247" s="19">
        <f t="shared" si="16"/>
        <v>-0.51805654761904762</v>
      </c>
      <c r="W247" s="19">
        <f t="shared" si="17"/>
        <v>-0.47916666666666663</v>
      </c>
      <c r="X247" s="19">
        <f t="shared" si="18"/>
        <v>4.1666666666666741E-2</v>
      </c>
      <c r="Y247" s="12" t="s">
        <v>329</v>
      </c>
      <c r="Z247" s="12" t="s">
        <v>70</v>
      </c>
      <c r="AA247" s="18">
        <v>-3481.34</v>
      </c>
      <c r="AB247" s="17">
        <v>0.16</v>
      </c>
      <c r="AC247" s="12" t="s">
        <v>71</v>
      </c>
      <c r="AD247" s="12" t="str">
        <f t="shared" si="19"/>
        <v>Rs 2+</v>
      </c>
      <c r="AE247" s="20">
        <v>1</v>
      </c>
    </row>
    <row r="248" spans="1:31" x14ac:dyDescent="0.3">
      <c r="A248" s="12" t="s">
        <v>333</v>
      </c>
      <c r="B248" s="12" t="s">
        <v>334</v>
      </c>
      <c r="C248" s="12" t="s">
        <v>335</v>
      </c>
      <c r="D248" s="12" t="s">
        <v>68</v>
      </c>
      <c r="E248" s="13">
        <v>18.3</v>
      </c>
      <c r="F248" s="13">
        <v>25</v>
      </c>
      <c r="G248" s="13">
        <v>13.3</v>
      </c>
      <c r="H248" s="14">
        <v>3801.35</v>
      </c>
      <c r="I248" s="12" t="s">
        <v>336</v>
      </c>
      <c r="J248" s="14">
        <v>3750</v>
      </c>
      <c r="K248" s="15">
        <v>1</v>
      </c>
      <c r="L248" s="16">
        <v>150</v>
      </c>
      <c r="M248" s="16">
        <v>8305</v>
      </c>
      <c r="N248" s="17">
        <v>51</v>
      </c>
      <c r="O248" s="17">
        <v>73.95</v>
      </c>
      <c r="P248" s="17">
        <v>26</v>
      </c>
      <c r="Q248" s="17">
        <v>37.25</v>
      </c>
      <c r="R248" s="17">
        <v>51.05</v>
      </c>
      <c r="S248" s="17">
        <v>37.200000000000003</v>
      </c>
      <c r="T248" s="16">
        <f t="shared" si="15"/>
        <v>7657.5</v>
      </c>
      <c r="U248" s="18">
        <v>-2271.2399999999998</v>
      </c>
      <c r="V248" s="19">
        <f t="shared" si="16"/>
        <v>-0.29660333006856021</v>
      </c>
      <c r="W248" s="19">
        <f t="shared" si="17"/>
        <v>-0.27130264446620955</v>
      </c>
      <c r="X248" s="19">
        <f t="shared" si="18"/>
        <v>0.44857982370225291</v>
      </c>
      <c r="Y248" s="12" t="s">
        <v>334</v>
      </c>
      <c r="Z248" s="12" t="s">
        <v>70</v>
      </c>
      <c r="AA248" s="18">
        <v>-2271.2399999999998</v>
      </c>
      <c r="AB248" s="17">
        <v>0.50600000000000001</v>
      </c>
      <c r="AC248" s="12" t="s">
        <v>71</v>
      </c>
      <c r="AD248" s="12" t="str">
        <f t="shared" si="19"/>
        <v>Rs 2+</v>
      </c>
      <c r="AE248" s="20">
        <v>1</v>
      </c>
    </row>
    <row r="249" spans="1:31" x14ac:dyDescent="0.3">
      <c r="A249" s="12" t="s">
        <v>337</v>
      </c>
      <c r="B249" s="12" t="s">
        <v>338</v>
      </c>
      <c r="C249" s="12" t="s">
        <v>334</v>
      </c>
      <c r="D249" s="12" t="s">
        <v>77</v>
      </c>
      <c r="E249" s="13">
        <v>-11.1</v>
      </c>
      <c r="F249" s="13">
        <v>-3.6</v>
      </c>
      <c r="G249" s="13">
        <v>13.3</v>
      </c>
      <c r="H249" s="14">
        <v>1667.6</v>
      </c>
      <c r="I249" s="12" t="s">
        <v>336</v>
      </c>
      <c r="J249" s="14">
        <v>1700</v>
      </c>
      <c r="K249" s="15">
        <v>2</v>
      </c>
      <c r="L249" s="16">
        <v>350</v>
      </c>
      <c r="M249" s="16">
        <v>47680</v>
      </c>
      <c r="N249" s="17">
        <v>22.7</v>
      </c>
      <c r="O249" s="17">
        <v>28.7</v>
      </c>
      <c r="P249" s="17">
        <v>6.8</v>
      </c>
      <c r="Q249" s="17">
        <v>11.15</v>
      </c>
      <c r="R249" s="17">
        <v>22.75</v>
      </c>
      <c r="S249" s="17">
        <v>11.1</v>
      </c>
      <c r="T249" s="16">
        <f t="shared" si="15"/>
        <v>7962.5</v>
      </c>
      <c r="U249" s="18">
        <v>-4254.2299999999996</v>
      </c>
      <c r="V249" s="19">
        <f t="shared" si="16"/>
        <v>-0.53428320251177386</v>
      </c>
      <c r="W249" s="19">
        <f t="shared" si="17"/>
        <v>-0.51208791208791204</v>
      </c>
      <c r="X249" s="19">
        <f t="shared" si="18"/>
        <v>0.2615384615384615</v>
      </c>
      <c r="Y249" s="12" t="s">
        <v>338</v>
      </c>
      <c r="Z249" s="12" t="s">
        <v>70</v>
      </c>
      <c r="AA249" s="18">
        <v>-4254.2299999999996</v>
      </c>
      <c r="AB249" s="17">
        <v>-1.1870000000000001</v>
      </c>
      <c r="AC249" s="12" t="s">
        <v>71</v>
      </c>
      <c r="AD249" s="12" t="str">
        <f t="shared" si="19"/>
        <v>Rs 2+</v>
      </c>
      <c r="AE249" s="20">
        <v>1</v>
      </c>
    </row>
    <row r="250" spans="1:31" x14ac:dyDescent="0.3">
      <c r="A250" s="12" t="s">
        <v>65</v>
      </c>
      <c r="B250" s="12" t="s">
        <v>338</v>
      </c>
      <c r="C250" s="12" t="s">
        <v>334</v>
      </c>
      <c r="D250" s="12" t="s">
        <v>77</v>
      </c>
      <c r="E250" s="13">
        <v>-13.9</v>
      </c>
      <c r="F250" s="13">
        <v>-11.6</v>
      </c>
      <c r="G250" s="13">
        <v>4.9000000000000004</v>
      </c>
      <c r="H250" s="14">
        <v>3239.45</v>
      </c>
      <c r="I250" s="12" t="s">
        <v>336</v>
      </c>
      <c r="J250" s="14">
        <v>3260</v>
      </c>
      <c r="K250" s="15">
        <v>1</v>
      </c>
      <c r="L250" s="16">
        <v>175</v>
      </c>
      <c r="M250" s="16">
        <v>32187</v>
      </c>
      <c r="N250" s="17">
        <v>40</v>
      </c>
      <c r="O250" s="17">
        <v>40</v>
      </c>
      <c r="P250" s="17">
        <v>16.75</v>
      </c>
      <c r="Q250" s="17">
        <v>26.05</v>
      </c>
      <c r="R250" s="17">
        <v>40.049999999999997</v>
      </c>
      <c r="S250" s="17">
        <v>26</v>
      </c>
      <c r="T250" s="16">
        <f t="shared" si="15"/>
        <v>7008.7499999999991</v>
      </c>
      <c r="U250" s="18">
        <v>-2633.44</v>
      </c>
      <c r="V250" s="19">
        <f t="shared" si="16"/>
        <v>-0.37573604423042634</v>
      </c>
      <c r="W250" s="19">
        <f t="shared" si="17"/>
        <v>-0.35081148564294629</v>
      </c>
      <c r="X250" s="19">
        <f t="shared" si="18"/>
        <v>-1.2484394506865337E-3</v>
      </c>
      <c r="Y250" s="12" t="s">
        <v>338</v>
      </c>
      <c r="Z250" s="12" t="s">
        <v>70</v>
      </c>
      <c r="AA250" s="18">
        <v>-2633.44</v>
      </c>
      <c r="AB250" s="17">
        <v>0.70899999999999996</v>
      </c>
      <c r="AC250" s="12" t="s">
        <v>71</v>
      </c>
      <c r="AD250" s="12" t="str">
        <f t="shared" si="19"/>
        <v>Rs 2+</v>
      </c>
      <c r="AE250" s="20">
        <v>1</v>
      </c>
    </row>
    <row r="251" spans="1:31" x14ac:dyDescent="0.3">
      <c r="A251" s="12" t="s">
        <v>224</v>
      </c>
      <c r="B251" s="12" t="s">
        <v>339</v>
      </c>
      <c r="C251" s="12" t="s">
        <v>338</v>
      </c>
      <c r="D251" s="12" t="s">
        <v>77</v>
      </c>
      <c r="E251" s="13">
        <v>-45.3</v>
      </c>
      <c r="F251" s="13">
        <v>-29.7</v>
      </c>
      <c r="G251" s="13">
        <v>1.5</v>
      </c>
      <c r="H251" s="14">
        <v>5793.35</v>
      </c>
      <c r="I251" s="12" t="s">
        <v>336</v>
      </c>
      <c r="J251" s="14">
        <v>5900</v>
      </c>
      <c r="K251" s="15">
        <v>2</v>
      </c>
      <c r="L251" s="16">
        <v>100</v>
      </c>
      <c r="M251" s="16">
        <v>10025</v>
      </c>
      <c r="N251" s="17">
        <v>75</v>
      </c>
      <c r="O251" s="17">
        <v>96.45</v>
      </c>
      <c r="P251" s="17">
        <v>24.25</v>
      </c>
      <c r="Q251" s="17">
        <v>25.75</v>
      </c>
      <c r="R251" s="17">
        <v>75.05</v>
      </c>
      <c r="S251" s="17">
        <v>25.7</v>
      </c>
      <c r="T251" s="16">
        <f t="shared" si="15"/>
        <v>7505</v>
      </c>
      <c r="U251" s="18">
        <v>-5192.01</v>
      </c>
      <c r="V251" s="19">
        <f t="shared" si="16"/>
        <v>-0.69180679546968693</v>
      </c>
      <c r="W251" s="19">
        <f t="shared" si="17"/>
        <v>-0.65756162558294462</v>
      </c>
      <c r="X251" s="19">
        <f t="shared" si="18"/>
        <v>0.28514323784143913</v>
      </c>
      <c r="Y251" s="12" t="s">
        <v>339</v>
      </c>
      <c r="Z251" s="12" t="s">
        <v>70</v>
      </c>
      <c r="AA251" s="18">
        <v>-5192.01</v>
      </c>
      <c r="AB251" s="17">
        <v>-3.4209999999999998</v>
      </c>
      <c r="AC251" s="12" t="s">
        <v>71</v>
      </c>
      <c r="AD251" s="12" t="str">
        <f t="shared" si="19"/>
        <v>Rs 2+</v>
      </c>
      <c r="AE251" s="20">
        <v>1</v>
      </c>
    </row>
    <row r="252" spans="1:31" x14ac:dyDescent="0.3">
      <c r="A252" s="12" t="s">
        <v>72</v>
      </c>
      <c r="B252" s="12" t="s">
        <v>340</v>
      </c>
      <c r="C252" s="12" t="s">
        <v>339</v>
      </c>
      <c r="D252" s="12" t="s">
        <v>68</v>
      </c>
      <c r="E252" s="13">
        <v>20</v>
      </c>
      <c r="F252" s="13">
        <v>7.1</v>
      </c>
      <c r="G252" s="13">
        <v>15</v>
      </c>
      <c r="H252" s="14">
        <v>2554.15</v>
      </c>
      <c r="I252" s="12" t="s">
        <v>336</v>
      </c>
      <c r="J252" s="14">
        <v>2540</v>
      </c>
      <c r="K252" s="15">
        <v>1</v>
      </c>
      <c r="L252" s="16">
        <v>300</v>
      </c>
      <c r="M252" s="16">
        <v>2134</v>
      </c>
      <c r="N252" s="17">
        <v>15</v>
      </c>
      <c r="O252" s="17">
        <v>20.149999999999999</v>
      </c>
      <c r="P252" s="17">
        <v>1.35</v>
      </c>
      <c r="Q252" s="17">
        <v>18.25</v>
      </c>
      <c r="R252" s="17">
        <v>15.05</v>
      </c>
      <c r="S252" s="17">
        <v>18.2</v>
      </c>
      <c r="T252" s="16">
        <f t="shared" si="15"/>
        <v>4515</v>
      </c>
      <c r="U252" s="18">
        <v>685.78</v>
      </c>
      <c r="V252" s="19">
        <f t="shared" si="16"/>
        <v>0.15188925802879291</v>
      </c>
      <c r="W252" s="19">
        <f t="shared" si="17"/>
        <v>0.20930232558139528</v>
      </c>
      <c r="X252" s="19">
        <f t="shared" si="18"/>
        <v>0.33887043189368748</v>
      </c>
      <c r="Y252" s="12" t="s">
        <v>341</v>
      </c>
      <c r="Z252" s="12" t="s">
        <v>84</v>
      </c>
      <c r="AA252" s="18">
        <v>9019.02</v>
      </c>
      <c r="AB252" s="17">
        <v>-0.628</v>
      </c>
      <c r="AC252" s="12" t="s">
        <v>71</v>
      </c>
      <c r="AD252" s="12" t="str">
        <f t="shared" si="19"/>
        <v>Rs 2+</v>
      </c>
      <c r="AE252" s="20">
        <v>1</v>
      </c>
    </row>
    <row r="253" spans="1:31" x14ac:dyDescent="0.3">
      <c r="A253" s="12" t="s">
        <v>189</v>
      </c>
      <c r="B253" s="12" t="s">
        <v>342</v>
      </c>
      <c r="C253" s="12" t="s">
        <v>340</v>
      </c>
      <c r="D253" s="12" t="s">
        <v>68</v>
      </c>
      <c r="E253" s="13">
        <v>15.9</v>
      </c>
      <c r="F253" s="13">
        <v>10.3</v>
      </c>
      <c r="G253" s="13">
        <v>1.3</v>
      </c>
      <c r="H253" s="14">
        <v>270.25</v>
      </c>
      <c r="I253" s="12" t="s">
        <v>336</v>
      </c>
      <c r="J253" s="14">
        <v>257.5</v>
      </c>
      <c r="K253" s="15">
        <v>5</v>
      </c>
      <c r="L253" s="16">
        <v>5000</v>
      </c>
      <c r="M253" s="16">
        <v>676</v>
      </c>
      <c r="N253" s="17">
        <v>1</v>
      </c>
      <c r="O253" s="17">
        <v>1</v>
      </c>
      <c r="P253" s="17">
        <v>0.4</v>
      </c>
      <c r="Q253" s="17">
        <v>0.45</v>
      </c>
      <c r="R253" s="17">
        <v>1.05</v>
      </c>
      <c r="S253" s="17">
        <v>0.4</v>
      </c>
      <c r="T253" s="16">
        <f t="shared" si="15"/>
        <v>5250</v>
      </c>
      <c r="U253" s="18">
        <v>-3448.42</v>
      </c>
      <c r="V253" s="19">
        <f t="shared" si="16"/>
        <v>-0.65684190476190474</v>
      </c>
      <c r="W253" s="19">
        <f t="shared" si="17"/>
        <v>-0.61904761904761907</v>
      </c>
      <c r="X253" s="19">
        <f t="shared" si="18"/>
        <v>-4.7619047619047672E-2</v>
      </c>
      <c r="Y253" s="12" t="s">
        <v>342</v>
      </c>
      <c r="Z253" s="12" t="s">
        <v>70</v>
      </c>
      <c r="AA253" s="18">
        <v>-3448.42</v>
      </c>
      <c r="AB253" s="17">
        <v>-3.0390000000000001</v>
      </c>
      <c r="AC253" s="12" t="s">
        <v>102</v>
      </c>
      <c r="AD253" s="12" t="str">
        <f t="shared" si="19"/>
        <v>Rs 1-2</v>
      </c>
      <c r="AE253" s="20">
        <v>1</v>
      </c>
    </row>
    <row r="254" spans="1:31" x14ac:dyDescent="0.3">
      <c r="A254" s="12" t="s">
        <v>343</v>
      </c>
      <c r="B254" s="12" t="s">
        <v>342</v>
      </c>
      <c r="C254" s="12" t="s">
        <v>344</v>
      </c>
      <c r="D254" s="12" t="s">
        <v>68</v>
      </c>
      <c r="E254" s="13">
        <v>12.2</v>
      </c>
      <c r="F254" s="13">
        <v>1</v>
      </c>
      <c r="G254" s="13">
        <v>2.4</v>
      </c>
      <c r="H254" s="14">
        <v>931.1</v>
      </c>
      <c r="I254" s="12" t="s">
        <v>336</v>
      </c>
      <c r="J254" s="14">
        <v>930</v>
      </c>
      <c r="K254" s="15">
        <v>0</v>
      </c>
      <c r="L254" s="16">
        <v>550</v>
      </c>
      <c r="M254" s="16">
        <v>31922</v>
      </c>
      <c r="N254" s="17">
        <v>10.55</v>
      </c>
      <c r="O254" s="17">
        <v>16.8</v>
      </c>
      <c r="P254" s="17">
        <v>7.75</v>
      </c>
      <c r="Q254" s="17">
        <v>10.55</v>
      </c>
      <c r="R254" s="17">
        <v>10.6</v>
      </c>
      <c r="S254" s="17">
        <v>10.5</v>
      </c>
      <c r="T254" s="16">
        <f t="shared" si="15"/>
        <v>5830</v>
      </c>
      <c r="U254" s="18">
        <v>-231.96</v>
      </c>
      <c r="V254" s="19">
        <f t="shared" si="16"/>
        <v>-3.978730703259005E-2</v>
      </c>
      <c r="W254" s="19">
        <f t="shared" si="17"/>
        <v>-9.4339622641509413E-3</v>
      </c>
      <c r="X254" s="19">
        <f t="shared" si="18"/>
        <v>0.58490566037735858</v>
      </c>
      <c r="Y254" s="12" t="s">
        <v>345</v>
      </c>
      <c r="Z254" s="12" t="s">
        <v>70</v>
      </c>
      <c r="AA254" s="18">
        <v>-1617.73</v>
      </c>
      <c r="AB254" s="17">
        <v>0.85499999999999998</v>
      </c>
      <c r="AC254" s="12" t="s">
        <v>71</v>
      </c>
      <c r="AD254" s="12" t="str">
        <f t="shared" si="19"/>
        <v>Rs 2+</v>
      </c>
      <c r="AE254" s="20">
        <v>1</v>
      </c>
    </row>
    <row r="255" spans="1:31" x14ac:dyDescent="0.3">
      <c r="A255" s="12" t="s">
        <v>346</v>
      </c>
      <c r="B255" s="12" t="s">
        <v>342</v>
      </c>
      <c r="C255" s="12" t="s">
        <v>340</v>
      </c>
      <c r="D255" s="12" t="s">
        <v>68</v>
      </c>
      <c r="E255" s="13">
        <v>18</v>
      </c>
      <c r="F255" s="13">
        <v>0.4</v>
      </c>
      <c r="G255" s="13">
        <v>11.7</v>
      </c>
      <c r="H255" s="14">
        <v>296.39999999999998</v>
      </c>
      <c r="I255" s="12" t="s">
        <v>336</v>
      </c>
      <c r="J255" s="14">
        <v>277.5</v>
      </c>
      <c r="K255" s="15">
        <v>8</v>
      </c>
      <c r="L255" s="16">
        <v>2250</v>
      </c>
      <c r="M255" s="16">
        <v>682</v>
      </c>
      <c r="N255" s="17">
        <v>3</v>
      </c>
      <c r="O255" s="17">
        <v>3.95</v>
      </c>
      <c r="P255" s="17">
        <v>0.55000000000000004</v>
      </c>
      <c r="Q255" s="17">
        <v>0.6</v>
      </c>
      <c r="R255" s="17">
        <v>3.05</v>
      </c>
      <c r="S255" s="17">
        <v>0.55000000000000004</v>
      </c>
      <c r="T255" s="16">
        <f t="shared" si="15"/>
        <v>6862.5</v>
      </c>
      <c r="U255" s="18">
        <v>-5839.68</v>
      </c>
      <c r="V255" s="19">
        <f t="shared" si="16"/>
        <v>-0.85095519125683061</v>
      </c>
      <c r="W255" s="19">
        <f t="shared" si="17"/>
        <v>-0.81967213114754101</v>
      </c>
      <c r="X255" s="19">
        <f t="shared" si="18"/>
        <v>0.29508196721311486</v>
      </c>
      <c r="Y255" s="12" t="s">
        <v>342</v>
      </c>
      <c r="Z255" s="12" t="s">
        <v>70</v>
      </c>
      <c r="AA255" s="18">
        <v>-5839.68</v>
      </c>
      <c r="AB255" s="17">
        <v>-5.4660000000000002</v>
      </c>
      <c r="AC255" s="12" t="s">
        <v>71</v>
      </c>
      <c r="AD255" s="12" t="str">
        <f t="shared" si="19"/>
        <v>Rs 2+</v>
      </c>
      <c r="AE255" s="20">
        <v>1</v>
      </c>
    </row>
    <row r="256" spans="1:31" x14ac:dyDescent="0.3">
      <c r="A256" s="12" t="s">
        <v>295</v>
      </c>
      <c r="B256" s="12" t="s">
        <v>342</v>
      </c>
      <c r="C256" s="12" t="s">
        <v>344</v>
      </c>
      <c r="D256" s="12" t="s">
        <v>68</v>
      </c>
      <c r="E256" s="13">
        <v>381.7</v>
      </c>
      <c r="F256" s="13">
        <v>18.399999999999999</v>
      </c>
      <c r="G256" s="13">
        <v>3.7</v>
      </c>
      <c r="H256" s="14">
        <v>324.60000000000002</v>
      </c>
      <c r="I256" s="12" t="s">
        <v>336</v>
      </c>
      <c r="J256" s="14">
        <v>290</v>
      </c>
      <c r="K256" s="15">
        <v>7</v>
      </c>
      <c r="L256" s="16">
        <v>3175</v>
      </c>
      <c r="M256" s="16">
        <v>3611</v>
      </c>
      <c r="N256" s="17">
        <v>1.35</v>
      </c>
      <c r="O256" s="17">
        <v>5</v>
      </c>
      <c r="P256" s="17">
        <v>1.05</v>
      </c>
      <c r="Q256" s="17">
        <v>1.6</v>
      </c>
      <c r="R256" s="17">
        <v>1.4</v>
      </c>
      <c r="S256" s="17">
        <v>1.55</v>
      </c>
      <c r="T256" s="16">
        <f t="shared" si="15"/>
        <v>4445</v>
      </c>
      <c r="U256" s="18">
        <v>136.61000000000001</v>
      </c>
      <c r="V256" s="19">
        <f t="shared" si="16"/>
        <v>3.0733408323959509E-2</v>
      </c>
      <c r="W256" s="19">
        <f t="shared" si="17"/>
        <v>0.10714285714285721</v>
      </c>
      <c r="X256" s="19">
        <f t="shared" si="18"/>
        <v>2.5714285714285716</v>
      </c>
      <c r="Y256" s="12" t="s">
        <v>347</v>
      </c>
      <c r="Z256" s="12" t="s">
        <v>84</v>
      </c>
      <c r="AA256" s="18">
        <v>-170.76</v>
      </c>
      <c r="AB256" s="17">
        <v>1.99</v>
      </c>
      <c r="AC256" s="12" t="s">
        <v>102</v>
      </c>
      <c r="AD256" s="12" t="str">
        <f t="shared" si="19"/>
        <v>Rs 1-2</v>
      </c>
      <c r="AE256" s="20">
        <v>1</v>
      </c>
    </row>
    <row r="257" spans="1:31" x14ac:dyDescent="0.3">
      <c r="A257" s="12" t="s">
        <v>348</v>
      </c>
      <c r="B257" s="12" t="s">
        <v>345</v>
      </c>
      <c r="C257" s="12" t="s">
        <v>342</v>
      </c>
      <c r="D257" s="12" t="s">
        <v>68</v>
      </c>
      <c r="E257" s="13">
        <v>189.8</v>
      </c>
      <c r="F257" s="13">
        <v>4.0999999999999996</v>
      </c>
      <c r="G257" s="13">
        <v>16.399999999999999</v>
      </c>
      <c r="H257" s="14">
        <v>263.10000000000002</v>
      </c>
      <c r="I257" s="12" t="s">
        <v>336</v>
      </c>
      <c r="J257" s="14">
        <v>252.5</v>
      </c>
      <c r="K257" s="15">
        <v>4</v>
      </c>
      <c r="L257" s="16">
        <v>2625</v>
      </c>
      <c r="M257" s="16">
        <v>6042</v>
      </c>
      <c r="N257" s="17">
        <v>2.7</v>
      </c>
      <c r="O257" s="17">
        <v>7.15</v>
      </c>
      <c r="P257" s="17">
        <v>2.6</v>
      </c>
      <c r="Q257" s="17">
        <v>5.45</v>
      </c>
      <c r="R257" s="17">
        <v>2.75</v>
      </c>
      <c r="S257" s="17">
        <v>5.4</v>
      </c>
      <c r="T257" s="16">
        <f t="shared" si="15"/>
        <v>7218.75</v>
      </c>
      <c r="U257" s="18">
        <v>6450.71</v>
      </c>
      <c r="V257" s="19">
        <f t="shared" si="16"/>
        <v>0.89360484848484845</v>
      </c>
      <c r="W257" s="19">
        <f t="shared" si="17"/>
        <v>0.96363636363636385</v>
      </c>
      <c r="X257" s="19">
        <f t="shared" si="18"/>
        <v>1.6</v>
      </c>
      <c r="Y257" s="12" t="s">
        <v>347</v>
      </c>
      <c r="Z257" s="12" t="s">
        <v>84</v>
      </c>
      <c r="AA257" s="18">
        <v>2471.14</v>
      </c>
      <c r="AB257" s="17">
        <v>4.7050000000000001</v>
      </c>
      <c r="AC257" s="12" t="s">
        <v>71</v>
      </c>
      <c r="AD257" s="12" t="str">
        <f t="shared" si="19"/>
        <v>Rs 2+</v>
      </c>
      <c r="AE257" s="20">
        <v>1</v>
      </c>
    </row>
    <row r="258" spans="1:31" x14ac:dyDescent="0.3">
      <c r="A258" s="12" t="s">
        <v>292</v>
      </c>
      <c r="B258" s="12" t="s">
        <v>345</v>
      </c>
      <c r="C258" s="12" t="s">
        <v>342</v>
      </c>
      <c r="D258" s="12" t="s">
        <v>68</v>
      </c>
      <c r="E258" s="13">
        <v>46.2</v>
      </c>
      <c r="F258" s="13">
        <v>47.8</v>
      </c>
      <c r="G258" s="13">
        <v>27.5</v>
      </c>
      <c r="H258" s="14">
        <v>660.45</v>
      </c>
      <c r="I258" s="12" t="s">
        <v>336</v>
      </c>
      <c r="J258" s="14">
        <v>630</v>
      </c>
      <c r="K258" s="15">
        <v>6</v>
      </c>
      <c r="L258" s="16">
        <v>1225</v>
      </c>
      <c r="M258" s="16">
        <v>8068</v>
      </c>
      <c r="N258" s="17">
        <v>4.1500000000000004</v>
      </c>
      <c r="O258" s="17">
        <v>6.5</v>
      </c>
      <c r="P258" s="17">
        <v>1.55</v>
      </c>
      <c r="Q258" s="17">
        <v>2.65</v>
      </c>
      <c r="R258" s="17">
        <v>4.2</v>
      </c>
      <c r="S258" s="17">
        <v>2.6</v>
      </c>
      <c r="T258" s="16">
        <f t="shared" ref="T258:T321" si="20">R258*L258</f>
        <v>5145</v>
      </c>
      <c r="U258" s="18">
        <v>-2098.9299999999998</v>
      </c>
      <c r="V258" s="19">
        <f t="shared" ref="V258:V321" si="21">U258/T258</f>
        <v>-0.40795529640427597</v>
      </c>
      <c r="W258" s="19">
        <f t="shared" ref="W258:W321" si="22">S258/R258-1</f>
        <v>-0.38095238095238093</v>
      </c>
      <c r="X258" s="19">
        <f t="shared" ref="X258:X321" si="23">IF(O258="","",O258/R258-1)</f>
        <v>0.54761904761904745</v>
      </c>
      <c r="Y258" s="12" t="s">
        <v>345</v>
      </c>
      <c r="Z258" s="12" t="s">
        <v>70</v>
      </c>
      <c r="AA258" s="18">
        <v>-2098.9299999999998</v>
      </c>
      <c r="AB258" s="17">
        <v>-1.7869999999999999</v>
      </c>
      <c r="AC258" s="12" t="s">
        <v>71</v>
      </c>
      <c r="AD258" s="12" t="str">
        <f t="shared" ref="AD258:AD321" si="24">IF(R258&lt;1,"under Rs 1",IF(R258&lt;2,"Rs 1-2","Rs 2+"))</f>
        <v>Rs 2+</v>
      </c>
      <c r="AE258" s="20">
        <v>1</v>
      </c>
    </row>
    <row r="259" spans="1:31" x14ac:dyDescent="0.3">
      <c r="A259" s="12" t="s">
        <v>230</v>
      </c>
      <c r="B259" s="12" t="s">
        <v>347</v>
      </c>
      <c r="C259" s="12" t="s">
        <v>345</v>
      </c>
      <c r="D259" s="12" t="s">
        <v>68</v>
      </c>
      <c r="E259" s="13">
        <v>26.3</v>
      </c>
      <c r="F259" s="13">
        <v>19</v>
      </c>
      <c r="G259" s="13">
        <v>14.9</v>
      </c>
      <c r="H259" s="14">
        <v>1001.25</v>
      </c>
      <c r="I259" s="12" t="s">
        <v>336</v>
      </c>
      <c r="J259" s="14">
        <v>960</v>
      </c>
      <c r="K259" s="15">
        <v>4</v>
      </c>
      <c r="L259" s="16">
        <v>1000</v>
      </c>
      <c r="M259" s="16">
        <v>6827</v>
      </c>
      <c r="N259" s="17">
        <v>6</v>
      </c>
      <c r="O259" s="17">
        <v>10.5</v>
      </c>
      <c r="P259" s="17">
        <v>1.6</v>
      </c>
      <c r="Q259" s="17">
        <v>3.2</v>
      </c>
      <c r="R259" s="17">
        <v>6.05</v>
      </c>
      <c r="S259" s="17">
        <v>3.15</v>
      </c>
      <c r="T259" s="16">
        <f t="shared" si="20"/>
        <v>6050</v>
      </c>
      <c r="U259" s="18">
        <v>-3139.98</v>
      </c>
      <c r="V259" s="19">
        <f t="shared" si="21"/>
        <v>-0.51900495867768592</v>
      </c>
      <c r="W259" s="19">
        <f t="shared" si="22"/>
        <v>-0.47933884297520657</v>
      </c>
      <c r="X259" s="19">
        <f t="shared" si="23"/>
        <v>0.73553719008264462</v>
      </c>
      <c r="Y259" s="12" t="s">
        <v>347</v>
      </c>
      <c r="Z259" s="12" t="s">
        <v>70</v>
      </c>
      <c r="AA259" s="18">
        <v>-3139.98</v>
      </c>
      <c r="AB259" s="17">
        <v>1.397</v>
      </c>
      <c r="AC259" s="12" t="s">
        <v>71</v>
      </c>
      <c r="AD259" s="12" t="str">
        <f t="shared" si="24"/>
        <v>Rs 2+</v>
      </c>
      <c r="AE259" s="20">
        <v>1</v>
      </c>
    </row>
    <row r="260" spans="1:31" x14ac:dyDescent="0.3">
      <c r="A260" s="12" t="s">
        <v>349</v>
      </c>
      <c r="B260" s="12" t="s">
        <v>347</v>
      </c>
      <c r="C260" s="12" t="s">
        <v>345</v>
      </c>
      <c r="D260" s="12" t="s">
        <v>68</v>
      </c>
      <c r="E260" s="13">
        <v>59.6</v>
      </c>
      <c r="F260" s="13">
        <v>11.5</v>
      </c>
      <c r="G260" s="13">
        <v>6.3</v>
      </c>
      <c r="H260" s="14">
        <v>2883.05</v>
      </c>
      <c r="I260" s="12" t="s">
        <v>336</v>
      </c>
      <c r="J260" s="14">
        <v>2760</v>
      </c>
      <c r="K260" s="15">
        <v>7</v>
      </c>
      <c r="L260" s="16">
        <v>200</v>
      </c>
      <c r="M260" s="16">
        <v>6791</v>
      </c>
      <c r="N260" s="17">
        <v>37.25</v>
      </c>
      <c r="O260" s="17">
        <v>102.65</v>
      </c>
      <c r="P260" s="17">
        <v>37.25</v>
      </c>
      <c r="Q260" s="17">
        <v>89.65</v>
      </c>
      <c r="R260" s="17">
        <v>37.299999999999997</v>
      </c>
      <c r="S260" s="17">
        <v>89.6</v>
      </c>
      <c r="T260" s="16">
        <f t="shared" si="20"/>
        <v>7459.9999999999991</v>
      </c>
      <c r="U260" s="18">
        <v>9867.42</v>
      </c>
      <c r="V260" s="19">
        <f t="shared" si="21"/>
        <v>1.3227104557640752</v>
      </c>
      <c r="W260" s="19">
        <f t="shared" si="22"/>
        <v>1.4021447721179623</v>
      </c>
      <c r="X260" s="19">
        <f t="shared" si="23"/>
        <v>1.75201072386059</v>
      </c>
      <c r="Y260" s="12" t="s">
        <v>341</v>
      </c>
      <c r="Z260" s="12" t="s">
        <v>84</v>
      </c>
      <c r="AA260" s="18">
        <v>927.78</v>
      </c>
      <c r="AB260" s="17">
        <v>4.4850000000000003</v>
      </c>
      <c r="AC260" s="12" t="s">
        <v>71</v>
      </c>
      <c r="AD260" s="12" t="str">
        <f t="shared" si="24"/>
        <v>Rs 2+</v>
      </c>
      <c r="AE260" s="20">
        <v>1</v>
      </c>
    </row>
    <row r="261" spans="1:31" x14ac:dyDescent="0.3">
      <c r="A261" s="12" t="s">
        <v>350</v>
      </c>
      <c r="B261" s="12" t="s">
        <v>341</v>
      </c>
      <c r="C261" s="12" t="s">
        <v>347</v>
      </c>
      <c r="D261" s="12" t="s">
        <v>77</v>
      </c>
      <c r="E261" s="13">
        <v>-15.3</v>
      </c>
      <c r="F261" s="13">
        <v>-11</v>
      </c>
      <c r="G261" s="13">
        <v>4.4000000000000004</v>
      </c>
      <c r="H261" s="14">
        <v>1156.8499999999999</v>
      </c>
      <c r="I261" s="12" t="s">
        <v>336</v>
      </c>
      <c r="J261" s="14">
        <v>1220</v>
      </c>
      <c r="K261" s="15">
        <v>6</v>
      </c>
      <c r="L261" s="16">
        <v>625</v>
      </c>
      <c r="M261" s="16">
        <v>21408</v>
      </c>
      <c r="N261" s="17">
        <v>10</v>
      </c>
      <c r="O261" s="17">
        <v>21.5</v>
      </c>
      <c r="P261" s="17">
        <v>8.25</v>
      </c>
      <c r="Q261" s="17">
        <v>14.3</v>
      </c>
      <c r="R261" s="17">
        <v>10.050000000000001</v>
      </c>
      <c r="S261" s="17">
        <v>14.25</v>
      </c>
      <c r="T261" s="16">
        <f t="shared" si="20"/>
        <v>6281.25</v>
      </c>
      <c r="U261" s="18">
        <v>2405.9899999999998</v>
      </c>
      <c r="V261" s="19">
        <f t="shared" si="21"/>
        <v>0.38304318407960197</v>
      </c>
      <c r="W261" s="19">
        <f t="shared" si="22"/>
        <v>0.4179104477611939</v>
      </c>
      <c r="X261" s="19">
        <f t="shared" si="23"/>
        <v>1.1393034825870645</v>
      </c>
      <c r="Y261" s="12" t="s">
        <v>351</v>
      </c>
      <c r="Z261" s="12" t="s">
        <v>111</v>
      </c>
      <c r="AA261" s="18">
        <v>3857.23</v>
      </c>
      <c r="AB261" s="17">
        <v>1.883</v>
      </c>
      <c r="AC261" s="12" t="s">
        <v>71</v>
      </c>
      <c r="AD261" s="12" t="str">
        <f t="shared" si="24"/>
        <v>Rs 2+</v>
      </c>
      <c r="AE261" s="20">
        <v>1</v>
      </c>
    </row>
    <row r="262" spans="1:31" x14ac:dyDescent="0.3">
      <c r="A262" s="12" t="s">
        <v>94</v>
      </c>
      <c r="B262" s="12" t="s">
        <v>341</v>
      </c>
      <c r="C262" s="12" t="s">
        <v>347</v>
      </c>
      <c r="D262" s="12" t="s">
        <v>68</v>
      </c>
      <c r="E262" s="13">
        <v>57.7</v>
      </c>
      <c r="F262" s="13">
        <v>3.9</v>
      </c>
      <c r="G262" s="13">
        <v>4.7</v>
      </c>
      <c r="H262" s="14">
        <v>429.05</v>
      </c>
      <c r="I262" s="12" t="s">
        <v>336</v>
      </c>
      <c r="J262" s="14">
        <v>415</v>
      </c>
      <c r="K262" s="15">
        <v>3</v>
      </c>
      <c r="L262" s="16">
        <v>2025</v>
      </c>
      <c r="M262" s="16">
        <v>1283</v>
      </c>
      <c r="N262" s="17">
        <v>2</v>
      </c>
      <c r="O262" s="17">
        <v>4.05</v>
      </c>
      <c r="P262" s="17">
        <v>0.85</v>
      </c>
      <c r="Q262" s="17">
        <v>1.1000000000000001</v>
      </c>
      <c r="R262" s="17">
        <v>2.0499999999999998</v>
      </c>
      <c r="S262" s="17">
        <v>1.05</v>
      </c>
      <c r="T262" s="16">
        <f t="shared" si="20"/>
        <v>4151.25</v>
      </c>
      <c r="U262" s="18">
        <v>-2203.6999999999998</v>
      </c>
      <c r="V262" s="19">
        <f t="shared" si="21"/>
        <v>-0.5308521529659741</v>
      </c>
      <c r="W262" s="19">
        <f t="shared" si="22"/>
        <v>-0.48780487804878048</v>
      </c>
      <c r="X262" s="19">
        <f t="shared" si="23"/>
        <v>0.97560975609756095</v>
      </c>
      <c r="Y262" s="12" t="s">
        <v>341</v>
      </c>
      <c r="Z262" s="12" t="s">
        <v>70</v>
      </c>
      <c r="AA262" s="18">
        <v>-2203.6999999999998</v>
      </c>
      <c r="AB262" s="17">
        <v>0.46500000000000002</v>
      </c>
      <c r="AC262" s="12" t="s">
        <v>71</v>
      </c>
      <c r="AD262" s="12" t="str">
        <f t="shared" si="24"/>
        <v>Rs 2+</v>
      </c>
      <c r="AE262" s="20">
        <v>1</v>
      </c>
    </row>
    <row r="263" spans="1:31" x14ac:dyDescent="0.3">
      <c r="A263" s="12" t="s">
        <v>75</v>
      </c>
      <c r="B263" s="12" t="s">
        <v>341</v>
      </c>
      <c r="C263" s="12" t="s">
        <v>347</v>
      </c>
      <c r="D263" s="12" t="s">
        <v>68</v>
      </c>
      <c r="E263" s="13">
        <v>12.6</v>
      </c>
      <c r="F263" s="13">
        <v>11.6</v>
      </c>
      <c r="G263" s="13">
        <v>14.6</v>
      </c>
      <c r="H263" s="14">
        <v>7673.55</v>
      </c>
      <c r="I263" s="12" t="s">
        <v>336</v>
      </c>
      <c r="J263" s="14">
        <v>7700</v>
      </c>
      <c r="K263" s="15">
        <v>0</v>
      </c>
      <c r="L263" s="16">
        <v>75</v>
      </c>
      <c r="M263" s="16">
        <v>4399</v>
      </c>
      <c r="N263" s="17">
        <v>73.5</v>
      </c>
      <c r="O263" s="17">
        <v>103.3</v>
      </c>
      <c r="P263" s="17">
        <v>28.35</v>
      </c>
      <c r="Q263" s="17">
        <v>36.9</v>
      </c>
      <c r="R263" s="17">
        <v>73.55</v>
      </c>
      <c r="S263" s="17">
        <v>36.85</v>
      </c>
      <c r="T263" s="16">
        <f t="shared" si="20"/>
        <v>5516.25</v>
      </c>
      <c r="U263" s="18">
        <v>-2973.1</v>
      </c>
      <c r="V263" s="19">
        <f t="shared" si="21"/>
        <v>-0.53897122139134379</v>
      </c>
      <c r="W263" s="19">
        <f t="shared" si="22"/>
        <v>-0.49898028552005436</v>
      </c>
      <c r="X263" s="19">
        <f t="shared" si="23"/>
        <v>0.40448674371176074</v>
      </c>
      <c r="Y263" s="12" t="s">
        <v>341</v>
      </c>
      <c r="Z263" s="12" t="s">
        <v>70</v>
      </c>
      <c r="AA263" s="18">
        <v>-2973.1</v>
      </c>
      <c r="AB263" s="17">
        <v>-0.66300000000000003</v>
      </c>
      <c r="AC263" s="12" t="s">
        <v>71</v>
      </c>
      <c r="AD263" s="12" t="str">
        <f t="shared" si="24"/>
        <v>Rs 2+</v>
      </c>
      <c r="AE263" s="20">
        <v>1</v>
      </c>
    </row>
    <row r="264" spans="1:31" x14ac:dyDescent="0.3">
      <c r="A264" s="12" t="s">
        <v>352</v>
      </c>
      <c r="B264" s="12" t="s">
        <v>341</v>
      </c>
      <c r="C264" s="12" t="s">
        <v>347</v>
      </c>
      <c r="D264" s="12" t="s">
        <v>68</v>
      </c>
      <c r="E264" s="13">
        <v>118.4</v>
      </c>
      <c r="F264" s="13">
        <v>26</v>
      </c>
      <c r="G264" s="13">
        <v>118.8</v>
      </c>
      <c r="H264" s="14">
        <v>2418.9</v>
      </c>
      <c r="I264" s="12" t="s">
        <v>336</v>
      </c>
      <c r="J264" s="14">
        <v>2400</v>
      </c>
      <c r="K264" s="15">
        <v>0</v>
      </c>
      <c r="L264" s="16">
        <v>175</v>
      </c>
      <c r="M264" s="16">
        <v>8842</v>
      </c>
      <c r="N264" s="17">
        <v>20</v>
      </c>
      <c r="O264" s="17">
        <v>20</v>
      </c>
      <c r="P264" s="17">
        <v>3.1</v>
      </c>
      <c r="Q264" s="17">
        <v>4.05</v>
      </c>
      <c r="R264" s="17">
        <v>20.05</v>
      </c>
      <c r="S264" s="17">
        <v>4</v>
      </c>
      <c r="T264" s="16">
        <f t="shared" si="20"/>
        <v>3508.75</v>
      </c>
      <c r="U264" s="18">
        <v>-2943.06</v>
      </c>
      <c r="V264" s="19">
        <f t="shared" si="21"/>
        <v>-0.83877734235838974</v>
      </c>
      <c r="W264" s="19">
        <f t="shared" si="22"/>
        <v>-0.80049875311720697</v>
      </c>
      <c r="X264" s="19">
        <f t="shared" si="23"/>
        <v>-2.4937655860349794E-3</v>
      </c>
      <c r="Y264" s="12" t="s">
        <v>341</v>
      </c>
      <c r="Z264" s="12" t="s">
        <v>70</v>
      </c>
      <c r="AA264" s="18">
        <v>-2943.06</v>
      </c>
      <c r="AB264" s="17">
        <v>-2.99</v>
      </c>
      <c r="AC264" s="12" t="s">
        <v>71</v>
      </c>
      <c r="AD264" s="12" t="str">
        <f t="shared" si="24"/>
        <v>Rs 2+</v>
      </c>
      <c r="AE264" s="20">
        <v>1</v>
      </c>
    </row>
    <row r="265" spans="1:31" x14ac:dyDescent="0.3">
      <c r="A265" s="12" t="s">
        <v>86</v>
      </c>
      <c r="B265" s="12" t="s">
        <v>351</v>
      </c>
      <c r="C265" s="12" t="s">
        <v>341</v>
      </c>
      <c r="D265" s="12" t="s">
        <v>68</v>
      </c>
      <c r="E265" s="13">
        <v>42.9</v>
      </c>
      <c r="F265" s="13">
        <v>2.8</v>
      </c>
      <c r="G265" s="13">
        <v>7</v>
      </c>
      <c r="H265" s="14">
        <v>1975.95</v>
      </c>
      <c r="I265" s="12" t="s">
        <v>353</v>
      </c>
      <c r="J265" s="14">
        <v>1920</v>
      </c>
      <c r="K265" s="15">
        <v>3</v>
      </c>
      <c r="L265" s="16">
        <v>350</v>
      </c>
      <c r="M265" s="16">
        <v>74</v>
      </c>
      <c r="N265" s="17">
        <v>19.100000000000001</v>
      </c>
      <c r="O265" s="17">
        <v>32</v>
      </c>
      <c r="P265" s="17">
        <v>19.05</v>
      </c>
      <c r="Q265" s="17">
        <v>31.15</v>
      </c>
      <c r="R265" s="17">
        <v>19.149999999999999</v>
      </c>
      <c r="S265" s="17">
        <v>31.1</v>
      </c>
      <c r="T265" s="16">
        <f t="shared" si="20"/>
        <v>6702.4999999999991</v>
      </c>
      <c r="U265" s="18">
        <v>3759.62</v>
      </c>
      <c r="V265" s="19">
        <f t="shared" si="21"/>
        <v>0.56092801193584485</v>
      </c>
      <c r="W265" s="19">
        <f t="shared" si="22"/>
        <v>0.62402088772845965</v>
      </c>
      <c r="X265" s="19">
        <f t="shared" si="23"/>
        <v>0.67101827676240222</v>
      </c>
      <c r="Y265" s="12" t="s">
        <v>336</v>
      </c>
      <c r="Z265" s="12" t="s">
        <v>84</v>
      </c>
      <c r="AA265" s="18">
        <v>558.86</v>
      </c>
      <c r="AB265" s="17">
        <v>-5.0000000000000001E-3</v>
      </c>
      <c r="AC265" s="12" t="s">
        <v>71</v>
      </c>
      <c r="AD265" s="12" t="str">
        <f t="shared" si="24"/>
        <v>Rs 2+</v>
      </c>
      <c r="AE265" s="20">
        <v>1</v>
      </c>
    </row>
    <row r="266" spans="1:31" x14ac:dyDescent="0.3">
      <c r="A266" s="12" t="s">
        <v>201</v>
      </c>
      <c r="B266" s="12" t="s">
        <v>351</v>
      </c>
      <c r="C266" s="12" t="s">
        <v>341</v>
      </c>
      <c r="D266" s="12" t="s">
        <v>68</v>
      </c>
      <c r="E266" s="13">
        <v>13.7</v>
      </c>
      <c r="F266" s="13">
        <v>2</v>
      </c>
      <c r="G266" s="13">
        <v>32.200000000000003</v>
      </c>
      <c r="H266" s="14">
        <v>613.29999999999995</v>
      </c>
      <c r="I266" s="12" t="s">
        <v>353</v>
      </c>
      <c r="J266" s="14">
        <v>570</v>
      </c>
      <c r="K266" s="15">
        <v>4</v>
      </c>
      <c r="L266" s="16">
        <v>825</v>
      </c>
      <c r="M266" s="16">
        <v>451</v>
      </c>
      <c r="N266" s="17">
        <v>7.3</v>
      </c>
      <c r="O266" s="17">
        <v>17</v>
      </c>
      <c r="P266" s="17">
        <v>7.2</v>
      </c>
      <c r="Q266" s="17">
        <v>16.55</v>
      </c>
      <c r="R266" s="17">
        <v>7.35</v>
      </c>
      <c r="S266" s="17">
        <v>16.5</v>
      </c>
      <c r="T266" s="16">
        <f t="shared" si="20"/>
        <v>6063.75</v>
      </c>
      <c r="U266" s="18">
        <v>7275.92</v>
      </c>
      <c r="V266" s="19">
        <f t="shared" si="21"/>
        <v>1.1999043496186352</v>
      </c>
      <c r="W266" s="19">
        <f t="shared" si="22"/>
        <v>1.2448979591836737</v>
      </c>
      <c r="X266" s="19">
        <f t="shared" si="23"/>
        <v>1.3129251700680271</v>
      </c>
      <c r="Y266" s="12" t="s">
        <v>336</v>
      </c>
      <c r="Z266" s="12" t="s">
        <v>84</v>
      </c>
      <c r="AA266" s="18">
        <v>1692.03</v>
      </c>
      <c r="AB266" s="17">
        <v>5.0890000000000004</v>
      </c>
      <c r="AC266" s="12" t="s">
        <v>71</v>
      </c>
      <c r="AD266" s="12" t="str">
        <f t="shared" si="24"/>
        <v>Rs 2+</v>
      </c>
      <c r="AE266" s="20">
        <v>1</v>
      </c>
    </row>
    <row r="267" spans="1:31" x14ac:dyDescent="0.3">
      <c r="A267" s="12" t="s">
        <v>354</v>
      </c>
      <c r="B267" s="12" t="s">
        <v>351</v>
      </c>
      <c r="C267" s="12" t="s">
        <v>341</v>
      </c>
      <c r="D267" s="12" t="s">
        <v>68</v>
      </c>
      <c r="E267" s="13">
        <v>53.4</v>
      </c>
      <c r="F267" s="13">
        <v>10.8</v>
      </c>
      <c r="G267" s="13">
        <v>13</v>
      </c>
      <c r="H267" s="14">
        <v>739.7</v>
      </c>
      <c r="I267" s="12" t="s">
        <v>353</v>
      </c>
      <c r="J267" s="14">
        <v>600</v>
      </c>
      <c r="K267" s="15">
        <v>13</v>
      </c>
      <c r="L267" s="16">
        <v>575</v>
      </c>
      <c r="M267" s="16">
        <v>546</v>
      </c>
      <c r="N267" s="17">
        <v>5.55</v>
      </c>
      <c r="O267" s="17">
        <v>15.95</v>
      </c>
      <c r="P267" s="17">
        <v>5.5</v>
      </c>
      <c r="Q267" s="17">
        <v>14.9</v>
      </c>
      <c r="R267" s="17">
        <v>5.6</v>
      </c>
      <c r="S267" s="17">
        <v>14.85</v>
      </c>
      <c r="T267" s="16">
        <f t="shared" si="20"/>
        <v>3220</v>
      </c>
      <c r="U267" s="18">
        <v>5018.5200000000004</v>
      </c>
      <c r="V267" s="19">
        <f t="shared" si="21"/>
        <v>1.5585465838509318</v>
      </c>
      <c r="W267" s="19">
        <f t="shared" si="22"/>
        <v>1.6517857142857144</v>
      </c>
      <c r="X267" s="19">
        <f t="shared" si="23"/>
        <v>1.8482142857142856</v>
      </c>
      <c r="Y267" s="12" t="s">
        <v>336</v>
      </c>
      <c r="Z267" s="12" t="s">
        <v>84</v>
      </c>
      <c r="AA267" s="18">
        <v>266.27999999999997</v>
      </c>
      <c r="AB267" s="17">
        <v>5.7789999999999999</v>
      </c>
      <c r="AC267" s="12" t="s">
        <v>71</v>
      </c>
      <c r="AD267" s="12" t="str">
        <f t="shared" si="24"/>
        <v>Rs 2+</v>
      </c>
      <c r="AE267" s="20">
        <v>1</v>
      </c>
    </row>
    <row r="268" spans="1:31" x14ac:dyDescent="0.3">
      <c r="A268" s="12" t="s">
        <v>279</v>
      </c>
      <c r="B268" s="12" t="s">
        <v>336</v>
      </c>
      <c r="C268" s="12" t="s">
        <v>351</v>
      </c>
      <c r="D268" s="12" t="s">
        <v>68</v>
      </c>
      <c r="E268" s="13">
        <v>88.9</v>
      </c>
      <c r="F268" s="13">
        <v>16.100000000000001</v>
      </c>
      <c r="G268" s="13">
        <v>7.1</v>
      </c>
      <c r="H268" s="14">
        <v>349.15</v>
      </c>
      <c r="I268" s="12" t="s">
        <v>353</v>
      </c>
      <c r="J268" s="14">
        <v>335</v>
      </c>
      <c r="K268" s="15">
        <v>3</v>
      </c>
      <c r="L268" s="16">
        <v>1975</v>
      </c>
      <c r="M268" s="16">
        <v>362</v>
      </c>
      <c r="N268" s="17">
        <v>3.9</v>
      </c>
      <c r="O268" s="17">
        <v>9.4499999999999993</v>
      </c>
      <c r="P268" s="17">
        <v>3.75</v>
      </c>
      <c r="Q268" s="17">
        <v>4.1500000000000004</v>
      </c>
      <c r="R268" s="17">
        <v>3.95</v>
      </c>
      <c r="S268" s="17">
        <v>4.0999999999999996</v>
      </c>
      <c r="T268" s="16">
        <f t="shared" si="20"/>
        <v>7801.25</v>
      </c>
      <c r="U268" s="18">
        <v>70.989999999999995</v>
      </c>
      <c r="V268" s="19">
        <f t="shared" si="21"/>
        <v>9.0998237461945193E-3</v>
      </c>
      <c r="W268" s="19">
        <f t="shared" si="22"/>
        <v>3.7974683544303556E-2</v>
      </c>
      <c r="X268" s="19">
        <f t="shared" si="23"/>
        <v>1.3924050632911391</v>
      </c>
      <c r="Y268" s="12" t="s">
        <v>355</v>
      </c>
      <c r="Z268" s="12" t="s">
        <v>70</v>
      </c>
      <c r="AA268" s="18">
        <v>-2563.48</v>
      </c>
      <c r="AB268" s="17">
        <v>0.16800000000000001</v>
      </c>
      <c r="AC268" s="12" t="s">
        <v>71</v>
      </c>
      <c r="AD268" s="12" t="str">
        <f t="shared" si="24"/>
        <v>Rs 2+</v>
      </c>
      <c r="AE268" s="20">
        <v>1</v>
      </c>
    </row>
    <row r="269" spans="1:31" x14ac:dyDescent="0.3">
      <c r="A269" s="12" t="s">
        <v>115</v>
      </c>
      <c r="B269" s="12" t="s">
        <v>336</v>
      </c>
      <c r="C269" s="12" t="s">
        <v>351</v>
      </c>
      <c r="D269" s="12" t="s">
        <v>77</v>
      </c>
      <c r="E269" s="13">
        <v>-57.2</v>
      </c>
      <c r="F269" s="13">
        <v>-50.2</v>
      </c>
      <c r="G269" s="13">
        <v>0</v>
      </c>
      <c r="H269" s="14">
        <v>1315</v>
      </c>
      <c r="I269" s="12" t="s">
        <v>353</v>
      </c>
      <c r="J269" s="14">
        <v>1360</v>
      </c>
      <c r="K269" s="15">
        <v>5</v>
      </c>
      <c r="L269" s="16">
        <v>375</v>
      </c>
      <c r="M269" s="16">
        <v>645</v>
      </c>
      <c r="N269" s="17">
        <v>17.399999999999999</v>
      </c>
      <c r="O269" s="17">
        <v>21.4</v>
      </c>
      <c r="P269" s="17">
        <v>14</v>
      </c>
      <c r="Q269" s="17">
        <v>17.350000000000001</v>
      </c>
      <c r="R269" s="17">
        <v>17.45</v>
      </c>
      <c r="S269" s="17">
        <v>17.3</v>
      </c>
      <c r="T269" s="16">
        <f t="shared" si="20"/>
        <v>6543.75</v>
      </c>
      <c r="U269" s="18">
        <v>-249.18</v>
      </c>
      <c r="V269" s="19">
        <f t="shared" si="21"/>
        <v>-3.8079083094555877E-2</v>
      </c>
      <c r="W269" s="19">
        <f t="shared" si="22"/>
        <v>-8.5959885386818202E-3</v>
      </c>
      <c r="X269" s="19">
        <f t="shared" si="23"/>
        <v>0.22636103151862463</v>
      </c>
      <c r="Y269" s="12" t="s">
        <v>356</v>
      </c>
      <c r="Z269" s="12" t="s">
        <v>70</v>
      </c>
      <c r="AA269" s="18">
        <v>-2879.94</v>
      </c>
      <c r="AB269" s="17">
        <v>1</v>
      </c>
      <c r="AC269" s="12" t="s">
        <v>71</v>
      </c>
      <c r="AD269" s="12" t="str">
        <f t="shared" si="24"/>
        <v>Rs 2+</v>
      </c>
      <c r="AE269" s="20">
        <v>1</v>
      </c>
    </row>
    <row r="270" spans="1:31" x14ac:dyDescent="0.3">
      <c r="A270" s="12" t="s">
        <v>357</v>
      </c>
      <c r="B270" s="12" t="s">
        <v>336</v>
      </c>
      <c r="C270" s="12" t="s">
        <v>351</v>
      </c>
      <c r="D270" s="12" t="s">
        <v>68</v>
      </c>
      <c r="E270" s="13">
        <v>235.2</v>
      </c>
      <c r="F270" s="13">
        <v>46.4</v>
      </c>
      <c r="G270" s="13">
        <v>11.1</v>
      </c>
      <c r="H270" s="14">
        <v>1170</v>
      </c>
      <c r="I270" s="12" t="s">
        <v>353</v>
      </c>
      <c r="J270" s="14">
        <v>1120</v>
      </c>
      <c r="K270" s="15">
        <v>5</v>
      </c>
      <c r="L270" s="16">
        <v>675</v>
      </c>
      <c r="M270" s="16">
        <v>228</v>
      </c>
      <c r="N270" s="17">
        <v>8.35</v>
      </c>
      <c r="O270" s="17">
        <v>12.5</v>
      </c>
      <c r="P270" s="17">
        <v>6.3</v>
      </c>
      <c r="Q270" s="17">
        <v>7.25</v>
      </c>
      <c r="R270" s="17">
        <v>8.4</v>
      </c>
      <c r="S270" s="17">
        <v>7.2</v>
      </c>
      <c r="T270" s="16">
        <f t="shared" si="20"/>
        <v>5670</v>
      </c>
      <c r="U270" s="18">
        <v>-974.38</v>
      </c>
      <c r="V270" s="19">
        <f t="shared" si="21"/>
        <v>-0.17184832451499119</v>
      </c>
      <c r="W270" s="19">
        <f t="shared" si="22"/>
        <v>-0.1428571428571429</v>
      </c>
      <c r="X270" s="19">
        <f t="shared" si="23"/>
        <v>0.48809523809523814</v>
      </c>
      <c r="Y270" s="12" t="s">
        <v>355</v>
      </c>
      <c r="Z270" s="12" t="s">
        <v>70</v>
      </c>
      <c r="AA270" s="18">
        <v>-2308.29</v>
      </c>
      <c r="AB270" s="17">
        <v>-2.089</v>
      </c>
      <c r="AC270" s="12" t="s">
        <v>71</v>
      </c>
      <c r="AD270" s="12" t="str">
        <f t="shared" si="24"/>
        <v>Rs 2+</v>
      </c>
      <c r="AE270" s="20">
        <v>1</v>
      </c>
    </row>
    <row r="271" spans="1:31" x14ac:dyDescent="0.3">
      <c r="A271" s="12" t="s">
        <v>358</v>
      </c>
      <c r="B271" s="12" t="s">
        <v>336</v>
      </c>
      <c r="C271" s="12" t="s">
        <v>359</v>
      </c>
      <c r="D271" s="12" t="s">
        <v>68</v>
      </c>
      <c r="E271" s="13">
        <v>17.399999999999999</v>
      </c>
      <c r="F271" s="13">
        <v>39.700000000000003</v>
      </c>
      <c r="G271" s="13">
        <v>27</v>
      </c>
      <c r="H271" s="14">
        <v>12369</v>
      </c>
      <c r="I271" s="12" t="s">
        <v>353</v>
      </c>
      <c r="J271" s="14">
        <v>12200</v>
      </c>
      <c r="K271" s="15">
        <v>2</v>
      </c>
      <c r="L271" s="16">
        <v>50</v>
      </c>
      <c r="M271" s="16">
        <v>1070</v>
      </c>
      <c r="N271" s="17">
        <v>154.85</v>
      </c>
      <c r="O271" s="17">
        <v>197.2</v>
      </c>
      <c r="P271" s="17">
        <v>125.25</v>
      </c>
      <c r="Q271" s="17">
        <v>161.15</v>
      </c>
      <c r="R271" s="17">
        <v>154.9</v>
      </c>
      <c r="S271" s="17">
        <v>161.1</v>
      </c>
      <c r="T271" s="16">
        <f t="shared" si="20"/>
        <v>7745</v>
      </c>
      <c r="U271" s="18">
        <v>85.84</v>
      </c>
      <c r="V271" s="19">
        <f t="shared" si="21"/>
        <v>1.1083279535183991E-2</v>
      </c>
      <c r="W271" s="19">
        <f t="shared" si="22"/>
        <v>4.0025823111684788E-2</v>
      </c>
      <c r="X271" s="19">
        <f t="shared" si="23"/>
        <v>0.27307940606843117</v>
      </c>
      <c r="Y271" s="12" t="s">
        <v>360</v>
      </c>
      <c r="Z271" s="12" t="s">
        <v>70</v>
      </c>
      <c r="AA271" s="18">
        <v>-2376.96</v>
      </c>
      <c r="AB271" s="17">
        <v>-0.35899999999999999</v>
      </c>
      <c r="AC271" s="12" t="s">
        <v>71</v>
      </c>
      <c r="AD271" s="12" t="str">
        <f t="shared" si="24"/>
        <v>Rs 2+</v>
      </c>
      <c r="AE271" s="20">
        <v>1</v>
      </c>
    </row>
    <row r="272" spans="1:31" x14ac:dyDescent="0.3">
      <c r="A272" s="12" t="s">
        <v>130</v>
      </c>
      <c r="B272" s="12" t="s">
        <v>355</v>
      </c>
      <c r="C272" s="12" t="s">
        <v>360</v>
      </c>
      <c r="D272" s="12" t="s">
        <v>68</v>
      </c>
      <c r="E272" s="13">
        <v>20.399999999999999</v>
      </c>
      <c r="F272" s="13">
        <v>22.7</v>
      </c>
      <c r="G272" s="13">
        <v>24</v>
      </c>
      <c r="H272" s="14">
        <v>453</v>
      </c>
      <c r="I272" s="12" t="s">
        <v>353</v>
      </c>
      <c r="J272" s="14">
        <v>420</v>
      </c>
      <c r="K272" s="15">
        <v>7</v>
      </c>
      <c r="L272" s="16">
        <v>1425</v>
      </c>
      <c r="M272" s="16">
        <v>5494</v>
      </c>
      <c r="N272" s="17">
        <v>5.35</v>
      </c>
      <c r="O272" s="17">
        <v>8.0500000000000007</v>
      </c>
      <c r="P272" s="17">
        <v>4.5</v>
      </c>
      <c r="Q272" s="17">
        <v>6.5</v>
      </c>
      <c r="R272" s="17">
        <v>5.4</v>
      </c>
      <c r="S272" s="17">
        <v>6.45</v>
      </c>
      <c r="T272" s="16">
        <f t="shared" si="20"/>
        <v>7695.0000000000009</v>
      </c>
      <c r="U272" s="18">
        <v>1259.07</v>
      </c>
      <c r="V272" s="19">
        <f t="shared" si="21"/>
        <v>0.16362183235867445</v>
      </c>
      <c r="W272" s="19">
        <f t="shared" si="22"/>
        <v>0.19444444444444442</v>
      </c>
      <c r="X272" s="19">
        <f t="shared" si="23"/>
        <v>0.4907407407407407</v>
      </c>
      <c r="Y272" s="12" t="s">
        <v>356</v>
      </c>
      <c r="Z272" s="12" t="s">
        <v>84</v>
      </c>
      <c r="AA272" s="18">
        <v>836.67</v>
      </c>
      <c r="AB272" s="17">
        <v>2.1459999999999999</v>
      </c>
      <c r="AC272" s="12" t="s">
        <v>71</v>
      </c>
      <c r="AD272" s="12" t="str">
        <f t="shared" si="24"/>
        <v>Rs 2+</v>
      </c>
      <c r="AE272" s="20">
        <v>1</v>
      </c>
    </row>
    <row r="273" spans="1:31" x14ac:dyDescent="0.3">
      <c r="A273" s="12" t="s">
        <v>118</v>
      </c>
      <c r="B273" s="12" t="s">
        <v>355</v>
      </c>
      <c r="C273" s="12" t="s">
        <v>360</v>
      </c>
      <c r="D273" s="12" t="s">
        <v>68</v>
      </c>
      <c r="E273" s="13">
        <v>45.2</v>
      </c>
      <c r="F273" s="13">
        <v>25.2</v>
      </c>
      <c r="G273" s="13">
        <v>11</v>
      </c>
      <c r="H273" s="14">
        <v>782.4</v>
      </c>
      <c r="I273" s="12" t="s">
        <v>353</v>
      </c>
      <c r="J273" s="14">
        <v>720</v>
      </c>
      <c r="K273" s="15">
        <v>6</v>
      </c>
      <c r="L273" s="16">
        <v>800</v>
      </c>
      <c r="M273" s="16">
        <v>972</v>
      </c>
      <c r="N273" s="17">
        <v>8.1</v>
      </c>
      <c r="O273" s="17">
        <v>12.9</v>
      </c>
      <c r="P273" s="17">
        <v>6.15</v>
      </c>
      <c r="Q273" s="17">
        <v>7.55</v>
      </c>
      <c r="R273" s="17">
        <v>8.15</v>
      </c>
      <c r="S273" s="17">
        <v>7.5</v>
      </c>
      <c r="T273" s="16">
        <f t="shared" si="20"/>
        <v>6520</v>
      </c>
      <c r="U273" s="18">
        <v>-832.07</v>
      </c>
      <c r="V273" s="19">
        <f t="shared" si="21"/>
        <v>-0.1276180981595092</v>
      </c>
      <c r="W273" s="19">
        <f t="shared" si="22"/>
        <v>-7.975460122699396E-2</v>
      </c>
      <c r="X273" s="19">
        <f t="shared" si="23"/>
        <v>0.58282208588957052</v>
      </c>
      <c r="Y273" s="12" t="s">
        <v>361</v>
      </c>
      <c r="Z273" s="12" t="s">
        <v>84</v>
      </c>
      <c r="AA273" s="18">
        <v>-910.32</v>
      </c>
      <c r="AB273" s="17">
        <v>1.359</v>
      </c>
      <c r="AC273" s="12" t="s">
        <v>71</v>
      </c>
      <c r="AD273" s="12" t="str">
        <f t="shared" si="24"/>
        <v>Rs 2+</v>
      </c>
      <c r="AE273" s="20">
        <v>1</v>
      </c>
    </row>
    <row r="274" spans="1:31" x14ac:dyDescent="0.3">
      <c r="A274" s="12" t="s">
        <v>120</v>
      </c>
      <c r="B274" s="12" t="s">
        <v>355</v>
      </c>
      <c r="C274" s="12" t="s">
        <v>360</v>
      </c>
      <c r="D274" s="12" t="s">
        <v>68</v>
      </c>
      <c r="E274" s="13">
        <v>46.3</v>
      </c>
      <c r="F274" s="13">
        <v>7</v>
      </c>
      <c r="G274" s="13">
        <v>32.5</v>
      </c>
      <c r="H274" s="14">
        <v>3728</v>
      </c>
      <c r="I274" s="12" t="s">
        <v>353</v>
      </c>
      <c r="J274" s="14">
        <v>3560</v>
      </c>
      <c r="K274" s="15">
        <v>8</v>
      </c>
      <c r="L274" s="16">
        <v>175</v>
      </c>
      <c r="M274" s="16">
        <v>713</v>
      </c>
      <c r="N274" s="17">
        <v>38.549999999999997</v>
      </c>
      <c r="O274" s="17">
        <v>76.849999999999994</v>
      </c>
      <c r="P274" s="17">
        <v>34.950000000000003</v>
      </c>
      <c r="Q274" s="17">
        <v>56.95</v>
      </c>
      <c r="R274" s="17">
        <v>38.6</v>
      </c>
      <c r="S274" s="17">
        <v>56.9</v>
      </c>
      <c r="T274" s="16">
        <f t="shared" si="20"/>
        <v>6755</v>
      </c>
      <c r="U274" s="18">
        <v>2966</v>
      </c>
      <c r="V274" s="19">
        <f t="shared" si="21"/>
        <v>0.4390821613619541</v>
      </c>
      <c r="W274" s="19">
        <f t="shared" si="22"/>
        <v>0.47409326424870457</v>
      </c>
      <c r="X274" s="19">
        <f t="shared" si="23"/>
        <v>0.99093264248704638</v>
      </c>
      <c r="Y274" s="12" t="s">
        <v>356</v>
      </c>
      <c r="Z274" s="12" t="s">
        <v>84</v>
      </c>
      <c r="AA274" s="18">
        <v>1375.2</v>
      </c>
      <c r="AB274" s="17">
        <v>1.665</v>
      </c>
      <c r="AC274" s="12" t="s">
        <v>71</v>
      </c>
      <c r="AD274" s="12" t="str">
        <f t="shared" si="24"/>
        <v>Rs 2+</v>
      </c>
      <c r="AE274" s="20">
        <v>1</v>
      </c>
    </row>
    <row r="275" spans="1:31" x14ac:dyDescent="0.3">
      <c r="A275" s="12" t="s">
        <v>262</v>
      </c>
      <c r="B275" s="12" t="s">
        <v>362</v>
      </c>
      <c r="C275" s="12" t="s">
        <v>355</v>
      </c>
      <c r="D275" s="12" t="s">
        <v>77</v>
      </c>
      <c r="E275" s="13">
        <v>-39.200000000000003</v>
      </c>
      <c r="F275" s="13">
        <v>-18.5</v>
      </c>
      <c r="G275" s="13">
        <v>4.2</v>
      </c>
      <c r="H275" s="14">
        <v>1732.45</v>
      </c>
      <c r="I275" s="12" t="s">
        <v>353</v>
      </c>
      <c r="J275" s="14">
        <v>1860</v>
      </c>
      <c r="K275" s="15">
        <v>6</v>
      </c>
      <c r="L275" s="16">
        <v>325</v>
      </c>
      <c r="M275" s="16">
        <v>339</v>
      </c>
      <c r="N275" s="17">
        <v>22.5</v>
      </c>
      <c r="O275" s="17">
        <v>58.45</v>
      </c>
      <c r="P275" s="17">
        <v>22.5</v>
      </c>
      <c r="Q275" s="17">
        <v>48.9</v>
      </c>
      <c r="R275" s="17">
        <v>22.55</v>
      </c>
      <c r="S275" s="17">
        <v>48.85</v>
      </c>
      <c r="T275" s="16">
        <f t="shared" si="20"/>
        <v>7328.75</v>
      </c>
      <c r="U275" s="18">
        <v>8002.41</v>
      </c>
      <c r="V275" s="19">
        <f t="shared" si="21"/>
        <v>1.091920177383592</v>
      </c>
      <c r="W275" s="19">
        <f t="shared" si="22"/>
        <v>1.1662971175166299</v>
      </c>
      <c r="X275" s="19">
        <f t="shared" si="23"/>
        <v>1.592017738359202</v>
      </c>
      <c r="Y275" s="12" t="s">
        <v>363</v>
      </c>
      <c r="Z275" s="12" t="s">
        <v>84</v>
      </c>
      <c r="AA275" s="18">
        <v>2646.19</v>
      </c>
      <c r="AB275" s="17">
        <v>6.8760000000000003</v>
      </c>
      <c r="AC275" s="12" t="s">
        <v>71</v>
      </c>
      <c r="AD275" s="12" t="str">
        <f t="shared" si="24"/>
        <v>Rs 2+</v>
      </c>
      <c r="AE275" s="20">
        <v>1</v>
      </c>
    </row>
    <row r="276" spans="1:31" x14ac:dyDescent="0.3">
      <c r="A276" s="12" t="s">
        <v>183</v>
      </c>
      <c r="B276" s="12" t="s">
        <v>362</v>
      </c>
      <c r="C276" s="12" t="s">
        <v>355</v>
      </c>
      <c r="D276" s="12" t="s">
        <v>77</v>
      </c>
      <c r="E276" s="13">
        <v>-28.6</v>
      </c>
      <c r="F276" s="13">
        <v>-21.1</v>
      </c>
      <c r="G276" s="13">
        <v>9.4</v>
      </c>
      <c r="H276" s="14">
        <v>1042.8</v>
      </c>
      <c r="I276" s="12" t="s">
        <v>353</v>
      </c>
      <c r="J276" s="14">
        <v>1080</v>
      </c>
      <c r="K276" s="15">
        <v>4</v>
      </c>
      <c r="L276" s="16">
        <v>425</v>
      </c>
      <c r="M276" s="16">
        <v>947</v>
      </c>
      <c r="N276" s="17">
        <v>17.75</v>
      </c>
      <c r="O276" s="17">
        <v>27.3</v>
      </c>
      <c r="P276" s="17">
        <v>14</v>
      </c>
      <c r="Q276" s="17">
        <v>19</v>
      </c>
      <c r="R276" s="17">
        <v>17.8</v>
      </c>
      <c r="S276" s="17">
        <v>18.95</v>
      </c>
      <c r="T276" s="16">
        <f t="shared" si="20"/>
        <v>7565</v>
      </c>
      <c r="U276" s="18">
        <v>110.28</v>
      </c>
      <c r="V276" s="19">
        <f t="shared" si="21"/>
        <v>1.4577660277594185E-2</v>
      </c>
      <c r="W276" s="19">
        <f t="shared" si="22"/>
        <v>6.4606741573033588E-2</v>
      </c>
      <c r="X276" s="19">
        <f t="shared" si="23"/>
        <v>0.53370786516853941</v>
      </c>
      <c r="Y276" s="12" t="s">
        <v>363</v>
      </c>
      <c r="Z276" s="12" t="s">
        <v>70</v>
      </c>
      <c r="AA276" s="18">
        <v>-4108.8999999999996</v>
      </c>
      <c r="AB276" s="17">
        <v>0.56899999999999995</v>
      </c>
      <c r="AC276" s="12" t="s">
        <v>71</v>
      </c>
      <c r="AD276" s="12" t="str">
        <f t="shared" si="24"/>
        <v>Rs 2+</v>
      </c>
      <c r="AE276" s="20">
        <v>1</v>
      </c>
    </row>
    <row r="277" spans="1:31" x14ac:dyDescent="0.3">
      <c r="A277" s="12" t="s">
        <v>121</v>
      </c>
      <c r="B277" s="12" t="s">
        <v>363</v>
      </c>
      <c r="C277" s="12" t="s">
        <v>362</v>
      </c>
      <c r="D277" s="12" t="s">
        <v>77</v>
      </c>
      <c r="E277" s="13">
        <v>-86</v>
      </c>
      <c r="F277" s="13">
        <v>-84.1</v>
      </c>
      <c r="G277" s="13">
        <v>10.199999999999999</v>
      </c>
      <c r="H277" s="14">
        <v>510.15</v>
      </c>
      <c r="I277" s="12" t="s">
        <v>353</v>
      </c>
      <c r="J277" s="14">
        <v>535</v>
      </c>
      <c r="K277" s="15">
        <v>5</v>
      </c>
      <c r="L277" s="16">
        <v>1050</v>
      </c>
      <c r="M277" s="16">
        <v>969</v>
      </c>
      <c r="N277" s="17">
        <v>7</v>
      </c>
      <c r="O277" s="17">
        <v>8.65</v>
      </c>
      <c r="P277" s="17">
        <v>2.95</v>
      </c>
      <c r="Q277" s="17">
        <v>3.3</v>
      </c>
      <c r="R277" s="17">
        <v>7.05</v>
      </c>
      <c r="S277" s="17">
        <v>3.25</v>
      </c>
      <c r="T277" s="16">
        <f t="shared" si="20"/>
        <v>7402.5</v>
      </c>
      <c r="U277" s="18">
        <v>-4155.2299999999996</v>
      </c>
      <c r="V277" s="19">
        <f t="shared" si="21"/>
        <v>-0.56132792975346157</v>
      </c>
      <c r="W277" s="19">
        <f t="shared" si="22"/>
        <v>-0.53900709219858156</v>
      </c>
      <c r="X277" s="19">
        <f t="shared" si="23"/>
        <v>0.22695035460992918</v>
      </c>
      <c r="Y277" s="12" t="s">
        <v>363</v>
      </c>
      <c r="Z277" s="12" t="s">
        <v>70</v>
      </c>
      <c r="AA277" s="18">
        <v>-4155.2299999999996</v>
      </c>
      <c r="AB277" s="17">
        <v>-2.6709999999999998</v>
      </c>
      <c r="AC277" s="12" t="s">
        <v>71</v>
      </c>
      <c r="AD277" s="12" t="str">
        <f t="shared" si="24"/>
        <v>Rs 2+</v>
      </c>
      <c r="AE277" s="20">
        <v>1</v>
      </c>
    </row>
    <row r="278" spans="1:31" x14ac:dyDescent="0.3">
      <c r="A278" s="12" t="s">
        <v>219</v>
      </c>
      <c r="B278" s="12" t="s">
        <v>363</v>
      </c>
      <c r="C278" s="12" t="s">
        <v>362</v>
      </c>
      <c r="D278" s="12" t="s">
        <v>68</v>
      </c>
      <c r="E278" s="13">
        <v>25.2</v>
      </c>
      <c r="F278" s="13">
        <v>29.6</v>
      </c>
      <c r="G278" s="13">
        <v>23.1</v>
      </c>
      <c r="H278" s="14">
        <v>9597.4500000000007</v>
      </c>
      <c r="I278" s="12" t="s">
        <v>353</v>
      </c>
      <c r="J278" s="14">
        <v>9200</v>
      </c>
      <c r="K278" s="15">
        <v>4</v>
      </c>
      <c r="L278" s="16">
        <v>75</v>
      </c>
      <c r="M278" s="16">
        <v>3154</v>
      </c>
      <c r="N278" s="17">
        <v>86.05</v>
      </c>
      <c r="O278" s="17">
        <v>228</v>
      </c>
      <c r="P278" s="17">
        <v>59.05</v>
      </c>
      <c r="Q278" s="17">
        <v>127.1</v>
      </c>
      <c r="R278" s="17">
        <v>86.1</v>
      </c>
      <c r="S278" s="17">
        <v>127.05</v>
      </c>
      <c r="T278" s="16">
        <f t="shared" si="20"/>
        <v>6457.5</v>
      </c>
      <c r="U278" s="18">
        <v>2842.99</v>
      </c>
      <c r="V278" s="19">
        <f t="shared" si="21"/>
        <v>0.44026171118854041</v>
      </c>
      <c r="W278" s="19">
        <f t="shared" si="22"/>
        <v>0.47560975609756095</v>
      </c>
      <c r="X278" s="19">
        <f t="shared" si="23"/>
        <v>1.6480836236933798</v>
      </c>
      <c r="Y278" s="12" t="s">
        <v>361</v>
      </c>
      <c r="Z278" s="12" t="s">
        <v>70</v>
      </c>
      <c r="AA278" s="18">
        <v>-1570.02</v>
      </c>
      <c r="AB278" s="17">
        <v>2.952</v>
      </c>
      <c r="AC278" s="12" t="s">
        <v>71</v>
      </c>
      <c r="AD278" s="12" t="str">
        <f t="shared" si="24"/>
        <v>Rs 2+</v>
      </c>
      <c r="AE278" s="20">
        <v>1</v>
      </c>
    </row>
    <row r="279" spans="1:31" x14ac:dyDescent="0.3">
      <c r="A279" s="12" t="s">
        <v>330</v>
      </c>
      <c r="B279" s="12" t="s">
        <v>363</v>
      </c>
      <c r="C279" s="12" t="s">
        <v>364</v>
      </c>
      <c r="D279" s="12" t="s">
        <v>77</v>
      </c>
      <c r="E279" s="13">
        <v>-50.4</v>
      </c>
      <c r="F279" s="13">
        <v>-66.2</v>
      </c>
      <c r="G279" s="13">
        <v>-31.9</v>
      </c>
      <c r="H279" s="14">
        <v>1538.15</v>
      </c>
      <c r="I279" s="12" t="s">
        <v>353</v>
      </c>
      <c r="J279" s="14">
        <v>1680</v>
      </c>
      <c r="K279" s="15">
        <v>7</v>
      </c>
      <c r="L279" s="16">
        <v>350</v>
      </c>
      <c r="M279" s="16">
        <v>706</v>
      </c>
      <c r="N279" s="17">
        <v>22.05</v>
      </c>
      <c r="O279" s="17">
        <v>35</v>
      </c>
      <c r="P279" s="17">
        <v>6.95</v>
      </c>
      <c r="Q279" s="17">
        <v>7.4</v>
      </c>
      <c r="R279" s="17">
        <v>22.1</v>
      </c>
      <c r="S279" s="17">
        <v>7.35</v>
      </c>
      <c r="T279" s="16">
        <f t="shared" si="20"/>
        <v>7735.0000000000009</v>
      </c>
      <c r="U279" s="18">
        <v>-5424.27</v>
      </c>
      <c r="V279" s="19">
        <f t="shared" si="21"/>
        <v>-0.70126308985132513</v>
      </c>
      <c r="W279" s="19">
        <f t="shared" si="22"/>
        <v>-0.66742081447963808</v>
      </c>
      <c r="X279" s="19">
        <f t="shared" si="23"/>
        <v>0.58371040723981893</v>
      </c>
      <c r="Y279" s="12" t="s">
        <v>363</v>
      </c>
      <c r="Z279" s="12" t="s">
        <v>70</v>
      </c>
      <c r="AA279" s="18">
        <v>-5424.27</v>
      </c>
      <c r="AB279" s="17">
        <v>-8.0329999999999995</v>
      </c>
      <c r="AC279" s="12" t="s">
        <v>71</v>
      </c>
      <c r="AD279" s="12" t="str">
        <f t="shared" si="24"/>
        <v>Rs 2+</v>
      </c>
      <c r="AE279" s="20">
        <v>1</v>
      </c>
    </row>
    <row r="280" spans="1:31" x14ac:dyDescent="0.3">
      <c r="A280" s="12" t="s">
        <v>138</v>
      </c>
      <c r="B280" s="12" t="s">
        <v>363</v>
      </c>
      <c r="C280" s="12" t="s">
        <v>362</v>
      </c>
      <c r="D280" s="12" t="s">
        <v>68</v>
      </c>
      <c r="E280" s="13">
        <v>18.5</v>
      </c>
      <c r="F280" s="13">
        <v>11.2</v>
      </c>
      <c r="G280" s="13">
        <v>17.3</v>
      </c>
      <c r="H280" s="14">
        <v>1631.6</v>
      </c>
      <c r="I280" s="12" t="s">
        <v>353</v>
      </c>
      <c r="J280" s="14">
        <v>1440</v>
      </c>
      <c r="K280" s="15">
        <v>10</v>
      </c>
      <c r="L280" s="16">
        <v>625</v>
      </c>
      <c r="M280" s="16">
        <v>56</v>
      </c>
      <c r="N280" s="17">
        <v>6.9</v>
      </c>
      <c r="O280" s="17">
        <v>15.1</v>
      </c>
      <c r="P280" s="17">
        <v>5.25</v>
      </c>
      <c r="Q280" s="17">
        <v>12.85</v>
      </c>
      <c r="R280" s="17">
        <v>6.95</v>
      </c>
      <c r="S280" s="17">
        <v>12.8</v>
      </c>
      <c r="T280" s="16">
        <f t="shared" si="20"/>
        <v>4343.75</v>
      </c>
      <c r="U280" s="18">
        <v>3468.3</v>
      </c>
      <c r="V280" s="19">
        <f t="shared" si="21"/>
        <v>0.7984575539568346</v>
      </c>
      <c r="W280" s="19">
        <f t="shared" si="22"/>
        <v>0.84172661870503607</v>
      </c>
      <c r="X280" s="19">
        <f t="shared" si="23"/>
        <v>1.1726618705035969</v>
      </c>
      <c r="Y280" s="12" t="s">
        <v>356</v>
      </c>
      <c r="Z280" s="12" t="s">
        <v>70</v>
      </c>
      <c r="AA280" s="18">
        <v>-1070.69</v>
      </c>
      <c r="AB280" s="17">
        <v>2.379</v>
      </c>
      <c r="AC280" s="12" t="s">
        <v>71</v>
      </c>
      <c r="AD280" s="12" t="str">
        <f t="shared" si="24"/>
        <v>Rs 2+</v>
      </c>
      <c r="AE280" s="20">
        <v>1</v>
      </c>
    </row>
    <row r="281" spans="1:31" x14ac:dyDescent="0.3">
      <c r="A281" s="12" t="s">
        <v>131</v>
      </c>
      <c r="B281" s="12" t="s">
        <v>363</v>
      </c>
      <c r="C281" s="12" t="s">
        <v>364</v>
      </c>
      <c r="D281" s="12" t="s">
        <v>77</v>
      </c>
      <c r="E281" s="13">
        <v>-57.7</v>
      </c>
      <c r="F281" s="13">
        <v>-13.1</v>
      </c>
      <c r="G281" s="13">
        <v>-4.4000000000000004</v>
      </c>
      <c r="H281" s="14">
        <v>167.3</v>
      </c>
      <c r="I281" s="12" t="s">
        <v>353</v>
      </c>
      <c r="J281" s="14">
        <v>172</v>
      </c>
      <c r="K281" s="15">
        <v>5</v>
      </c>
      <c r="L281" s="16">
        <v>3150</v>
      </c>
      <c r="M281" s="16">
        <v>157</v>
      </c>
      <c r="N281" s="17">
        <v>1.5</v>
      </c>
      <c r="O281" s="17">
        <v>2.74</v>
      </c>
      <c r="P281" s="17">
        <v>0.83</v>
      </c>
      <c r="Q281" s="17">
        <v>1.2</v>
      </c>
      <c r="R281" s="17">
        <v>1.55</v>
      </c>
      <c r="S281" s="17">
        <v>1.1499999999999999</v>
      </c>
      <c r="T281" s="16">
        <f t="shared" si="20"/>
        <v>4882.5</v>
      </c>
      <c r="U281" s="18">
        <v>-1401.39</v>
      </c>
      <c r="V281" s="19">
        <f t="shared" si="21"/>
        <v>-0.28702304147465441</v>
      </c>
      <c r="W281" s="19">
        <f t="shared" si="22"/>
        <v>-0.25806451612903236</v>
      </c>
      <c r="X281" s="19">
        <f t="shared" si="23"/>
        <v>0.76774193548387104</v>
      </c>
      <c r="Y281" s="12" t="s">
        <v>363</v>
      </c>
      <c r="Z281" s="12" t="s">
        <v>70</v>
      </c>
      <c r="AA281" s="18">
        <v>-1401.39</v>
      </c>
      <c r="AB281" s="17">
        <v>-1.5640000000000001</v>
      </c>
      <c r="AC281" s="12" t="s">
        <v>102</v>
      </c>
      <c r="AD281" s="12" t="str">
        <f t="shared" si="24"/>
        <v>Rs 1-2</v>
      </c>
      <c r="AE281" s="20">
        <v>1</v>
      </c>
    </row>
    <row r="282" spans="1:31" x14ac:dyDescent="0.3">
      <c r="A282" s="12" t="s">
        <v>365</v>
      </c>
      <c r="B282" s="12" t="s">
        <v>363</v>
      </c>
      <c r="C282" s="12" t="s">
        <v>364</v>
      </c>
      <c r="D282" s="12" t="s">
        <v>68</v>
      </c>
      <c r="E282" s="13">
        <v>40.700000000000003</v>
      </c>
      <c r="F282" s="13">
        <v>37.6</v>
      </c>
      <c r="G282" s="13">
        <v>11.5</v>
      </c>
      <c r="H282" s="14">
        <v>83.58</v>
      </c>
      <c r="I282" s="12" t="s">
        <v>353</v>
      </c>
      <c r="J282" s="14">
        <v>77</v>
      </c>
      <c r="K282" s="15">
        <v>7</v>
      </c>
      <c r="L282" s="16">
        <v>9275</v>
      </c>
      <c r="M282" s="16">
        <v>186</v>
      </c>
      <c r="N282" s="17">
        <v>0.8</v>
      </c>
      <c r="O282" s="17">
        <v>1.05</v>
      </c>
      <c r="P282" s="17">
        <v>0.6</v>
      </c>
      <c r="Q282" s="17">
        <v>0.81</v>
      </c>
      <c r="R282" s="17">
        <v>0.85</v>
      </c>
      <c r="S282" s="17">
        <v>0.76</v>
      </c>
      <c r="T282" s="16">
        <f t="shared" si="20"/>
        <v>7883.75</v>
      </c>
      <c r="U282" s="18">
        <v>-1197.69</v>
      </c>
      <c r="V282" s="19">
        <f t="shared" si="21"/>
        <v>-0.15191882035833201</v>
      </c>
      <c r="W282" s="19">
        <f t="shared" si="22"/>
        <v>-0.10588235294117643</v>
      </c>
      <c r="X282" s="19">
        <f t="shared" si="23"/>
        <v>0.23529411764705888</v>
      </c>
      <c r="Y282" s="12" t="s">
        <v>356</v>
      </c>
      <c r="Z282" s="12" t="s">
        <v>70</v>
      </c>
      <c r="AA282" s="18">
        <v>-2558.46</v>
      </c>
      <c r="AB282" s="17">
        <v>2.923</v>
      </c>
      <c r="AC282" s="12" t="s">
        <v>102</v>
      </c>
      <c r="AD282" s="12" t="str">
        <f t="shared" si="24"/>
        <v>under Rs 1</v>
      </c>
      <c r="AE282" s="20">
        <v>1</v>
      </c>
    </row>
    <row r="283" spans="1:31" x14ac:dyDescent="0.3">
      <c r="A283" s="12" t="s">
        <v>304</v>
      </c>
      <c r="B283" s="12" t="s">
        <v>363</v>
      </c>
      <c r="C283" s="12" t="s">
        <v>362</v>
      </c>
      <c r="D283" s="12" t="s">
        <v>77</v>
      </c>
      <c r="E283" s="13">
        <v>-80.2</v>
      </c>
      <c r="F283" s="13">
        <v>-70.3</v>
      </c>
      <c r="G283" s="13">
        <v>10.9</v>
      </c>
      <c r="H283" s="14">
        <v>1132</v>
      </c>
      <c r="I283" s="12" t="s">
        <v>353</v>
      </c>
      <c r="J283" s="14">
        <v>1210</v>
      </c>
      <c r="K283" s="15">
        <v>8</v>
      </c>
      <c r="L283" s="16">
        <v>625</v>
      </c>
      <c r="M283" s="16">
        <v>60</v>
      </c>
      <c r="N283" s="17">
        <v>11</v>
      </c>
      <c r="O283" s="17">
        <v>16</v>
      </c>
      <c r="P283" s="17">
        <v>6.75</v>
      </c>
      <c r="Q283" s="17">
        <v>6.95</v>
      </c>
      <c r="R283" s="17">
        <v>11.05</v>
      </c>
      <c r="S283" s="17">
        <v>6.9</v>
      </c>
      <c r="T283" s="16">
        <f t="shared" si="20"/>
        <v>6906.25</v>
      </c>
      <c r="U283" s="18">
        <v>-2876.72</v>
      </c>
      <c r="V283" s="19">
        <f t="shared" si="21"/>
        <v>-0.41653864253393663</v>
      </c>
      <c r="W283" s="19">
        <f t="shared" si="22"/>
        <v>-0.3755656108597285</v>
      </c>
      <c r="X283" s="19">
        <f t="shared" si="23"/>
        <v>0.44796380090497734</v>
      </c>
      <c r="Y283" s="12" t="s">
        <v>363</v>
      </c>
      <c r="Z283" s="12" t="s">
        <v>70</v>
      </c>
      <c r="AA283" s="18">
        <v>-2876.72</v>
      </c>
      <c r="AB283" s="17">
        <v>0.36399999999999999</v>
      </c>
      <c r="AC283" s="12" t="s">
        <v>71</v>
      </c>
      <c r="AD283" s="12" t="str">
        <f t="shared" si="24"/>
        <v>Rs 2+</v>
      </c>
      <c r="AE283" s="20">
        <v>1</v>
      </c>
    </row>
    <row r="284" spans="1:31" x14ac:dyDescent="0.3">
      <c r="A284" s="12" t="s">
        <v>366</v>
      </c>
      <c r="B284" s="12" t="s">
        <v>363</v>
      </c>
      <c r="C284" s="12" t="s">
        <v>362</v>
      </c>
      <c r="D284" s="12" t="s">
        <v>68</v>
      </c>
      <c r="E284" s="13">
        <v>45.1</v>
      </c>
      <c r="F284" s="13">
        <v>34.299999999999997</v>
      </c>
      <c r="G284" s="13">
        <v>18.600000000000001</v>
      </c>
      <c r="H284" s="14">
        <v>1332.4</v>
      </c>
      <c r="I284" s="12" t="s">
        <v>353</v>
      </c>
      <c r="J284" s="14">
        <v>1270</v>
      </c>
      <c r="K284" s="15">
        <v>6</v>
      </c>
      <c r="L284" s="16">
        <v>500</v>
      </c>
      <c r="M284" s="16">
        <v>353</v>
      </c>
      <c r="N284" s="17">
        <v>12.65</v>
      </c>
      <c r="O284" s="17">
        <v>39.6</v>
      </c>
      <c r="P284" s="17">
        <v>12.65</v>
      </c>
      <c r="Q284" s="17">
        <v>31.95</v>
      </c>
      <c r="R284" s="17">
        <v>12.7</v>
      </c>
      <c r="S284" s="17">
        <v>31.9</v>
      </c>
      <c r="T284" s="16">
        <f t="shared" si="20"/>
        <v>6350</v>
      </c>
      <c r="U284" s="18">
        <v>9296.2900000000009</v>
      </c>
      <c r="V284" s="19">
        <f t="shared" si="21"/>
        <v>1.4639826771653546</v>
      </c>
      <c r="W284" s="19">
        <f t="shared" si="22"/>
        <v>1.5118110236220472</v>
      </c>
      <c r="X284" s="19">
        <f t="shared" si="23"/>
        <v>2.1181102362204727</v>
      </c>
      <c r="Y284" s="12" t="s">
        <v>356</v>
      </c>
      <c r="Z284" s="12" t="s">
        <v>84</v>
      </c>
      <c r="AA284" s="18">
        <v>576.49</v>
      </c>
      <c r="AB284" s="17">
        <v>2.8410000000000002</v>
      </c>
      <c r="AC284" s="12" t="s">
        <v>71</v>
      </c>
      <c r="AD284" s="12" t="str">
        <f t="shared" si="24"/>
        <v>Rs 2+</v>
      </c>
      <c r="AE284" s="20">
        <v>1</v>
      </c>
    </row>
    <row r="285" spans="1:31" x14ac:dyDescent="0.3">
      <c r="A285" s="12" t="s">
        <v>213</v>
      </c>
      <c r="B285" s="12" t="s">
        <v>363</v>
      </c>
      <c r="C285" s="12" t="s">
        <v>364</v>
      </c>
      <c r="D285" s="12" t="s">
        <v>68</v>
      </c>
      <c r="E285" s="13">
        <v>16.100000000000001</v>
      </c>
      <c r="F285" s="13">
        <v>8.1999999999999993</v>
      </c>
      <c r="G285" s="13">
        <v>13.5</v>
      </c>
      <c r="H285" s="14">
        <v>1595.3</v>
      </c>
      <c r="I285" s="12" t="s">
        <v>353</v>
      </c>
      <c r="J285" s="14">
        <v>1600</v>
      </c>
      <c r="K285" s="15">
        <v>0</v>
      </c>
      <c r="L285" s="16">
        <v>350</v>
      </c>
      <c r="M285" s="16">
        <v>5434</v>
      </c>
      <c r="N285" s="17">
        <v>20.2</v>
      </c>
      <c r="O285" s="17">
        <v>47.95</v>
      </c>
      <c r="P285" s="17">
        <v>17.5</v>
      </c>
      <c r="Q285" s="17">
        <v>32.6</v>
      </c>
      <c r="R285" s="17">
        <v>20.25</v>
      </c>
      <c r="S285" s="17">
        <v>32.549999999999997</v>
      </c>
      <c r="T285" s="16">
        <f t="shared" si="20"/>
        <v>7087.5</v>
      </c>
      <c r="U285" s="18">
        <v>4047.93</v>
      </c>
      <c r="V285" s="19">
        <f t="shared" si="21"/>
        <v>0.57113650793650794</v>
      </c>
      <c r="W285" s="19">
        <f t="shared" si="22"/>
        <v>0.60740740740740717</v>
      </c>
      <c r="X285" s="19">
        <f t="shared" si="23"/>
        <v>1.3679012345679014</v>
      </c>
      <c r="Y285" s="12" t="s">
        <v>356</v>
      </c>
      <c r="Z285" s="12" t="s">
        <v>84</v>
      </c>
      <c r="AA285" s="18">
        <v>-1346.99</v>
      </c>
      <c r="AB285" s="17">
        <v>1.823</v>
      </c>
      <c r="AC285" s="12" t="s">
        <v>71</v>
      </c>
      <c r="AD285" s="12" t="str">
        <f t="shared" si="24"/>
        <v>Rs 2+</v>
      </c>
      <c r="AE285" s="20">
        <v>1</v>
      </c>
    </row>
    <row r="286" spans="1:31" x14ac:dyDescent="0.3">
      <c r="A286" s="12" t="s">
        <v>97</v>
      </c>
      <c r="B286" s="12" t="s">
        <v>361</v>
      </c>
      <c r="C286" s="12" t="s">
        <v>356</v>
      </c>
      <c r="D286" s="12" t="s">
        <v>77</v>
      </c>
      <c r="E286" s="13">
        <v>-55.6</v>
      </c>
      <c r="F286" s="13">
        <v>-3.4</v>
      </c>
      <c r="G286" s="13">
        <v>7.9</v>
      </c>
      <c r="H286" s="14">
        <v>431.8</v>
      </c>
      <c r="I286" s="12" t="s">
        <v>353</v>
      </c>
      <c r="J286" s="14">
        <v>470</v>
      </c>
      <c r="K286" s="15">
        <v>8</v>
      </c>
      <c r="L286" s="16">
        <v>1700</v>
      </c>
      <c r="M286" s="16">
        <v>1915</v>
      </c>
      <c r="N286" s="17">
        <v>4</v>
      </c>
      <c r="O286" s="17">
        <v>6.5</v>
      </c>
      <c r="P286" s="17">
        <v>2.6</v>
      </c>
      <c r="Q286" s="17">
        <v>4.05</v>
      </c>
      <c r="R286" s="17">
        <v>4.05</v>
      </c>
      <c r="S286" s="17">
        <v>4</v>
      </c>
      <c r="T286" s="16">
        <f t="shared" si="20"/>
        <v>6885</v>
      </c>
      <c r="U286" s="18">
        <v>-422.08</v>
      </c>
      <c r="V286" s="19">
        <f t="shared" si="21"/>
        <v>-6.1304284676833694E-2</v>
      </c>
      <c r="W286" s="19">
        <f t="shared" si="22"/>
        <v>-1.2345679012345623E-2</v>
      </c>
      <c r="X286" s="19">
        <f t="shared" si="23"/>
        <v>0.60493827160493829</v>
      </c>
      <c r="Y286" s="12" t="s">
        <v>367</v>
      </c>
      <c r="Z286" s="12" t="s">
        <v>84</v>
      </c>
      <c r="AA286" s="18">
        <v>-1336.58</v>
      </c>
      <c r="AB286" s="17">
        <v>-1.0940000000000001</v>
      </c>
      <c r="AC286" s="12" t="s">
        <v>71</v>
      </c>
      <c r="AD286" s="12" t="str">
        <f t="shared" si="24"/>
        <v>Rs 2+</v>
      </c>
      <c r="AE286" s="20">
        <v>1</v>
      </c>
    </row>
    <row r="287" spans="1:31" x14ac:dyDescent="0.3">
      <c r="A287" s="12" t="s">
        <v>269</v>
      </c>
      <c r="B287" s="12" t="s">
        <v>361</v>
      </c>
      <c r="C287" s="12" t="s">
        <v>356</v>
      </c>
      <c r="D287" s="12" t="s">
        <v>68</v>
      </c>
      <c r="E287" s="13">
        <v>56.7</v>
      </c>
      <c r="F287" s="13">
        <v>2144.9</v>
      </c>
      <c r="G287" s="13">
        <v>45.9</v>
      </c>
      <c r="H287" s="14">
        <v>562.79999999999995</v>
      </c>
      <c r="I287" s="12" t="s">
        <v>353</v>
      </c>
      <c r="J287" s="14">
        <v>560</v>
      </c>
      <c r="K287" s="15">
        <v>0</v>
      </c>
      <c r="L287" s="16">
        <v>950</v>
      </c>
      <c r="M287" s="16">
        <v>2275</v>
      </c>
      <c r="N287" s="17">
        <v>5</v>
      </c>
      <c r="O287" s="17">
        <v>36.6</v>
      </c>
      <c r="P287" s="17">
        <v>5</v>
      </c>
      <c r="Q287" s="17">
        <v>24.95</v>
      </c>
      <c r="R287" s="17">
        <v>5.05</v>
      </c>
      <c r="S287" s="17">
        <v>24.9</v>
      </c>
      <c r="T287" s="16">
        <f t="shared" si="20"/>
        <v>4797.5</v>
      </c>
      <c r="U287" s="18">
        <v>17909.150000000001</v>
      </c>
      <c r="V287" s="19">
        <f t="shared" si="21"/>
        <v>3.7330171964564882</v>
      </c>
      <c r="W287" s="19">
        <f t="shared" si="22"/>
        <v>3.9306930693069306</v>
      </c>
      <c r="X287" s="19">
        <f t="shared" si="23"/>
        <v>6.2475247524752477</v>
      </c>
      <c r="Y287" s="12" t="s">
        <v>368</v>
      </c>
      <c r="Z287" s="12" t="s">
        <v>84</v>
      </c>
      <c r="AA287" s="18">
        <v>5033.7</v>
      </c>
      <c r="AB287" s="17">
        <v>4.4130000000000003</v>
      </c>
      <c r="AC287" s="12" t="s">
        <v>71</v>
      </c>
      <c r="AD287" s="12" t="str">
        <f t="shared" si="24"/>
        <v>Rs 2+</v>
      </c>
      <c r="AE287" s="20">
        <v>1</v>
      </c>
    </row>
    <row r="288" spans="1:31" x14ac:dyDescent="0.3">
      <c r="A288" s="12" t="s">
        <v>134</v>
      </c>
      <c r="B288" s="12" t="s">
        <v>361</v>
      </c>
      <c r="C288" s="12" t="s">
        <v>356</v>
      </c>
      <c r="D288" s="12" t="s">
        <v>68</v>
      </c>
      <c r="E288" s="13">
        <v>164.8</v>
      </c>
      <c r="F288" s="13">
        <v>40.4</v>
      </c>
      <c r="G288" s="13">
        <v>37.1</v>
      </c>
      <c r="H288" s="14">
        <v>1563.3</v>
      </c>
      <c r="I288" s="12" t="s">
        <v>353</v>
      </c>
      <c r="J288" s="14">
        <v>1520</v>
      </c>
      <c r="K288" s="15">
        <v>2</v>
      </c>
      <c r="L288" s="16">
        <v>350</v>
      </c>
      <c r="M288" s="16">
        <v>1948</v>
      </c>
      <c r="N288" s="17">
        <v>22.65</v>
      </c>
      <c r="O288" s="17">
        <v>102.9</v>
      </c>
      <c r="P288" s="17">
        <v>22.65</v>
      </c>
      <c r="Q288" s="17">
        <v>94.15</v>
      </c>
      <c r="R288" s="17">
        <v>22.7</v>
      </c>
      <c r="S288" s="17">
        <v>94.1</v>
      </c>
      <c r="T288" s="16">
        <f t="shared" si="20"/>
        <v>7945</v>
      </c>
      <c r="U288" s="18">
        <v>24058.38</v>
      </c>
      <c r="V288" s="19">
        <f t="shared" si="21"/>
        <v>3.028115796098175</v>
      </c>
      <c r="W288" s="19">
        <f t="shared" si="22"/>
        <v>3.1453744493392071</v>
      </c>
      <c r="X288" s="19">
        <f t="shared" si="23"/>
        <v>3.5330396475770929</v>
      </c>
      <c r="Y288" s="12" t="s">
        <v>369</v>
      </c>
      <c r="Z288" s="12" t="s">
        <v>84</v>
      </c>
      <c r="AA288" s="18">
        <v>6873.5</v>
      </c>
      <c r="AB288" s="17">
        <v>10.025</v>
      </c>
      <c r="AC288" s="12" t="s">
        <v>71</v>
      </c>
      <c r="AD288" s="12" t="str">
        <f t="shared" si="24"/>
        <v>Rs 2+</v>
      </c>
      <c r="AE288" s="20">
        <v>1</v>
      </c>
    </row>
    <row r="289" spans="1:31" x14ac:dyDescent="0.3">
      <c r="A289" s="12" t="s">
        <v>370</v>
      </c>
      <c r="B289" s="12" t="s">
        <v>361</v>
      </c>
      <c r="C289" s="12" t="s">
        <v>356</v>
      </c>
      <c r="D289" s="12" t="s">
        <v>77</v>
      </c>
      <c r="E289" s="13">
        <v>-42.6</v>
      </c>
      <c r="F289" s="13">
        <v>-19.899999999999999</v>
      </c>
      <c r="G289" s="13">
        <v>12.5</v>
      </c>
      <c r="H289" s="14">
        <v>698.55</v>
      </c>
      <c r="I289" s="12" t="s">
        <v>353</v>
      </c>
      <c r="J289" s="14">
        <v>770</v>
      </c>
      <c r="K289" s="15">
        <v>7</v>
      </c>
      <c r="L289" s="16">
        <v>1355</v>
      </c>
      <c r="M289" s="16">
        <v>1636</v>
      </c>
      <c r="N289" s="17">
        <v>5.55</v>
      </c>
      <c r="O289" s="17">
        <v>13.6</v>
      </c>
      <c r="P289" s="17">
        <v>5.55</v>
      </c>
      <c r="Q289" s="17">
        <v>8.0500000000000007</v>
      </c>
      <c r="R289" s="17">
        <v>5.6</v>
      </c>
      <c r="S289" s="17">
        <v>8</v>
      </c>
      <c r="T289" s="16">
        <f t="shared" si="20"/>
        <v>7587.9999999999991</v>
      </c>
      <c r="U289" s="18">
        <v>2811.99</v>
      </c>
      <c r="V289" s="19">
        <f t="shared" si="21"/>
        <v>0.37058381655245126</v>
      </c>
      <c r="W289" s="19">
        <f t="shared" si="22"/>
        <v>0.4285714285714286</v>
      </c>
      <c r="X289" s="19">
        <f t="shared" si="23"/>
        <v>1.4285714285714288</v>
      </c>
      <c r="Y289" s="12" t="s">
        <v>369</v>
      </c>
      <c r="Z289" s="12" t="s">
        <v>84</v>
      </c>
      <c r="AA289" s="18">
        <v>6655.36</v>
      </c>
      <c r="AB289" s="17">
        <v>-0.29599999999999999</v>
      </c>
      <c r="AC289" s="12" t="s">
        <v>71</v>
      </c>
      <c r="AD289" s="12" t="str">
        <f t="shared" si="24"/>
        <v>Rs 2+</v>
      </c>
      <c r="AE289" s="20">
        <v>1</v>
      </c>
    </row>
    <row r="290" spans="1:31" x14ac:dyDescent="0.3">
      <c r="A290" s="12" t="s">
        <v>371</v>
      </c>
      <c r="B290" s="12" t="s">
        <v>368</v>
      </c>
      <c r="C290" s="12" t="s">
        <v>361</v>
      </c>
      <c r="D290" s="12" t="s">
        <v>68</v>
      </c>
      <c r="E290" s="13">
        <v>33.299999999999997</v>
      </c>
      <c r="F290" s="13">
        <v>9.4</v>
      </c>
      <c r="G290" s="13">
        <v>27.4</v>
      </c>
      <c r="H290" s="14">
        <v>345.45</v>
      </c>
      <c r="I290" s="12" t="s">
        <v>353</v>
      </c>
      <c r="J290" s="14">
        <v>310</v>
      </c>
      <c r="K290" s="15">
        <v>7</v>
      </c>
      <c r="L290" s="16">
        <v>3100</v>
      </c>
      <c r="M290" s="16">
        <v>441</v>
      </c>
      <c r="N290" s="17">
        <v>1.75</v>
      </c>
      <c r="O290" s="17">
        <v>2.65</v>
      </c>
      <c r="P290" s="17">
        <v>1.55</v>
      </c>
      <c r="Q290" s="17">
        <v>1.9</v>
      </c>
      <c r="R290" s="17">
        <v>1.8</v>
      </c>
      <c r="S290" s="17">
        <v>1.85</v>
      </c>
      <c r="T290" s="16">
        <f t="shared" si="20"/>
        <v>5580</v>
      </c>
      <c r="U290" s="18">
        <v>-132.04</v>
      </c>
      <c r="V290" s="19">
        <f t="shared" si="21"/>
        <v>-2.3663082437275985E-2</v>
      </c>
      <c r="W290" s="19">
        <f t="shared" si="22"/>
        <v>2.7777777777777901E-2</v>
      </c>
      <c r="X290" s="19">
        <f t="shared" si="23"/>
        <v>0.4722222222222221</v>
      </c>
      <c r="Y290" s="12" t="s">
        <v>367</v>
      </c>
      <c r="Z290" s="12" t="s">
        <v>70</v>
      </c>
      <c r="AA290" s="18">
        <v>-2406.0700000000002</v>
      </c>
      <c r="AB290" s="17">
        <v>1.8129999999999999</v>
      </c>
      <c r="AC290" s="12" t="s">
        <v>102</v>
      </c>
      <c r="AD290" s="12" t="str">
        <f t="shared" si="24"/>
        <v>Rs 1-2</v>
      </c>
      <c r="AE290" s="20">
        <v>1</v>
      </c>
    </row>
    <row r="291" spans="1:31" x14ac:dyDescent="0.3">
      <c r="A291" s="12" t="s">
        <v>128</v>
      </c>
      <c r="B291" s="12" t="s">
        <v>368</v>
      </c>
      <c r="C291" s="12" t="s">
        <v>361</v>
      </c>
      <c r="D291" s="12" t="s">
        <v>68</v>
      </c>
      <c r="E291" s="13">
        <v>2404.6</v>
      </c>
      <c r="F291" s="13">
        <v>67.7</v>
      </c>
      <c r="G291" s="13">
        <v>8.6</v>
      </c>
      <c r="H291" s="14">
        <v>2202.5500000000002</v>
      </c>
      <c r="I291" s="12" t="s">
        <v>353</v>
      </c>
      <c r="J291" s="14">
        <v>2040</v>
      </c>
      <c r="K291" s="15">
        <v>8</v>
      </c>
      <c r="L291" s="16">
        <v>309</v>
      </c>
      <c r="M291" s="16">
        <v>530</v>
      </c>
      <c r="N291" s="17">
        <v>25.5</v>
      </c>
      <c r="O291" s="17">
        <v>27.3</v>
      </c>
      <c r="P291" s="17">
        <v>20.399999999999999</v>
      </c>
      <c r="Q291" s="17">
        <v>22.1</v>
      </c>
      <c r="R291" s="17">
        <v>25.55</v>
      </c>
      <c r="S291" s="17">
        <v>22.05</v>
      </c>
      <c r="T291" s="16">
        <f t="shared" si="20"/>
        <v>7894.95</v>
      </c>
      <c r="U291" s="18">
        <v>-1292.44</v>
      </c>
      <c r="V291" s="19">
        <f t="shared" si="21"/>
        <v>-0.16370464664120737</v>
      </c>
      <c r="W291" s="19">
        <f t="shared" si="22"/>
        <v>-0.13698630136986301</v>
      </c>
      <c r="X291" s="19">
        <f t="shared" si="23"/>
        <v>6.8493150684931559E-2</v>
      </c>
      <c r="Y291" s="12" t="s">
        <v>369</v>
      </c>
      <c r="Z291" s="12" t="s">
        <v>70</v>
      </c>
      <c r="AA291" s="18">
        <v>-2269.46</v>
      </c>
      <c r="AB291" s="17">
        <v>-0.36899999999999999</v>
      </c>
      <c r="AC291" s="12" t="s">
        <v>71</v>
      </c>
      <c r="AD291" s="12" t="str">
        <f t="shared" si="24"/>
        <v>Rs 2+</v>
      </c>
      <c r="AE291" s="20">
        <v>1</v>
      </c>
    </row>
    <row r="292" spans="1:31" x14ac:dyDescent="0.3">
      <c r="A292" s="12" t="s">
        <v>264</v>
      </c>
      <c r="B292" s="12" t="s">
        <v>368</v>
      </c>
      <c r="C292" s="12" t="s">
        <v>361</v>
      </c>
      <c r="D292" s="12" t="s">
        <v>68</v>
      </c>
      <c r="E292" s="13">
        <v>12</v>
      </c>
      <c r="F292" s="13">
        <v>6.7</v>
      </c>
      <c r="G292" s="13">
        <v>10.1</v>
      </c>
      <c r="H292" s="14">
        <v>1427.8</v>
      </c>
      <c r="I292" s="12" t="s">
        <v>353</v>
      </c>
      <c r="J292" s="14">
        <v>1380</v>
      </c>
      <c r="K292" s="15">
        <v>5</v>
      </c>
      <c r="L292" s="16">
        <v>500</v>
      </c>
      <c r="M292" s="16">
        <v>212</v>
      </c>
      <c r="N292" s="17">
        <v>12</v>
      </c>
      <c r="O292" s="17">
        <v>12</v>
      </c>
      <c r="P292" s="17">
        <v>5.15</v>
      </c>
      <c r="Q292" s="17">
        <v>6.45</v>
      </c>
      <c r="R292" s="17">
        <v>12.05</v>
      </c>
      <c r="S292" s="17">
        <v>6.4</v>
      </c>
      <c r="T292" s="16">
        <f t="shared" si="20"/>
        <v>6025</v>
      </c>
      <c r="U292" s="18">
        <v>-2973.32</v>
      </c>
      <c r="V292" s="19">
        <f t="shared" si="21"/>
        <v>-0.49349709543568465</v>
      </c>
      <c r="W292" s="19">
        <f t="shared" si="22"/>
        <v>-0.46887966804979253</v>
      </c>
      <c r="X292" s="19">
        <f t="shared" si="23"/>
        <v>-4.1493775933610921E-3</v>
      </c>
      <c r="Y292" s="12" t="s">
        <v>368</v>
      </c>
      <c r="Z292" s="12" t="s">
        <v>70</v>
      </c>
      <c r="AA292" s="18">
        <v>-2973.32</v>
      </c>
      <c r="AB292" s="17">
        <v>-1.248</v>
      </c>
      <c r="AC292" s="12" t="s">
        <v>71</v>
      </c>
      <c r="AD292" s="12" t="str">
        <f t="shared" si="24"/>
        <v>Rs 2+</v>
      </c>
      <c r="AE292" s="20">
        <v>1</v>
      </c>
    </row>
    <row r="293" spans="1:31" x14ac:dyDescent="0.3">
      <c r="A293" s="12" t="s">
        <v>152</v>
      </c>
      <c r="B293" s="12" t="s">
        <v>368</v>
      </c>
      <c r="C293" s="12" t="s">
        <v>361</v>
      </c>
      <c r="D293" s="12" t="s">
        <v>68</v>
      </c>
      <c r="E293" s="13">
        <v>38.200000000000003</v>
      </c>
      <c r="F293" s="13">
        <v>29</v>
      </c>
      <c r="G293" s="13">
        <v>29.2</v>
      </c>
      <c r="H293" s="14">
        <v>13795.6</v>
      </c>
      <c r="I293" s="12" t="s">
        <v>353</v>
      </c>
      <c r="J293" s="14">
        <v>12800</v>
      </c>
      <c r="K293" s="15">
        <v>10</v>
      </c>
      <c r="L293" s="16">
        <v>50</v>
      </c>
      <c r="M293" s="16">
        <v>194</v>
      </c>
      <c r="N293" s="17">
        <v>150</v>
      </c>
      <c r="O293" s="17">
        <v>274</v>
      </c>
      <c r="P293" s="17">
        <v>130.55000000000001</v>
      </c>
      <c r="Q293" s="17">
        <v>212.45</v>
      </c>
      <c r="R293" s="17">
        <v>150.05000000000001</v>
      </c>
      <c r="S293" s="17">
        <v>212.4</v>
      </c>
      <c r="T293" s="16">
        <f t="shared" si="20"/>
        <v>7502.5000000000009</v>
      </c>
      <c r="U293" s="18">
        <v>2865.29</v>
      </c>
      <c r="V293" s="19">
        <f t="shared" si="21"/>
        <v>0.38191136287904026</v>
      </c>
      <c r="W293" s="19">
        <f t="shared" si="22"/>
        <v>0.4155281572809062</v>
      </c>
      <c r="X293" s="19">
        <f t="shared" si="23"/>
        <v>0.82605798067310876</v>
      </c>
      <c r="Y293" s="12" t="s">
        <v>372</v>
      </c>
      <c r="Z293" s="12" t="s">
        <v>84</v>
      </c>
      <c r="AA293" s="18">
        <v>1128.74</v>
      </c>
      <c r="AB293" s="17">
        <v>2.8</v>
      </c>
      <c r="AC293" s="12" t="s">
        <v>71</v>
      </c>
      <c r="AD293" s="12" t="str">
        <f t="shared" si="24"/>
        <v>Rs 2+</v>
      </c>
      <c r="AE293" s="20">
        <v>1</v>
      </c>
    </row>
    <row r="294" spans="1:31" x14ac:dyDescent="0.3">
      <c r="A294" s="12" t="s">
        <v>373</v>
      </c>
      <c r="B294" s="12" t="s">
        <v>369</v>
      </c>
      <c r="C294" s="12" t="s">
        <v>368</v>
      </c>
      <c r="D294" s="12" t="s">
        <v>68</v>
      </c>
      <c r="E294" s="13">
        <v>15.3</v>
      </c>
      <c r="F294" s="13">
        <v>19.399999999999999</v>
      </c>
      <c r="G294" s="13">
        <v>127.6</v>
      </c>
      <c r="H294" s="14">
        <v>10889.1</v>
      </c>
      <c r="I294" s="12" t="s">
        <v>353</v>
      </c>
      <c r="J294" s="14">
        <v>10500</v>
      </c>
      <c r="K294" s="15">
        <v>4</v>
      </c>
      <c r="L294" s="16">
        <v>50</v>
      </c>
      <c r="M294" s="16">
        <v>1318</v>
      </c>
      <c r="N294" s="17">
        <v>100</v>
      </c>
      <c r="O294" s="17">
        <v>163.75</v>
      </c>
      <c r="P294" s="17">
        <v>86.7</v>
      </c>
      <c r="Q294" s="17">
        <v>131.94999999999999</v>
      </c>
      <c r="R294" s="17">
        <v>100.05</v>
      </c>
      <c r="S294" s="17">
        <v>131.9</v>
      </c>
      <c r="T294" s="16">
        <f t="shared" si="20"/>
        <v>5002.5</v>
      </c>
      <c r="U294" s="18">
        <v>1414.41</v>
      </c>
      <c r="V294" s="19">
        <f t="shared" si="21"/>
        <v>0.28274062968515745</v>
      </c>
      <c r="W294" s="19">
        <f t="shared" si="22"/>
        <v>0.31834082958520749</v>
      </c>
      <c r="X294" s="19">
        <f t="shared" si="23"/>
        <v>0.63668165917041475</v>
      </c>
      <c r="Y294" s="12" t="s">
        <v>367</v>
      </c>
      <c r="Z294" s="12" t="s">
        <v>84</v>
      </c>
      <c r="AA294" s="18">
        <v>-1026.1500000000001</v>
      </c>
      <c r="AB294" s="17">
        <v>0.99099999999999999</v>
      </c>
      <c r="AC294" s="12" t="s">
        <v>71</v>
      </c>
      <c r="AD294" s="12" t="str">
        <f t="shared" si="24"/>
        <v>Rs 2+</v>
      </c>
      <c r="AE294" s="20">
        <v>1</v>
      </c>
    </row>
    <row r="295" spans="1:31" x14ac:dyDescent="0.3">
      <c r="A295" s="12" t="s">
        <v>146</v>
      </c>
      <c r="B295" s="12" t="s">
        <v>369</v>
      </c>
      <c r="C295" s="12" t="s">
        <v>368</v>
      </c>
      <c r="D295" s="12" t="s">
        <v>77</v>
      </c>
      <c r="E295" s="13">
        <v>-13</v>
      </c>
      <c r="F295" s="13">
        <v>-21.9</v>
      </c>
      <c r="G295" s="13">
        <v>-1.3</v>
      </c>
      <c r="H295" s="14">
        <v>4202.25</v>
      </c>
      <c r="I295" s="12" t="s">
        <v>353</v>
      </c>
      <c r="J295" s="14">
        <v>4350</v>
      </c>
      <c r="K295" s="15">
        <v>3</v>
      </c>
      <c r="L295" s="16">
        <v>200</v>
      </c>
      <c r="M295" s="16">
        <v>4373</v>
      </c>
      <c r="N295" s="17">
        <v>39.950000000000003</v>
      </c>
      <c r="O295" s="17">
        <v>178.95</v>
      </c>
      <c r="P295" s="17">
        <v>39.950000000000003</v>
      </c>
      <c r="Q295" s="17">
        <v>154.19999999999999</v>
      </c>
      <c r="R295" s="17">
        <v>40</v>
      </c>
      <c r="S295" s="17">
        <v>154.15</v>
      </c>
      <c r="T295" s="16">
        <f t="shared" si="20"/>
        <v>8000</v>
      </c>
      <c r="U295" s="18">
        <v>22331.7</v>
      </c>
      <c r="V295" s="19">
        <f t="shared" si="21"/>
        <v>2.7914625000000002</v>
      </c>
      <c r="W295" s="19">
        <f t="shared" si="22"/>
        <v>2.8537500000000002</v>
      </c>
      <c r="X295" s="19">
        <f t="shared" si="23"/>
        <v>3.4737499999999999</v>
      </c>
      <c r="Y295" s="12" t="s">
        <v>374</v>
      </c>
      <c r="Z295" s="12" t="s">
        <v>84</v>
      </c>
      <c r="AA295" s="18">
        <v>13448.86</v>
      </c>
      <c r="AB295" s="17">
        <v>7.4219999999999997</v>
      </c>
      <c r="AC295" s="12" t="s">
        <v>71</v>
      </c>
      <c r="AD295" s="12" t="str">
        <f t="shared" si="24"/>
        <v>Rs 2+</v>
      </c>
      <c r="AE295" s="20">
        <v>1</v>
      </c>
    </row>
    <row r="296" spans="1:31" x14ac:dyDescent="0.3">
      <c r="A296" s="12" t="s">
        <v>155</v>
      </c>
      <c r="B296" s="12" t="s">
        <v>367</v>
      </c>
      <c r="C296" s="12" t="s">
        <v>369</v>
      </c>
      <c r="D296" s="12" t="s">
        <v>77</v>
      </c>
      <c r="E296" s="13">
        <v>-47.3</v>
      </c>
      <c r="F296" s="13">
        <v>-1.7</v>
      </c>
      <c r="G296" s="13">
        <v>19.600000000000001</v>
      </c>
      <c r="H296" s="14">
        <v>1992.35</v>
      </c>
      <c r="I296" s="12" t="s">
        <v>353</v>
      </c>
      <c r="J296" s="14">
        <v>2060</v>
      </c>
      <c r="K296" s="15">
        <v>3</v>
      </c>
      <c r="L296" s="16">
        <v>475</v>
      </c>
      <c r="M296" s="16">
        <v>16104</v>
      </c>
      <c r="N296" s="17">
        <v>16.05</v>
      </c>
      <c r="O296" s="17">
        <v>24.2</v>
      </c>
      <c r="P296" s="17">
        <v>11.6</v>
      </c>
      <c r="Q296" s="17">
        <v>20.55</v>
      </c>
      <c r="R296" s="17">
        <v>16.100000000000001</v>
      </c>
      <c r="S296" s="17">
        <v>20.5</v>
      </c>
      <c r="T296" s="16">
        <f t="shared" si="20"/>
        <v>7647.5000000000009</v>
      </c>
      <c r="U296" s="18">
        <v>1846.8</v>
      </c>
      <c r="V296" s="19">
        <f t="shared" si="21"/>
        <v>0.24149068322981362</v>
      </c>
      <c r="W296" s="19">
        <f t="shared" si="22"/>
        <v>0.27329192546583836</v>
      </c>
      <c r="X296" s="19">
        <f t="shared" si="23"/>
        <v>0.50310559006211153</v>
      </c>
      <c r="Y296" s="12" t="s">
        <v>375</v>
      </c>
      <c r="Z296" s="12" t="s">
        <v>84</v>
      </c>
      <c r="AA296" s="18">
        <v>-1743.64</v>
      </c>
      <c r="AB296" s="17">
        <v>2.2269999999999999</v>
      </c>
      <c r="AC296" s="12" t="s">
        <v>71</v>
      </c>
      <c r="AD296" s="12" t="str">
        <f t="shared" si="24"/>
        <v>Rs 2+</v>
      </c>
      <c r="AE296" s="20">
        <v>1</v>
      </c>
    </row>
    <row r="297" spans="1:31" x14ac:dyDescent="0.3">
      <c r="A297" s="12" t="s">
        <v>376</v>
      </c>
      <c r="B297" s="12" t="s">
        <v>367</v>
      </c>
      <c r="C297" s="12" t="s">
        <v>369</v>
      </c>
      <c r="D297" s="12" t="s">
        <v>68</v>
      </c>
      <c r="E297" s="13">
        <v>528.79999999999995</v>
      </c>
      <c r="F297" s="13">
        <v>64.8</v>
      </c>
      <c r="G297" s="13">
        <v>7.6</v>
      </c>
      <c r="H297" s="14">
        <v>175.75</v>
      </c>
      <c r="I297" s="12" t="s">
        <v>353</v>
      </c>
      <c r="J297" s="14">
        <v>169</v>
      </c>
      <c r="K297" s="15">
        <v>7</v>
      </c>
      <c r="L297" s="16">
        <v>4875</v>
      </c>
      <c r="M297" s="16">
        <v>313</v>
      </c>
      <c r="N297" s="17">
        <v>1.1000000000000001</v>
      </c>
      <c r="O297" s="17">
        <v>2.3199999999999998</v>
      </c>
      <c r="P297" s="17">
        <v>1.03</v>
      </c>
      <c r="Q297" s="17">
        <v>1.74</v>
      </c>
      <c r="R297" s="17">
        <v>1.1499999999999999</v>
      </c>
      <c r="S297" s="17">
        <v>1.69</v>
      </c>
      <c r="T297" s="16">
        <f t="shared" si="20"/>
        <v>5606.25</v>
      </c>
      <c r="U297" s="18">
        <v>2428.4899999999998</v>
      </c>
      <c r="V297" s="19">
        <f t="shared" si="21"/>
        <v>0.43317547380156074</v>
      </c>
      <c r="W297" s="19">
        <f t="shared" si="22"/>
        <v>0.46956521739130452</v>
      </c>
      <c r="X297" s="19">
        <f t="shared" si="23"/>
        <v>1.017391304347826</v>
      </c>
      <c r="Y297" s="12" t="s">
        <v>372</v>
      </c>
      <c r="Z297" s="12" t="s">
        <v>84</v>
      </c>
      <c r="AA297" s="18">
        <v>68.209999999999994</v>
      </c>
      <c r="AB297" s="17">
        <v>1.0109999999999999</v>
      </c>
      <c r="AC297" s="12" t="s">
        <v>102</v>
      </c>
      <c r="AD297" s="12" t="str">
        <f t="shared" si="24"/>
        <v>Rs 1-2</v>
      </c>
      <c r="AE297" s="20">
        <v>1</v>
      </c>
    </row>
    <row r="298" spans="1:31" x14ac:dyDescent="0.3">
      <c r="A298" s="12" t="s">
        <v>170</v>
      </c>
      <c r="B298" s="12" t="s">
        <v>367</v>
      </c>
      <c r="C298" s="12" t="s">
        <v>369</v>
      </c>
      <c r="D298" s="12" t="s">
        <v>68</v>
      </c>
      <c r="E298" s="13">
        <v>156.5</v>
      </c>
      <c r="F298" s="13">
        <v>105.4</v>
      </c>
      <c r="G298" s="13">
        <v>26.7</v>
      </c>
      <c r="H298" s="14">
        <v>258.3</v>
      </c>
      <c r="I298" s="12" t="s">
        <v>353</v>
      </c>
      <c r="J298" s="14">
        <v>242.5</v>
      </c>
      <c r="K298" s="15">
        <v>6</v>
      </c>
      <c r="L298" s="16">
        <v>3125</v>
      </c>
      <c r="M298" s="16">
        <v>270</v>
      </c>
      <c r="N298" s="17">
        <v>1.76</v>
      </c>
      <c r="O298" s="17">
        <v>2.0499999999999998</v>
      </c>
      <c r="P298" s="17">
        <v>0.63</v>
      </c>
      <c r="Q298" s="17">
        <v>0.67</v>
      </c>
      <c r="R298" s="17">
        <v>1.81</v>
      </c>
      <c r="S298" s="17">
        <v>0.62</v>
      </c>
      <c r="T298" s="16">
        <f t="shared" si="20"/>
        <v>5656.25</v>
      </c>
      <c r="U298" s="18">
        <v>-3924.09</v>
      </c>
      <c r="V298" s="19">
        <f t="shared" si="21"/>
        <v>-0.69376176795580113</v>
      </c>
      <c r="W298" s="19">
        <f t="shared" si="22"/>
        <v>-0.65745856353591159</v>
      </c>
      <c r="X298" s="19">
        <f t="shared" si="23"/>
        <v>0.13259668508287281</v>
      </c>
      <c r="Y298" s="12" t="s">
        <v>367</v>
      </c>
      <c r="Z298" s="12" t="s">
        <v>70</v>
      </c>
      <c r="AA298" s="18">
        <v>-3924.09</v>
      </c>
      <c r="AB298" s="17">
        <v>-4.6029999999999998</v>
      </c>
      <c r="AC298" s="12" t="s">
        <v>102</v>
      </c>
      <c r="AD298" s="12" t="str">
        <f t="shared" si="24"/>
        <v>Rs 1-2</v>
      </c>
      <c r="AE298" s="20">
        <v>1</v>
      </c>
    </row>
    <row r="299" spans="1:31" x14ac:dyDescent="0.3">
      <c r="A299" s="12" t="s">
        <v>377</v>
      </c>
      <c r="B299" s="12" t="s">
        <v>367</v>
      </c>
      <c r="C299" s="12" t="s">
        <v>369</v>
      </c>
      <c r="D299" s="12" t="s">
        <v>77</v>
      </c>
      <c r="E299" s="13">
        <v>-162.4</v>
      </c>
      <c r="F299" s="13">
        <v>-104.6</v>
      </c>
      <c r="G299" s="13">
        <v>-38.299999999999997</v>
      </c>
      <c r="H299" s="14">
        <v>374.15</v>
      </c>
      <c r="I299" s="12" t="s">
        <v>353</v>
      </c>
      <c r="J299" s="14">
        <v>375</v>
      </c>
      <c r="K299" s="15">
        <v>0</v>
      </c>
      <c r="L299" s="16">
        <v>800</v>
      </c>
      <c r="M299" s="16">
        <v>11235</v>
      </c>
      <c r="N299" s="17">
        <v>9.9499999999999993</v>
      </c>
      <c r="O299" s="17">
        <v>15.35</v>
      </c>
      <c r="P299" s="17">
        <v>3.35</v>
      </c>
      <c r="Q299" s="17">
        <v>6.6</v>
      </c>
      <c r="R299" s="17">
        <v>10</v>
      </c>
      <c r="S299" s="17">
        <v>6.55</v>
      </c>
      <c r="T299" s="16">
        <f t="shared" si="20"/>
        <v>8000</v>
      </c>
      <c r="U299" s="18">
        <v>-2953.27</v>
      </c>
      <c r="V299" s="19">
        <f t="shared" si="21"/>
        <v>-0.36915874999999998</v>
      </c>
      <c r="W299" s="19">
        <f t="shared" si="22"/>
        <v>-0.34499999999999997</v>
      </c>
      <c r="X299" s="19">
        <f t="shared" si="23"/>
        <v>0.53499999999999992</v>
      </c>
      <c r="Y299" s="12" t="s">
        <v>367</v>
      </c>
      <c r="Z299" s="12" t="s">
        <v>70</v>
      </c>
      <c r="AA299" s="18">
        <v>-2953.27</v>
      </c>
      <c r="AB299" s="17">
        <v>1.2330000000000001</v>
      </c>
      <c r="AC299" s="12" t="s">
        <v>71</v>
      </c>
      <c r="AD299" s="12" t="str">
        <f t="shared" si="24"/>
        <v>Rs 2+</v>
      </c>
      <c r="AE299" s="20">
        <v>1</v>
      </c>
    </row>
    <row r="300" spans="1:31" x14ac:dyDescent="0.3">
      <c r="A300" s="12" t="s">
        <v>132</v>
      </c>
      <c r="B300" s="12" t="s">
        <v>372</v>
      </c>
      <c r="C300" s="12" t="s">
        <v>367</v>
      </c>
      <c r="D300" s="12" t="s">
        <v>68</v>
      </c>
      <c r="E300" s="13">
        <v>90.4</v>
      </c>
      <c r="F300" s="13">
        <v>59.8</v>
      </c>
      <c r="G300" s="13">
        <v>41.9</v>
      </c>
      <c r="H300" s="14">
        <v>380.2</v>
      </c>
      <c r="I300" s="12" t="s">
        <v>353</v>
      </c>
      <c r="J300" s="14">
        <v>370</v>
      </c>
      <c r="K300" s="15">
        <v>2</v>
      </c>
      <c r="L300" s="16">
        <v>1175</v>
      </c>
      <c r="M300" s="16">
        <v>5208</v>
      </c>
      <c r="N300" s="17">
        <v>5.95</v>
      </c>
      <c r="O300" s="17">
        <v>7.05</v>
      </c>
      <c r="P300" s="17">
        <v>1.8</v>
      </c>
      <c r="Q300" s="17">
        <v>2</v>
      </c>
      <c r="R300" s="17">
        <v>6</v>
      </c>
      <c r="S300" s="17">
        <v>1.95</v>
      </c>
      <c r="T300" s="16">
        <f t="shared" si="20"/>
        <v>7050</v>
      </c>
      <c r="U300" s="18">
        <v>-5000.3500000000004</v>
      </c>
      <c r="V300" s="19">
        <f t="shared" si="21"/>
        <v>-0.7092695035460993</v>
      </c>
      <c r="W300" s="19">
        <f t="shared" si="22"/>
        <v>-0.67500000000000004</v>
      </c>
      <c r="X300" s="19">
        <f t="shared" si="23"/>
        <v>0.17500000000000004</v>
      </c>
      <c r="Y300" s="12" t="s">
        <v>372</v>
      </c>
      <c r="Z300" s="12" t="s">
        <v>70</v>
      </c>
      <c r="AA300" s="18">
        <v>-5000.3500000000004</v>
      </c>
      <c r="AB300" s="17">
        <v>-7.9880000000000004</v>
      </c>
      <c r="AC300" s="12" t="s">
        <v>71</v>
      </c>
      <c r="AD300" s="12" t="str">
        <f t="shared" si="24"/>
        <v>Rs 2+</v>
      </c>
      <c r="AE300" s="20">
        <v>1</v>
      </c>
    </row>
    <row r="301" spans="1:31" x14ac:dyDescent="0.3">
      <c r="A301" s="12" t="s">
        <v>378</v>
      </c>
      <c r="B301" s="12" t="s">
        <v>372</v>
      </c>
      <c r="C301" s="12" t="s">
        <v>379</v>
      </c>
      <c r="D301" s="12" t="s">
        <v>68</v>
      </c>
      <c r="E301" s="13">
        <v>13.1</v>
      </c>
      <c r="F301" s="13">
        <v>0.9</v>
      </c>
      <c r="G301" s="13">
        <v>4.8</v>
      </c>
      <c r="H301" s="14">
        <v>1066.4000000000001</v>
      </c>
      <c r="I301" s="12" t="s">
        <v>353</v>
      </c>
      <c r="J301" s="14">
        <v>1065</v>
      </c>
      <c r="K301" s="15">
        <v>0</v>
      </c>
      <c r="L301" s="16">
        <v>750</v>
      </c>
      <c r="M301" s="16">
        <v>3314</v>
      </c>
      <c r="N301" s="17">
        <v>3.6</v>
      </c>
      <c r="O301" s="17">
        <v>14.35</v>
      </c>
      <c r="P301" s="17">
        <v>2.95</v>
      </c>
      <c r="Q301" s="17">
        <v>3.4</v>
      </c>
      <c r="R301" s="17">
        <v>3.65</v>
      </c>
      <c r="S301" s="17">
        <v>3.35</v>
      </c>
      <c r="T301" s="16">
        <f t="shared" si="20"/>
        <v>2737.5</v>
      </c>
      <c r="U301" s="18">
        <v>-330.75</v>
      </c>
      <c r="V301" s="19">
        <f t="shared" si="21"/>
        <v>-0.12082191780821917</v>
      </c>
      <c r="W301" s="19">
        <f t="shared" si="22"/>
        <v>-8.2191780821917804E-2</v>
      </c>
      <c r="X301" s="19">
        <f t="shared" si="23"/>
        <v>2.9315068493150687</v>
      </c>
      <c r="Y301" s="12" t="s">
        <v>375</v>
      </c>
      <c r="Z301" s="12" t="s">
        <v>70</v>
      </c>
      <c r="AA301" s="18">
        <v>-775.38</v>
      </c>
      <c r="AB301" s="17">
        <v>-2.3210000000000002</v>
      </c>
      <c r="AC301" s="12" t="s">
        <v>71</v>
      </c>
      <c r="AD301" s="12" t="str">
        <f t="shared" si="24"/>
        <v>Rs 2+</v>
      </c>
      <c r="AE301" s="20">
        <v>1</v>
      </c>
    </row>
    <row r="302" spans="1:31" x14ac:dyDescent="0.3">
      <c r="A302" s="12" t="s">
        <v>270</v>
      </c>
      <c r="B302" s="12" t="s">
        <v>372</v>
      </c>
      <c r="C302" s="12" t="s">
        <v>367</v>
      </c>
      <c r="D302" s="12" t="s">
        <v>77</v>
      </c>
      <c r="E302" s="13">
        <v>-54.8</v>
      </c>
      <c r="F302" s="13">
        <v>-42.8</v>
      </c>
      <c r="G302" s="13">
        <v>6.8</v>
      </c>
      <c r="H302" s="14">
        <v>3176.25</v>
      </c>
      <c r="I302" s="12" t="s">
        <v>353</v>
      </c>
      <c r="J302" s="14">
        <v>3250</v>
      </c>
      <c r="K302" s="15">
        <v>1</v>
      </c>
      <c r="L302" s="16">
        <v>175</v>
      </c>
      <c r="M302" s="16">
        <v>3197</v>
      </c>
      <c r="N302" s="17">
        <v>30.05</v>
      </c>
      <c r="O302" s="17">
        <v>44</v>
      </c>
      <c r="P302" s="17">
        <v>21.65</v>
      </c>
      <c r="Q302" s="17">
        <v>33.15</v>
      </c>
      <c r="R302" s="17">
        <v>30.1</v>
      </c>
      <c r="S302" s="17">
        <v>33.1</v>
      </c>
      <c r="T302" s="16">
        <f t="shared" si="20"/>
        <v>5267.5</v>
      </c>
      <c r="U302" s="18">
        <v>353.69</v>
      </c>
      <c r="V302" s="19">
        <f t="shared" si="21"/>
        <v>6.7145704793545327E-2</v>
      </c>
      <c r="W302" s="19">
        <f t="shared" si="22"/>
        <v>9.9667774086378724E-2</v>
      </c>
      <c r="X302" s="19">
        <f t="shared" si="23"/>
        <v>0.46179401993355484</v>
      </c>
      <c r="Y302" s="12" t="s">
        <v>380</v>
      </c>
      <c r="Z302" s="12" t="s">
        <v>70</v>
      </c>
      <c r="AA302" s="18">
        <v>-1937.4</v>
      </c>
      <c r="AB302" s="17">
        <v>-0.19600000000000001</v>
      </c>
      <c r="AC302" s="12" t="s">
        <v>71</v>
      </c>
      <c r="AD302" s="12" t="str">
        <f t="shared" si="24"/>
        <v>Rs 2+</v>
      </c>
      <c r="AE302" s="20">
        <v>1</v>
      </c>
    </row>
    <row r="303" spans="1:31" x14ac:dyDescent="0.3">
      <c r="A303" s="12" t="s">
        <v>267</v>
      </c>
      <c r="B303" s="12" t="s">
        <v>375</v>
      </c>
      <c r="C303" s="12" t="s">
        <v>372</v>
      </c>
      <c r="D303" s="12" t="s">
        <v>68</v>
      </c>
      <c r="E303" s="13">
        <v>172.9</v>
      </c>
      <c r="F303" s="13">
        <v>7.1</v>
      </c>
      <c r="G303" s="13">
        <v>60.8</v>
      </c>
      <c r="H303" s="14">
        <v>2985.1</v>
      </c>
      <c r="I303" s="12" t="s">
        <v>353</v>
      </c>
      <c r="J303" s="14">
        <v>2800</v>
      </c>
      <c r="K303" s="15">
        <v>4</v>
      </c>
      <c r="L303" s="16">
        <v>375</v>
      </c>
      <c r="M303" s="16">
        <v>11297</v>
      </c>
      <c r="N303" s="17">
        <v>20.100000000000001</v>
      </c>
      <c r="O303" s="17">
        <v>25.95</v>
      </c>
      <c r="P303" s="17">
        <v>12.1</v>
      </c>
      <c r="Q303" s="17">
        <v>12.6</v>
      </c>
      <c r="R303" s="17">
        <v>20.149999999999999</v>
      </c>
      <c r="S303" s="17">
        <v>12.55</v>
      </c>
      <c r="T303" s="16">
        <f t="shared" si="20"/>
        <v>7556.2499999999991</v>
      </c>
      <c r="U303" s="18">
        <v>-3154.88</v>
      </c>
      <c r="V303" s="19">
        <f t="shared" si="21"/>
        <v>-0.41751927212572382</v>
      </c>
      <c r="W303" s="19">
        <f t="shared" si="22"/>
        <v>-0.3771712158808932</v>
      </c>
      <c r="X303" s="19">
        <f t="shared" si="23"/>
        <v>0.28784119106699757</v>
      </c>
      <c r="Y303" s="12" t="s">
        <v>375</v>
      </c>
      <c r="Z303" s="12" t="s">
        <v>70</v>
      </c>
      <c r="AA303" s="18">
        <v>-3154.88</v>
      </c>
      <c r="AB303" s="17">
        <v>-2.0640000000000001</v>
      </c>
      <c r="AC303" s="12" t="s">
        <v>71</v>
      </c>
      <c r="AD303" s="12" t="str">
        <f t="shared" si="24"/>
        <v>Rs 2+</v>
      </c>
      <c r="AE303" s="20">
        <v>1</v>
      </c>
    </row>
    <row r="304" spans="1:31" x14ac:dyDescent="0.3">
      <c r="A304" s="12" t="s">
        <v>221</v>
      </c>
      <c r="B304" s="12" t="s">
        <v>374</v>
      </c>
      <c r="C304" s="12" t="s">
        <v>375</v>
      </c>
      <c r="D304" s="12" t="s">
        <v>68</v>
      </c>
      <c r="E304" s="13">
        <v>36.1</v>
      </c>
      <c r="F304" s="13">
        <v>4.5</v>
      </c>
      <c r="G304" s="13">
        <v>17.2</v>
      </c>
      <c r="H304" s="14">
        <v>7219.05</v>
      </c>
      <c r="I304" s="12" t="s">
        <v>353</v>
      </c>
      <c r="J304" s="14">
        <v>7150</v>
      </c>
      <c r="K304" s="15">
        <v>1</v>
      </c>
      <c r="L304" s="16">
        <v>125</v>
      </c>
      <c r="M304" s="16">
        <v>1670</v>
      </c>
      <c r="N304" s="17">
        <v>38.5</v>
      </c>
      <c r="O304" s="17">
        <v>38.5</v>
      </c>
      <c r="P304" s="17">
        <v>15.6</v>
      </c>
      <c r="Q304" s="17">
        <v>16.899999999999999</v>
      </c>
      <c r="R304" s="17">
        <v>38.549999999999997</v>
      </c>
      <c r="S304" s="17">
        <v>16.850000000000001</v>
      </c>
      <c r="T304" s="16">
        <f t="shared" si="20"/>
        <v>4818.75</v>
      </c>
      <c r="U304" s="18">
        <v>-2835.16</v>
      </c>
      <c r="V304" s="19">
        <f t="shared" si="21"/>
        <v>-0.58836005188067442</v>
      </c>
      <c r="W304" s="19">
        <f t="shared" si="22"/>
        <v>-0.562905317769131</v>
      </c>
      <c r="X304" s="19">
        <f t="shared" si="23"/>
        <v>-1.2970168612190802E-3</v>
      </c>
      <c r="Y304" s="12" t="s">
        <v>374</v>
      </c>
      <c r="Z304" s="12" t="s">
        <v>70</v>
      </c>
      <c r="AA304" s="18">
        <v>-2835.16</v>
      </c>
      <c r="AB304" s="17">
        <v>-1.377</v>
      </c>
      <c r="AC304" s="12" t="s">
        <v>71</v>
      </c>
      <c r="AD304" s="12" t="str">
        <f t="shared" si="24"/>
        <v>Rs 2+</v>
      </c>
      <c r="AE304" s="20">
        <v>1</v>
      </c>
    </row>
    <row r="305" spans="1:31" x14ac:dyDescent="0.3">
      <c r="A305" s="12" t="s">
        <v>318</v>
      </c>
      <c r="B305" s="12" t="s">
        <v>374</v>
      </c>
      <c r="C305" s="12" t="s">
        <v>375</v>
      </c>
      <c r="D305" s="12" t="s">
        <v>68</v>
      </c>
      <c r="E305" s="13">
        <v>17.100000000000001</v>
      </c>
      <c r="F305" s="13">
        <v>4.0999999999999996</v>
      </c>
      <c r="G305" s="13">
        <v>8.1999999999999993</v>
      </c>
      <c r="H305" s="14">
        <v>5873.5</v>
      </c>
      <c r="I305" s="12" t="s">
        <v>353</v>
      </c>
      <c r="J305" s="14">
        <v>5850</v>
      </c>
      <c r="K305" s="15">
        <v>0</v>
      </c>
      <c r="L305" s="16">
        <v>125</v>
      </c>
      <c r="M305" s="16">
        <v>1638</v>
      </c>
      <c r="N305" s="17">
        <v>60.55</v>
      </c>
      <c r="O305" s="17">
        <v>60.55</v>
      </c>
      <c r="P305" s="17">
        <v>25.4</v>
      </c>
      <c r="Q305" s="17">
        <v>36</v>
      </c>
      <c r="R305" s="17">
        <v>60.6</v>
      </c>
      <c r="S305" s="17">
        <v>35.950000000000003</v>
      </c>
      <c r="T305" s="16">
        <f t="shared" si="20"/>
        <v>7575</v>
      </c>
      <c r="U305" s="18">
        <v>-3261.19</v>
      </c>
      <c r="V305" s="19">
        <f t="shared" si="21"/>
        <v>-0.43052013201320133</v>
      </c>
      <c r="W305" s="19">
        <f t="shared" si="22"/>
        <v>-0.40676567656765672</v>
      </c>
      <c r="X305" s="19">
        <f t="shared" si="23"/>
        <v>-8.2508250825086282E-4</v>
      </c>
      <c r="Y305" s="12" t="s">
        <v>374</v>
      </c>
      <c r="Z305" s="12" t="s">
        <v>70</v>
      </c>
      <c r="AA305" s="18">
        <v>-3261.19</v>
      </c>
      <c r="AB305" s="17">
        <v>-0.317</v>
      </c>
      <c r="AC305" s="12" t="s">
        <v>71</v>
      </c>
      <c r="AD305" s="12" t="str">
        <f t="shared" si="24"/>
        <v>Rs 2+</v>
      </c>
      <c r="AE305" s="20">
        <v>1</v>
      </c>
    </row>
    <row r="306" spans="1:31" x14ac:dyDescent="0.3">
      <c r="A306" s="12" t="s">
        <v>166</v>
      </c>
      <c r="B306" s="12" t="s">
        <v>374</v>
      </c>
      <c r="C306" s="12" t="s">
        <v>375</v>
      </c>
      <c r="D306" s="12" t="s">
        <v>68</v>
      </c>
      <c r="E306" s="13">
        <v>21.4</v>
      </c>
      <c r="F306" s="13">
        <v>3.7</v>
      </c>
      <c r="G306" s="13">
        <v>22.9</v>
      </c>
      <c r="H306" s="14">
        <v>7296</v>
      </c>
      <c r="I306" s="12" t="s">
        <v>353</v>
      </c>
      <c r="J306" s="14">
        <v>7200</v>
      </c>
      <c r="K306" s="15">
        <v>2</v>
      </c>
      <c r="L306" s="16">
        <v>100</v>
      </c>
      <c r="M306" s="16">
        <v>5109</v>
      </c>
      <c r="N306" s="17">
        <v>54.6</v>
      </c>
      <c r="O306" s="17">
        <v>54.6</v>
      </c>
      <c r="P306" s="17">
        <v>19.05</v>
      </c>
      <c r="Q306" s="17">
        <v>21.9</v>
      </c>
      <c r="R306" s="17">
        <v>54.65</v>
      </c>
      <c r="S306" s="17">
        <v>21.85</v>
      </c>
      <c r="T306" s="16">
        <f t="shared" si="20"/>
        <v>5465</v>
      </c>
      <c r="U306" s="18">
        <v>-3410.36</v>
      </c>
      <c r="V306" s="19">
        <f t="shared" si="21"/>
        <v>-0.62403659652333032</v>
      </c>
      <c r="W306" s="19">
        <f t="shared" si="22"/>
        <v>-0.60018298261665137</v>
      </c>
      <c r="X306" s="19">
        <f t="shared" si="23"/>
        <v>-9.1491308325708509E-4</v>
      </c>
      <c r="Y306" s="12" t="s">
        <v>374</v>
      </c>
      <c r="Z306" s="12" t="s">
        <v>70</v>
      </c>
      <c r="AA306" s="18">
        <v>-3410.36</v>
      </c>
      <c r="AB306" s="17">
        <v>-3.544</v>
      </c>
      <c r="AC306" s="12" t="s">
        <v>71</v>
      </c>
      <c r="AD306" s="12" t="str">
        <f t="shared" si="24"/>
        <v>Rs 2+</v>
      </c>
      <c r="AE306" s="20">
        <v>1</v>
      </c>
    </row>
    <row r="307" spans="1:31" x14ac:dyDescent="0.3">
      <c r="A307" s="12" t="s">
        <v>381</v>
      </c>
      <c r="B307" s="12" t="s">
        <v>374</v>
      </c>
      <c r="C307" s="12" t="s">
        <v>375</v>
      </c>
      <c r="D307" s="12" t="s">
        <v>68</v>
      </c>
      <c r="E307" s="13">
        <v>21.1</v>
      </c>
      <c r="F307" s="13">
        <v>49.1</v>
      </c>
      <c r="G307" s="13">
        <v>27.4</v>
      </c>
      <c r="H307" s="14">
        <v>2953.9</v>
      </c>
      <c r="I307" s="12" t="s">
        <v>353</v>
      </c>
      <c r="J307" s="14">
        <v>2900</v>
      </c>
      <c r="K307" s="15">
        <v>3</v>
      </c>
      <c r="L307" s="16">
        <v>250</v>
      </c>
      <c r="M307" s="16">
        <v>5423</v>
      </c>
      <c r="N307" s="17">
        <v>30</v>
      </c>
      <c r="O307" s="17">
        <v>58.1</v>
      </c>
      <c r="P307" s="17">
        <v>23.15</v>
      </c>
      <c r="Q307" s="17">
        <v>36.5</v>
      </c>
      <c r="R307" s="17">
        <v>30.05</v>
      </c>
      <c r="S307" s="17">
        <v>36.450000000000003</v>
      </c>
      <c r="T307" s="16">
        <f t="shared" si="20"/>
        <v>7512.5</v>
      </c>
      <c r="U307" s="18">
        <v>1365.66</v>
      </c>
      <c r="V307" s="19">
        <f t="shared" si="21"/>
        <v>0.18178502495840268</v>
      </c>
      <c r="W307" s="19">
        <f t="shared" si="22"/>
        <v>0.21297836938435943</v>
      </c>
      <c r="X307" s="19">
        <f t="shared" si="23"/>
        <v>0.93344425956738775</v>
      </c>
      <c r="Y307" s="12" t="s">
        <v>382</v>
      </c>
      <c r="Z307" s="12" t="s">
        <v>84</v>
      </c>
      <c r="AA307" s="18">
        <v>365.22</v>
      </c>
      <c r="AB307" s="17">
        <v>1.5580000000000001</v>
      </c>
      <c r="AC307" s="12" t="s">
        <v>71</v>
      </c>
      <c r="AD307" s="12" t="str">
        <f t="shared" si="24"/>
        <v>Rs 2+</v>
      </c>
      <c r="AE307" s="20">
        <v>1</v>
      </c>
    </row>
    <row r="308" spans="1:31" x14ac:dyDescent="0.3">
      <c r="A308" s="12" t="s">
        <v>268</v>
      </c>
      <c r="B308" s="12" t="s">
        <v>374</v>
      </c>
      <c r="C308" s="12" t="s">
        <v>375</v>
      </c>
      <c r="D308" s="12" t="s">
        <v>68</v>
      </c>
      <c r="E308" s="13">
        <v>60.8</v>
      </c>
      <c r="F308" s="13">
        <v>50.4</v>
      </c>
      <c r="G308" s="13">
        <v>43.3</v>
      </c>
      <c r="H308" s="14">
        <v>4269</v>
      </c>
      <c r="I308" s="12" t="s">
        <v>353</v>
      </c>
      <c r="J308" s="14">
        <v>4180</v>
      </c>
      <c r="K308" s="15">
        <v>4</v>
      </c>
      <c r="L308" s="16">
        <v>175</v>
      </c>
      <c r="M308" s="16">
        <v>1821</v>
      </c>
      <c r="N308" s="17">
        <v>35</v>
      </c>
      <c r="O308" s="17">
        <v>67.3</v>
      </c>
      <c r="P308" s="17">
        <v>25.5</v>
      </c>
      <c r="Q308" s="17">
        <v>51.3</v>
      </c>
      <c r="R308" s="17">
        <v>35.049999999999997</v>
      </c>
      <c r="S308" s="17">
        <v>51.25</v>
      </c>
      <c r="T308" s="16">
        <f t="shared" si="20"/>
        <v>6133.7499999999991</v>
      </c>
      <c r="U308" s="18">
        <v>2616.79</v>
      </c>
      <c r="V308" s="19">
        <f t="shared" si="21"/>
        <v>0.42662156103525584</v>
      </c>
      <c r="W308" s="19">
        <f t="shared" si="22"/>
        <v>0.4621968616262484</v>
      </c>
      <c r="X308" s="19">
        <f t="shared" si="23"/>
        <v>0.9201141226818832</v>
      </c>
      <c r="Y308" s="12" t="s">
        <v>383</v>
      </c>
      <c r="Z308" s="12" t="s">
        <v>84</v>
      </c>
      <c r="AA308" s="18">
        <v>-789.61</v>
      </c>
      <c r="AB308" s="17">
        <v>2.3199999999999998</v>
      </c>
      <c r="AC308" s="12" t="s">
        <v>71</v>
      </c>
      <c r="AD308" s="12" t="str">
        <f t="shared" si="24"/>
        <v>Rs 2+</v>
      </c>
      <c r="AE308" s="20">
        <v>1</v>
      </c>
    </row>
    <row r="309" spans="1:31" x14ac:dyDescent="0.3">
      <c r="A309" s="12" t="s">
        <v>162</v>
      </c>
      <c r="B309" s="12" t="s">
        <v>383</v>
      </c>
      <c r="C309" s="12" t="s">
        <v>374</v>
      </c>
      <c r="D309" s="12" t="s">
        <v>68</v>
      </c>
      <c r="E309" s="13">
        <v>38.5</v>
      </c>
      <c r="F309" s="13">
        <v>26.7</v>
      </c>
      <c r="G309" s="13">
        <v>25.6</v>
      </c>
      <c r="H309" s="14">
        <v>3674.9</v>
      </c>
      <c r="I309" s="12" t="s">
        <v>353</v>
      </c>
      <c r="J309" s="14">
        <v>3550</v>
      </c>
      <c r="K309" s="15">
        <v>2</v>
      </c>
      <c r="L309" s="16">
        <v>200</v>
      </c>
      <c r="M309" s="16">
        <v>4343</v>
      </c>
      <c r="N309" s="17">
        <v>34</v>
      </c>
      <c r="O309" s="17">
        <v>50.6</v>
      </c>
      <c r="P309" s="17">
        <v>31.65</v>
      </c>
      <c r="Q309" s="17">
        <v>47</v>
      </c>
      <c r="R309" s="17">
        <v>34.049999999999997</v>
      </c>
      <c r="S309" s="17">
        <v>46.95</v>
      </c>
      <c r="T309" s="16">
        <f t="shared" si="20"/>
        <v>6809.9999999999991</v>
      </c>
      <c r="U309" s="18">
        <v>2349.69</v>
      </c>
      <c r="V309" s="19">
        <f t="shared" si="21"/>
        <v>0.34503524229074894</v>
      </c>
      <c r="W309" s="19">
        <f t="shared" si="22"/>
        <v>0.37885462555066107</v>
      </c>
      <c r="X309" s="19">
        <f t="shared" si="23"/>
        <v>0.48604992657856116</v>
      </c>
      <c r="Y309" s="12" t="s">
        <v>384</v>
      </c>
      <c r="Z309" s="12" t="s">
        <v>84</v>
      </c>
      <c r="AA309" s="18">
        <v>3318.02</v>
      </c>
      <c r="AB309" s="17">
        <v>2.8420000000000001</v>
      </c>
      <c r="AC309" s="12" t="s">
        <v>71</v>
      </c>
      <c r="AD309" s="12" t="str">
        <f t="shared" si="24"/>
        <v>Rs 2+</v>
      </c>
      <c r="AE309" s="20">
        <v>1</v>
      </c>
    </row>
    <row r="310" spans="1:31" x14ac:dyDescent="0.3">
      <c r="A310" s="12" t="s">
        <v>281</v>
      </c>
      <c r="B310" s="12" t="s">
        <v>383</v>
      </c>
      <c r="C310" s="12" t="s">
        <v>374</v>
      </c>
      <c r="D310" s="12" t="s">
        <v>68</v>
      </c>
      <c r="E310" s="13">
        <v>60</v>
      </c>
      <c r="F310" s="13">
        <v>14.9</v>
      </c>
      <c r="G310" s="13">
        <v>15.2</v>
      </c>
      <c r="H310" s="14">
        <v>521.75</v>
      </c>
      <c r="I310" s="12" t="s">
        <v>353</v>
      </c>
      <c r="J310" s="14">
        <v>500</v>
      </c>
      <c r="K310" s="15">
        <v>4</v>
      </c>
      <c r="L310" s="16">
        <v>900</v>
      </c>
      <c r="M310" s="16">
        <v>1573</v>
      </c>
      <c r="N310" s="17">
        <v>8.5</v>
      </c>
      <c r="O310" s="17">
        <v>10</v>
      </c>
      <c r="P310" s="17">
        <v>4.2</v>
      </c>
      <c r="Q310" s="17">
        <v>5</v>
      </c>
      <c r="R310" s="17">
        <v>8.5500000000000007</v>
      </c>
      <c r="S310" s="17">
        <v>4.95</v>
      </c>
      <c r="T310" s="16">
        <f t="shared" si="20"/>
        <v>7695.0000000000009</v>
      </c>
      <c r="U310" s="18">
        <v>-3542.21</v>
      </c>
      <c r="V310" s="19">
        <f t="shared" si="21"/>
        <v>-0.46032618583495771</v>
      </c>
      <c r="W310" s="19">
        <f t="shared" si="22"/>
        <v>-0.42105263157894735</v>
      </c>
      <c r="X310" s="19">
        <f t="shared" si="23"/>
        <v>0.16959064327485374</v>
      </c>
      <c r="Y310" s="12" t="s">
        <v>383</v>
      </c>
      <c r="Z310" s="12" t="s">
        <v>70</v>
      </c>
      <c r="AA310" s="18">
        <v>-3542.21</v>
      </c>
      <c r="AB310" s="17">
        <v>-0.63500000000000001</v>
      </c>
      <c r="AC310" s="12" t="s">
        <v>71</v>
      </c>
      <c r="AD310" s="12" t="str">
        <f t="shared" si="24"/>
        <v>Rs 2+</v>
      </c>
      <c r="AE310" s="20">
        <v>1</v>
      </c>
    </row>
    <row r="311" spans="1:31" x14ac:dyDescent="0.3">
      <c r="A311" s="12" t="s">
        <v>265</v>
      </c>
      <c r="B311" s="12" t="s">
        <v>380</v>
      </c>
      <c r="C311" s="12" t="s">
        <v>383</v>
      </c>
      <c r="D311" s="12" t="s">
        <v>77</v>
      </c>
      <c r="E311" s="13">
        <v>-163.9</v>
      </c>
      <c r="F311" s="13">
        <v>-139</v>
      </c>
      <c r="G311" s="13">
        <v>9.1999999999999993</v>
      </c>
      <c r="H311" s="14">
        <v>375.05</v>
      </c>
      <c r="I311" s="12" t="s">
        <v>353</v>
      </c>
      <c r="J311" s="14">
        <v>405</v>
      </c>
      <c r="K311" s="15">
        <v>6</v>
      </c>
      <c r="L311" s="16">
        <v>2500</v>
      </c>
      <c r="M311" s="16">
        <v>1482</v>
      </c>
      <c r="N311" s="17">
        <v>2.65</v>
      </c>
      <c r="O311" s="17">
        <v>4</v>
      </c>
      <c r="P311" s="17">
        <v>0.8</v>
      </c>
      <c r="Q311" s="17">
        <v>2.4</v>
      </c>
      <c r="R311" s="17">
        <v>2.7</v>
      </c>
      <c r="S311" s="17">
        <v>2.35</v>
      </c>
      <c r="T311" s="16">
        <f t="shared" si="20"/>
        <v>6750</v>
      </c>
      <c r="U311" s="18">
        <v>-1189.03</v>
      </c>
      <c r="V311" s="19">
        <f t="shared" si="21"/>
        <v>-0.17615259259259258</v>
      </c>
      <c r="W311" s="19">
        <f t="shared" si="22"/>
        <v>-0.12962962962962965</v>
      </c>
      <c r="X311" s="19">
        <f t="shared" si="23"/>
        <v>0.4814814814814814</v>
      </c>
      <c r="Y311" s="12" t="s">
        <v>382</v>
      </c>
      <c r="Z311" s="12" t="s">
        <v>70</v>
      </c>
      <c r="AA311" s="18">
        <v>-2533.88</v>
      </c>
      <c r="AB311" s="17">
        <v>1.056</v>
      </c>
      <c r="AC311" s="12" t="s">
        <v>71</v>
      </c>
      <c r="AD311" s="12" t="str">
        <f t="shared" si="24"/>
        <v>Rs 2+</v>
      </c>
      <c r="AE311" s="20">
        <v>1</v>
      </c>
    </row>
    <row r="312" spans="1:31" x14ac:dyDescent="0.3">
      <c r="A312" s="12" t="s">
        <v>327</v>
      </c>
      <c r="B312" s="12" t="s">
        <v>380</v>
      </c>
      <c r="C312" s="12" t="s">
        <v>383</v>
      </c>
      <c r="D312" s="12" t="s">
        <v>68</v>
      </c>
      <c r="E312" s="13">
        <v>29.6</v>
      </c>
      <c r="F312" s="13">
        <v>11.8</v>
      </c>
      <c r="G312" s="13">
        <v>10.7</v>
      </c>
      <c r="H312" s="14">
        <v>4158.8999999999996</v>
      </c>
      <c r="I312" s="12" t="s">
        <v>353</v>
      </c>
      <c r="J312" s="14">
        <v>4000</v>
      </c>
      <c r="K312" s="15">
        <v>3</v>
      </c>
      <c r="L312" s="16">
        <v>150</v>
      </c>
      <c r="M312" s="16">
        <v>7446</v>
      </c>
      <c r="N312" s="17">
        <v>52</v>
      </c>
      <c r="O312" s="17">
        <v>65.349999999999994</v>
      </c>
      <c r="P312" s="17">
        <v>29.2</v>
      </c>
      <c r="Q312" s="17">
        <v>40.15</v>
      </c>
      <c r="R312" s="17">
        <v>52.05</v>
      </c>
      <c r="S312" s="17">
        <v>40.1</v>
      </c>
      <c r="T312" s="16">
        <f t="shared" si="20"/>
        <v>7807.5</v>
      </c>
      <c r="U312" s="18">
        <v>-1992.99</v>
      </c>
      <c r="V312" s="19">
        <f t="shared" si="21"/>
        <v>-0.25526609029779057</v>
      </c>
      <c r="W312" s="19">
        <f t="shared" si="22"/>
        <v>-0.22958693563880872</v>
      </c>
      <c r="X312" s="19">
        <f t="shared" si="23"/>
        <v>0.25552353506243985</v>
      </c>
      <c r="Y312" s="12" t="s">
        <v>380</v>
      </c>
      <c r="Z312" s="12" t="s">
        <v>70</v>
      </c>
      <c r="AA312" s="18">
        <v>-1992.99</v>
      </c>
      <c r="AB312" s="17">
        <v>-0.55900000000000005</v>
      </c>
      <c r="AC312" s="12" t="s">
        <v>71</v>
      </c>
      <c r="AD312" s="12" t="str">
        <f t="shared" si="24"/>
        <v>Rs 2+</v>
      </c>
      <c r="AE312" s="20">
        <v>1</v>
      </c>
    </row>
    <row r="313" spans="1:31" x14ac:dyDescent="0.3">
      <c r="A313" s="12" t="s">
        <v>204</v>
      </c>
      <c r="B313" s="12" t="s">
        <v>380</v>
      </c>
      <c r="C313" s="12" t="s">
        <v>383</v>
      </c>
      <c r="D313" s="12" t="s">
        <v>77</v>
      </c>
      <c r="E313" s="13">
        <v>-45.1</v>
      </c>
      <c r="F313" s="13">
        <v>-56.8</v>
      </c>
      <c r="G313" s="13">
        <v>13.9</v>
      </c>
      <c r="H313" s="14">
        <v>964.4</v>
      </c>
      <c r="I313" s="12" t="s">
        <v>353</v>
      </c>
      <c r="J313" s="14">
        <v>980</v>
      </c>
      <c r="K313" s="15">
        <v>2</v>
      </c>
      <c r="L313" s="16">
        <v>700</v>
      </c>
      <c r="M313" s="16">
        <v>3699</v>
      </c>
      <c r="N313" s="17">
        <v>10.050000000000001</v>
      </c>
      <c r="O313" s="17">
        <v>10.3</v>
      </c>
      <c r="P313" s="17">
        <v>4.2</v>
      </c>
      <c r="Q313" s="17">
        <v>4.6500000000000004</v>
      </c>
      <c r="R313" s="17">
        <v>10.1</v>
      </c>
      <c r="S313" s="17">
        <v>4.5999999999999996</v>
      </c>
      <c r="T313" s="16">
        <f t="shared" si="20"/>
        <v>7070</v>
      </c>
      <c r="U313" s="18">
        <v>-4009.46</v>
      </c>
      <c r="V313" s="19">
        <f t="shared" si="21"/>
        <v>-0.56710891089108917</v>
      </c>
      <c r="W313" s="19">
        <f t="shared" si="22"/>
        <v>-0.54455445544554459</v>
      </c>
      <c r="X313" s="19">
        <f t="shared" si="23"/>
        <v>1.980198019801982E-2</v>
      </c>
      <c r="Y313" s="12" t="s">
        <v>380</v>
      </c>
      <c r="Z313" s="12" t="s">
        <v>70</v>
      </c>
      <c r="AA313" s="18">
        <v>-4009.46</v>
      </c>
      <c r="AB313" s="17">
        <v>-1.575</v>
      </c>
      <c r="AC313" s="12" t="s">
        <v>71</v>
      </c>
      <c r="AD313" s="12" t="str">
        <f t="shared" si="24"/>
        <v>Rs 2+</v>
      </c>
      <c r="AE313" s="20">
        <v>1</v>
      </c>
    </row>
    <row r="314" spans="1:31" x14ac:dyDescent="0.3">
      <c r="A314" s="12" t="s">
        <v>91</v>
      </c>
      <c r="B314" s="12" t="s">
        <v>380</v>
      </c>
      <c r="C314" s="12" t="s">
        <v>383</v>
      </c>
      <c r="D314" s="12" t="s">
        <v>68</v>
      </c>
      <c r="E314" s="13">
        <v>120.9</v>
      </c>
      <c r="F314" s="13">
        <v>145.1</v>
      </c>
      <c r="G314" s="13">
        <v>3.9</v>
      </c>
      <c r="H314" s="14">
        <v>2409.6999999999998</v>
      </c>
      <c r="I314" s="12" t="s">
        <v>353</v>
      </c>
      <c r="J314" s="14">
        <v>2360</v>
      </c>
      <c r="K314" s="15">
        <v>2</v>
      </c>
      <c r="L314" s="16">
        <v>300</v>
      </c>
      <c r="M314" s="16">
        <v>5228</v>
      </c>
      <c r="N314" s="17">
        <v>26</v>
      </c>
      <c r="O314" s="17">
        <v>71</v>
      </c>
      <c r="P314" s="17">
        <v>26</v>
      </c>
      <c r="Q314" s="17">
        <v>66.55</v>
      </c>
      <c r="R314" s="17">
        <v>26.05</v>
      </c>
      <c r="S314" s="17">
        <v>66.5</v>
      </c>
      <c r="T314" s="16">
        <f t="shared" si="20"/>
        <v>7815</v>
      </c>
      <c r="U314" s="18">
        <v>11768.31</v>
      </c>
      <c r="V314" s="19">
        <f t="shared" si="21"/>
        <v>1.5058618042226486</v>
      </c>
      <c r="W314" s="19">
        <f t="shared" si="22"/>
        <v>1.5527831094049902</v>
      </c>
      <c r="X314" s="19">
        <f t="shared" si="23"/>
        <v>1.7255278310940496</v>
      </c>
      <c r="Y314" s="12" t="s">
        <v>384</v>
      </c>
      <c r="Z314" s="12" t="s">
        <v>84</v>
      </c>
      <c r="AA314" s="18">
        <v>3972.38</v>
      </c>
      <c r="AB314" s="17">
        <v>3.95</v>
      </c>
      <c r="AC314" s="12" t="s">
        <v>71</v>
      </c>
      <c r="AD314" s="12" t="str">
        <f t="shared" si="24"/>
        <v>Rs 2+</v>
      </c>
      <c r="AE314" s="20">
        <v>1</v>
      </c>
    </row>
    <row r="315" spans="1:31" x14ac:dyDescent="0.3">
      <c r="A315" s="12" t="s">
        <v>82</v>
      </c>
      <c r="B315" s="12" t="s">
        <v>380</v>
      </c>
      <c r="C315" s="12" t="s">
        <v>383</v>
      </c>
      <c r="D315" s="12" t="s">
        <v>68</v>
      </c>
      <c r="E315" s="13">
        <v>50.9</v>
      </c>
      <c r="F315" s="13">
        <v>199.8</v>
      </c>
      <c r="G315" s="13">
        <v>12.2</v>
      </c>
      <c r="H315" s="14">
        <v>712</v>
      </c>
      <c r="I315" s="12" t="s">
        <v>353</v>
      </c>
      <c r="J315" s="14">
        <v>675</v>
      </c>
      <c r="K315" s="15">
        <v>7</v>
      </c>
      <c r="L315" s="16">
        <v>1000</v>
      </c>
      <c r="M315" s="16">
        <v>701</v>
      </c>
      <c r="N315" s="17">
        <v>5.4</v>
      </c>
      <c r="O315" s="17">
        <v>9.85</v>
      </c>
      <c r="P315" s="17">
        <v>2.35</v>
      </c>
      <c r="Q315" s="17">
        <v>3.65</v>
      </c>
      <c r="R315" s="17">
        <v>5.45</v>
      </c>
      <c r="S315" s="17">
        <v>3.6</v>
      </c>
      <c r="T315" s="16">
        <f t="shared" si="20"/>
        <v>5450</v>
      </c>
      <c r="U315" s="18">
        <v>-1997.07</v>
      </c>
      <c r="V315" s="19">
        <f t="shared" si="21"/>
        <v>-0.36643486238532108</v>
      </c>
      <c r="W315" s="19">
        <f t="shared" si="22"/>
        <v>-0.33944954128440363</v>
      </c>
      <c r="X315" s="19">
        <f t="shared" si="23"/>
        <v>0.80733944954128423</v>
      </c>
      <c r="Y315" s="12" t="s">
        <v>380</v>
      </c>
      <c r="Z315" s="12" t="s">
        <v>70</v>
      </c>
      <c r="AA315" s="18">
        <v>-1997.07</v>
      </c>
      <c r="AB315" s="17">
        <v>1.004</v>
      </c>
      <c r="AC315" s="12" t="s">
        <v>71</v>
      </c>
      <c r="AD315" s="12" t="str">
        <f t="shared" si="24"/>
        <v>Rs 2+</v>
      </c>
      <c r="AE315" s="20">
        <v>1</v>
      </c>
    </row>
    <row r="316" spans="1:31" x14ac:dyDescent="0.3">
      <c r="A316" s="12" t="s">
        <v>179</v>
      </c>
      <c r="B316" s="12" t="s">
        <v>380</v>
      </c>
      <c r="C316" s="12" t="s">
        <v>383</v>
      </c>
      <c r="D316" s="12" t="s">
        <v>68</v>
      </c>
      <c r="E316" s="13">
        <v>102.9</v>
      </c>
      <c r="F316" s="13">
        <v>17.100000000000001</v>
      </c>
      <c r="G316" s="13">
        <v>57.8</v>
      </c>
      <c r="H316" s="14">
        <v>4067</v>
      </c>
      <c r="I316" s="12" t="s">
        <v>353</v>
      </c>
      <c r="J316" s="14">
        <v>3400</v>
      </c>
      <c r="K316" s="15">
        <v>13</v>
      </c>
      <c r="L316" s="16">
        <v>275</v>
      </c>
      <c r="M316" s="16">
        <v>11514</v>
      </c>
      <c r="N316" s="17">
        <v>25</v>
      </c>
      <c r="O316" s="17">
        <v>72.099999999999994</v>
      </c>
      <c r="P316" s="17">
        <v>18.25</v>
      </c>
      <c r="Q316" s="17">
        <v>49.55</v>
      </c>
      <c r="R316" s="17">
        <v>25.05</v>
      </c>
      <c r="S316" s="17">
        <v>49.5</v>
      </c>
      <c r="T316" s="16">
        <f t="shared" si="20"/>
        <v>6888.75</v>
      </c>
      <c r="U316" s="18">
        <v>6442.29</v>
      </c>
      <c r="V316" s="19">
        <f t="shared" si="21"/>
        <v>0.93518998366902562</v>
      </c>
      <c r="W316" s="19">
        <f t="shared" si="22"/>
        <v>0.9760479041916168</v>
      </c>
      <c r="X316" s="19">
        <f t="shared" si="23"/>
        <v>1.8782435129740516</v>
      </c>
      <c r="Y316" s="12" t="s">
        <v>385</v>
      </c>
      <c r="Z316" s="12" t="s">
        <v>84</v>
      </c>
      <c r="AA316" s="18">
        <v>2896.32</v>
      </c>
      <c r="AB316" s="17">
        <v>7.3360000000000003</v>
      </c>
      <c r="AC316" s="12" t="s">
        <v>71</v>
      </c>
      <c r="AD316" s="12" t="str">
        <f t="shared" si="24"/>
        <v>Rs 2+</v>
      </c>
      <c r="AE316" s="20">
        <v>1</v>
      </c>
    </row>
    <row r="317" spans="1:31" x14ac:dyDescent="0.3">
      <c r="A317" s="12" t="s">
        <v>158</v>
      </c>
      <c r="B317" s="12" t="s">
        <v>380</v>
      </c>
      <c r="C317" s="12" t="s">
        <v>383</v>
      </c>
      <c r="D317" s="12" t="s">
        <v>77</v>
      </c>
      <c r="E317" s="13">
        <v>-16.5</v>
      </c>
      <c r="F317" s="13">
        <v>-23.9</v>
      </c>
      <c r="G317" s="13">
        <v>-27.6</v>
      </c>
      <c r="H317" s="14">
        <v>3222.35</v>
      </c>
      <c r="I317" s="12" t="s">
        <v>353</v>
      </c>
      <c r="J317" s="14">
        <v>3280</v>
      </c>
      <c r="K317" s="15">
        <v>3</v>
      </c>
      <c r="L317" s="16">
        <v>175</v>
      </c>
      <c r="M317" s="16">
        <v>966</v>
      </c>
      <c r="N317" s="17">
        <v>39.950000000000003</v>
      </c>
      <c r="O317" s="17">
        <v>48.8</v>
      </c>
      <c r="P317" s="17">
        <v>18.850000000000001</v>
      </c>
      <c r="Q317" s="17">
        <v>21.65</v>
      </c>
      <c r="R317" s="17">
        <v>40</v>
      </c>
      <c r="S317" s="17">
        <v>21.6</v>
      </c>
      <c r="T317" s="16">
        <f t="shared" si="20"/>
        <v>7000</v>
      </c>
      <c r="U317" s="18">
        <v>-3493.21</v>
      </c>
      <c r="V317" s="19">
        <f t="shared" si="21"/>
        <v>-0.49903000000000003</v>
      </c>
      <c r="W317" s="19">
        <f t="shared" si="22"/>
        <v>-0.45999999999999996</v>
      </c>
      <c r="X317" s="19">
        <f t="shared" si="23"/>
        <v>0.21999999999999997</v>
      </c>
      <c r="Y317" s="12" t="s">
        <v>380</v>
      </c>
      <c r="Z317" s="12" t="s">
        <v>70</v>
      </c>
      <c r="AA317" s="18">
        <v>-3493.21</v>
      </c>
      <c r="AB317" s="17">
        <v>3.8090000000000002</v>
      </c>
      <c r="AC317" s="12" t="s">
        <v>71</v>
      </c>
      <c r="AD317" s="12" t="str">
        <f t="shared" si="24"/>
        <v>Rs 2+</v>
      </c>
      <c r="AE317" s="20">
        <v>1</v>
      </c>
    </row>
    <row r="318" spans="1:31" x14ac:dyDescent="0.3">
      <c r="A318" s="12" t="s">
        <v>263</v>
      </c>
      <c r="B318" s="12" t="s">
        <v>382</v>
      </c>
      <c r="C318" s="12" t="s">
        <v>380</v>
      </c>
      <c r="D318" s="12" t="s">
        <v>77</v>
      </c>
      <c r="E318" s="13">
        <v>-22.4</v>
      </c>
      <c r="F318" s="13">
        <v>-40</v>
      </c>
      <c r="G318" s="13">
        <v>17.5</v>
      </c>
      <c r="H318" s="14">
        <v>916.75</v>
      </c>
      <c r="I318" s="12" t="s">
        <v>353</v>
      </c>
      <c r="J318" s="14">
        <v>960</v>
      </c>
      <c r="K318" s="15">
        <v>4</v>
      </c>
      <c r="L318" s="16">
        <v>775</v>
      </c>
      <c r="M318" s="16">
        <v>1520</v>
      </c>
      <c r="N318" s="17">
        <v>8</v>
      </c>
      <c r="O318" s="17">
        <v>8.4499999999999993</v>
      </c>
      <c r="P318" s="17">
        <v>2.2999999999999998</v>
      </c>
      <c r="Q318" s="17">
        <v>4.2</v>
      </c>
      <c r="R318" s="17">
        <v>8.0500000000000007</v>
      </c>
      <c r="S318" s="17">
        <v>4.1500000000000004</v>
      </c>
      <c r="T318" s="16">
        <f t="shared" si="20"/>
        <v>6238.7500000000009</v>
      </c>
      <c r="U318" s="18">
        <v>-3267.79</v>
      </c>
      <c r="V318" s="19">
        <f t="shared" si="21"/>
        <v>-0.52378922059707467</v>
      </c>
      <c r="W318" s="19">
        <f t="shared" si="22"/>
        <v>-0.48447204968944102</v>
      </c>
      <c r="X318" s="19">
        <f t="shared" si="23"/>
        <v>4.9689440993788692E-2</v>
      </c>
      <c r="Y318" s="12" t="s">
        <v>382</v>
      </c>
      <c r="Z318" s="12" t="s">
        <v>70</v>
      </c>
      <c r="AA318" s="18">
        <v>-3267.79</v>
      </c>
      <c r="AB318" s="17">
        <v>-0.104</v>
      </c>
      <c r="AC318" s="12" t="s">
        <v>71</v>
      </c>
      <c r="AD318" s="12" t="str">
        <f t="shared" si="24"/>
        <v>Rs 2+</v>
      </c>
      <c r="AE318" s="20">
        <v>1</v>
      </c>
    </row>
    <row r="319" spans="1:31" x14ac:dyDescent="0.3">
      <c r="A319" s="12" t="s">
        <v>223</v>
      </c>
      <c r="B319" s="12" t="s">
        <v>382</v>
      </c>
      <c r="C319" s="12" t="s">
        <v>380</v>
      </c>
      <c r="D319" s="12" t="s">
        <v>68</v>
      </c>
      <c r="E319" s="13">
        <v>13.4</v>
      </c>
      <c r="F319" s="13">
        <v>5</v>
      </c>
      <c r="G319" s="13">
        <v>32.5</v>
      </c>
      <c r="H319" s="14">
        <v>106.4</v>
      </c>
      <c r="I319" s="12" t="s">
        <v>353</v>
      </c>
      <c r="J319" s="14">
        <v>100</v>
      </c>
      <c r="K319" s="15">
        <v>3</v>
      </c>
      <c r="L319" s="16">
        <v>3575</v>
      </c>
      <c r="M319" s="16">
        <v>13128</v>
      </c>
      <c r="N319" s="17">
        <v>1.98</v>
      </c>
      <c r="O319" s="17">
        <v>5.05</v>
      </c>
      <c r="P319" s="17">
        <v>1.1299999999999999</v>
      </c>
      <c r="Q319" s="17">
        <v>2.4900000000000002</v>
      </c>
      <c r="R319" s="17">
        <v>2.0299999999999998</v>
      </c>
      <c r="S319" s="17">
        <v>2.44</v>
      </c>
      <c r="T319" s="16">
        <f t="shared" si="20"/>
        <v>7257.2499999999991</v>
      </c>
      <c r="U319" s="18">
        <v>919.11</v>
      </c>
      <c r="V319" s="19">
        <f t="shared" si="21"/>
        <v>0.1266471459574908</v>
      </c>
      <c r="W319" s="19">
        <f t="shared" si="22"/>
        <v>0.20197044334975378</v>
      </c>
      <c r="X319" s="19">
        <f t="shared" si="23"/>
        <v>1.4876847290640396</v>
      </c>
      <c r="Y319" s="12" t="s">
        <v>386</v>
      </c>
      <c r="Z319" s="12" t="s">
        <v>111</v>
      </c>
      <c r="AA319" s="18">
        <v>6491.14</v>
      </c>
      <c r="AB319" s="17">
        <v>4.798</v>
      </c>
      <c r="AC319" s="12" t="s">
        <v>71</v>
      </c>
      <c r="AD319" s="12" t="str">
        <f t="shared" si="24"/>
        <v>Rs 2+</v>
      </c>
      <c r="AE319" s="20">
        <v>1</v>
      </c>
    </row>
    <row r="320" spans="1:31" x14ac:dyDescent="0.3">
      <c r="A320" s="12" t="s">
        <v>171</v>
      </c>
      <c r="B320" s="12" t="s">
        <v>382</v>
      </c>
      <c r="C320" s="12" t="s">
        <v>380</v>
      </c>
      <c r="D320" s="12" t="s">
        <v>68</v>
      </c>
      <c r="E320" s="13">
        <v>38.5</v>
      </c>
      <c r="F320" s="13">
        <v>25.9</v>
      </c>
      <c r="G320" s="13">
        <v>6.9</v>
      </c>
      <c r="H320" s="14">
        <v>98.08</v>
      </c>
      <c r="I320" s="12" t="s">
        <v>353</v>
      </c>
      <c r="J320" s="14">
        <v>93</v>
      </c>
      <c r="K320" s="15">
        <v>5</v>
      </c>
      <c r="L320" s="16">
        <v>6500</v>
      </c>
      <c r="M320" s="16">
        <v>119</v>
      </c>
      <c r="N320" s="17">
        <v>1</v>
      </c>
      <c r="O320" s="17">
        <v>1.1000000000000001</v>
      </c>
      <c r="P320" s="17">
        <v>0.61</v>
      </c>
      <c r="Q320" s="17">
        <v>0.64</v>
      </c>
      <c r="R320" s="17">
        <v>1.05</v>
      </c>
      <c r="S320" s="17">
        <v>0.59</v>
      </c>
      <c r="T320" s="16">
        <f t="shared" si="20"/>
        <v>6825</v>
      </c>
      <c r="U320" s="18">
        <v>-3367.43</v>
      </c>
      <c r="V320" s="19">
        <f t="shared" si="21"/>
        <v>-0.49339633699633695</v>
      </c>
      <c r="W320" s="19">
        <f t="shared" si="22"/>
        <v>-0.43809523809523809</v>
      </c>
      <c r="X320" s="19">
        <f t="shared" si="23"/>
        <v>4.7619047619047672E-2</v>
      </c>
      <c r="Y320" s="12" t="s">
        <v>382</v>
      </c>
      <c r="Z320" s="12" t="s">
        <v>70</v>
      </c>
      <c r="AA320" s="18">
        <v>-3367.43</v>
      </c>
      <c r="AB320" s="17">
        <v>-1.837</v>
      </c>
      <c r="AC320" s="12" t="s">
        <v>102</v>
      </c>
      <c r="AD320" s="12" t="str">
        <f t="shared" si="24"/>
        <v>Rs 1-2</v>
      </c>
      <c r="AE320" s="20">
        <v>1</v>
      </c>
    </row>
    <row r="321" spans="1:31" x14ac:dyDescent="0.3">
      <c r="A321" s="12" t="s">
        <v>108</v>
      </c>
      <c r="B321" s="12" t="s">
        <v>382</v>
      </c>
      <c r="C321" s="12" t="s">
        <v>380</v>
      </c>
      <c r="D321" s="12" t="s">
        <v>68</v>
      </c>
      <c r="E321" s="13">
        <v>26.2</v>
      </c>
      <c r="F321" s="13">
        <v>7.4</v>
      </c>
      <c r="G321" s="13">
        <v>17.600000000000001</v>
      </c>
      <c r="H321" s="14">
        <v>4077.95</v>
      </c>
      <c r="I321" s="12" t="s">
        <v>353</v>
      </c>
      <c r="J321" s="14">
        <v>4020</v>
      </c>
      <c r="K321" s="15">
        <v>3</v>
      </c>
      <c r="L321" s="16">
        <v>250</v>
      </c>
      <c r="M321" s="16">
        <v>451</v>
      </c>
      <c r="N321" s="17">
        <v>14.95</v>
      </c>
      <c r="O321" s="17">
        <v>25.25</v>
      </c>
      <c r="P321" s="17">
        <v>14.4</v>
      </c>
      <c r="Q321" s="17">
        <v>15.15</v>
      </c>
      <c r="R321" s="17">
        <v>15</v>
      </c>
      <c r="S321" s="17">
        <v>15.1</v>
      </c>
      <c r="T321" s="16">
        <f t="shared" si="20"/>
        <v>3750</v>
      </c>
      <c r="U321" s="18">
        <v>-106.37</v>
      </c>
      <c r="V321" s="19">
        <f t="shared" si="21"/>
        <v>-2.8365333333333336E-2</v>
      </c>
      <c r="W321" s="19">
        <f t="shared" si="22"/>
        <v>6.6666666666665986E-3</v>
      </c>
      <c r="X321" s="19">
        <f t="shared" si="23"/>
        <v>0.68333333333333335</v>
      </c>
      <c r="Y321" s="12" t="s">
        <v>385</v>
      </c>
      <c r="Z321" s="12" t="s">
        <v>70</v>
      </c>
      <c r="AA321" s="18">
        <v>-2267.8000000000002</v>
      </c>
      <c r="AB321" s="17">
        <v>-2.8279999999999998</v>
      </c>
      <c r="AC321" s="12" t="s">
        <v>71</v>
      </c>
      <c r="AD321" s="12" t="str">
        <f t="shared" si="24"/>
        <v>Rs 2+</v>
      </c>
      <c r="AE321" s="20">
        <v>1</v>
      </c>
    </row>
    <row r="322" spans="1:31" x14ac:dyDescent="0.3">
      <c r="A322" s="12" t="s">
        <v>65</v>
      </c>
      <c r="B322" s="12" t="s">
        <v>387</v>
      </c>
      <c r="C322" s="12" t="s">
        <v>388</v>
      </c>
      <c r="D322" s="12" t="s">
        <v>68</v>
      </c>
      <c r="E322" s="13">
        <v>12.1</v>
      </c>
      <c r="F322" s="13">
        <v>28.6</v>
      </c>
      <c r="G322" s="13">
        <v>9.6</v>
      </c>
      <c r="H322" s="14">
        <v>2588.6999999999998</v>
      </c>
      <c r="I322" s="12" t="s">
        <v>389</v>
      </c>
      <c r="J322" s="14">
        <v>2500</v>
      </c>
      <c r="K322" s="15">
        <v>4</v>
      </c>
      <c r="L322" s="16">
        <v>175</v>
      </c>
      <c r="M322" s="16">
        <v>48778</v>
      </c>
      <c r="N322" s="17">
        <v>39.700000000000003</v>
      </c>
      <c r="O322" s="17">
        <v>68.349999999999994</v>
      </c>
      <c r="P322" s="17">
        <v>37.200000000000003</v>
      </c>
      <c r="Q322" s="17">
        <v>51.95</v>
      </c>
      <c r="R322" s="17">
        <v>39.75</v>
      </c>
      <c r="S322" s="17">
        <v>51.9</v>
      </c>
      <c r="T322" s="16">
        <f t="shared" ref="T322:T385" si="25">R322*L322</f>
        <v>6956.25</v>
      </c>
      <c r="U322" s="18">
        <v>1898.08</v>
      </c>
      <c r="V322" s="19">
        <f t="shared" ref="V322:V385" si="26">U322/T322</f>
        <v>0.27285965858041328</v>
      </c>
      <c r="W322" s="19">
        <f t="shared" ref="W322:W385" si="27">S322/R322-1</f>
        <v>0.3056603773584905</v>
      </c>
      <c r="X322" s="19">
        <f t="shared" ref="X322:X385" si="28">IF(O322="","",O322/R322-1)</f>
        <v>0.71949685534591179</v>
      </c>
      <c r="Y322" s="12" t="s">
        <v>390</v>
      </c>
      <c r="Z322" s="12" t="s">
        <v>84</v>
      </c>
      <c r="AA322" s="18">
        <v>-1430.52</v>
      </c>
      <c r="AB322" s="17">
        <v>1.617</v>
      </c>
      <c r="AC322" s="12" t="s">
        <v>71</v>
      </c>
      <c r="AD322" s="12" t="str">
        <f t="shared" ref="AD322:AD385" si="29">IF(R322&lt;1,"under Rs 1",IF(R322&lt;2,"Rs 1-2","Rs 2+"))</f>
        <v>Rs 2+</v>
      </c>
      <c r="AE322" s="20">
        <v>1</v>
      </c>
    </row>
    <row r="323" spans="1:31" x14ac:dyDescent="0.3">
      <c r="A323" s="12" t="s">
        <v>343</v>
      </c>
      <c r="B323" s="12" t="s">
        <v>391</v>
      </c>
      <c r="C323" s="12" t="s">
        <v>392</v>
      </c>
      <c r="D323" s="12" t="s">
        <v>68</v>
      </c>
      <c r="E323" s="13">
        <v>10.7</v>
      </c>
      <c r="F323" s="13">
        <v>2.7</v>
      </c>
      <c r="G323" s="13">
        <v>0.5</v>
      </c>
      <c r="H323" s="14">
        <v>799.9</v>
      </c>
      <c r="I323" s="12" t="s">
        <v>389</v>
      </c>
      <c r="J323" s="14">
        <v>790</v>
      </c>
      <c r="K323" s="15">
        <v>2</v>
      </c>
      <c r="L323" s="16">
        <v>550</v>
      </c>
      <c r="M323" s="16">
        <v>24579</v>
      </c>
      <c r="N323" s="17">
        <v>10.5</v>
      </c>
      <c r="O323" s="17">
        <v>13.05</v>
      </c>
      <c r="P323" s="17">
        <v>7.3</v>
      </c>
      <c r="Q323" s="17">
        <v>11.1</v>
      </c>
      <c r="R323" s="17">
        <v>10.55</v>
      </c>
      <c r="S323" s="17">
        <v>11.05</v>
      </c>
      <c r="T323" s="16">
        <f t="shared" si="25"/>
        <v>5802.5</v>
      </c>
      <c r="U323" s="18">
        <v>94.71</v>
      </c>
      <c r="V323" s="19">
        <f t="shared" si="26"/>
        <v>1.6322274881516587E-2</v>
      </c>
      <c r="W323" s="19">
        <f t="shared" si="27"/>
        <v>4.7393364928909998E-2</v>
      </c>
      <c r="X323" s="19">
        <f t="shared" si="28"/>
        <v>0.23696682464454977</v>
      </c>
      <c r="Y323" s="12" t="s">
        <v>393</v>
      </c>
      <c r="Z323" s="12" t="s">
        <v>70</v>
      </c>
      <c r="AA323" s="18">
        <v>-3899.59</v>
      </c>
      <c r="AB323" s="17">
        <v>0.20699999999999999</v>
      </c>
      <c r="AC323" s="12" t="s">
        <v>71</v>
      </c>
      <c r="AD323" s="12" t="str">
        <f t="shared" si="29"/>
        <v>Rs 2+</v>
      </c>
      <c r="AE323" s="20">
        <v>1</v>
      </c>
    </row>
    <row r="324" spans="1:31" x14ac:dyDescent="0.3">
      <c r="A324" s="12" t="s">
        <v>109</v>
      </c>
      <c r="B324" s="12" t="s">
        <v>391</v>
      </c>
      <c r="C324" s="12" t="s">
        <v>392</v>
      </c>
      <c r="D324" s="12" t="s">
        <v>68</v>
      </c>
      <c r="E324" s="13">
        <v>45.4</v>
      </c>
      <c r="F324" s="13">
        <v>13.1</v>
      </c>
      <c r="G324" s="13">
        <v>0.5</v>
      </c>
      <c r="H324" s="14">
        <v>20.190000000000001</v>
      </c>
      <c r="I324" s="12" t="s">
        <v>389</v>
      </c>
      <c r="J324" s="14">
        <v>19</v>
      </c>
      <c r="K324" s="15">
        <v>1</v>
      </c>
      <c r="L324" s="16">
        <v>31100</v>
      </c>
      <c r="M324" s="16">
        <v>2872</v>
      </c>
      <c r="N324" s="17">
        <v>0.1</v>
      </c>
      <c r="O324" s="17">
        <v>0.12</v>
      </c>
      <c r="P324" s="17">
        <v>0.06</v>
      </c>
      <c r="Q324" s="17">
        <v>0.11</v>
      </c>
      <c r="R324" s="17">
        <v>0.15</v>
      </c>
      <c r="S324" s="17">
        <v>0.06</v>
      </c>
      <c r="T324" s="16">
        <f t="shared" si="25"/>
        <v>4665</v>
      </c>
      <c r="U324" s="18">
        <v>-2982.5</v>
      </c>
      <c r="V324" s="19">
        <f t="shared" si="26"/>
        <v>-0.63933547695605575</v>
      </c>
      <c r="W324" s="19">
        <f t="shared" si="27"/>
        <v>-0.6</v>
      </c>
      <c r="X324" s="19">
        <f t="shared" si="28"/>
        <v>-0.19999999999999996</v>
      </c>
      <c r="Y324" s="12" t="s">
        <v>391</v>
      </c>
      <c r="Z324" s="12" t="s">
        <v>70</v>
      </c>
      <c r="AA324" s="18">
        <v>-2982.5</v>
      </c>
      <c r="AB324" s="17">
        <v>3.8759999999999999</v>
      </c>
      <c r="AC324" s="12" t="s">
        <v>102</v>
      </c>
      <c r="AD324" s="12" t="str">
        <f t="shared" si="29"/>
        <v>under Rs 1</v>
      </c>
      <c r="AE324" s="20">
        <v>1</v>
      </c>
    </row>
    <row r="325" spans="1:31" x14ac:dyDescent="0.3">
      <c r="A325" s="12" t="s">
        <v>302</v>
      </c>
      <c r="B325" s="12" t="s">
        <v>393</v>
      </c>
      <c r="C325" s="12" t="s">
        <v>391</v>
      </c>
      <c r="D325" s="12" t="s">
        <v>68</v>
      </c>
      <c r="E325" s="13">
        <v>19.2</v>
      </c>
      <c r="F325" s="13">
        <v>26</v>
      </c>
      <c r="G325" s="13">
        <v>7.9</v>
      </c>
      <c r="H325" s="14">
        <v>906.75</v>
      </c>
      <c r="I325" s="12" t="s">
        <v>389</v>
      </c>
      <c r="J325" s="14">
        <v>910</v>
      </c>
      <c r="K325" s="15">
        <v>0</v>
      </c>
      <c r="L325" s="16">
        <v>650</v>
      </c>
      <c r="M325" s="16">
        <v>2125</v>
      </c>
      <c r="N325" s="17">
        <v>8.0500000000000007</v>
      </c>
      <c r="O325" s="17">
        <v>8.0500000000000007</v>
      </c>
      <c r="P325" s="17">
        <v>2.6</v>
      </c>
      <c r="Q325" s="17">
        <v>3.95</v>
      </c>
      <c r="R325" s="17">
        <v>8.1</v>
      </c>
      <c r="S325" s="17">
        <v>3.9</v>
      </c>
      <c r="T325" s="16">
        <f t="shared" si="25"/>
        <v>5265</v>
      </c>
      <c r="U325" s="18">
        <v>-3018.44</v>
      </c>
      <c r="V325" s="19">
        <f t="shared" si="26"/>
        <v>-0.57330294396961068</v>
      </c>
      <c r="W325" s="19">
        <f t="shared" si="27"/>
        <v>-0.51851851851851849</v>
      </c>
      <c r="X325" s="19">
        <f t="shared" si="28"/>
        <v>-6.1728395061727559E-3</v>
      </c>
      <c r="Y325" s="12" t="s">
        <v>393</v>
      </c>
      <c r="Z325" s="12" t="s">
        <v>70</v>
      </c>
      <c r="AA325" s="18">
        <v>-3018.44</v>
      </c>
      <c r="AB325" s="17">
        <v>-3.117</v>
      </c>
      <c r="AC325" s="12" t="s">
        <v>71</v>
      </c>
      <c r="AD325" s="12" t="str">
        <f t="shared" si="29"/>
        <v>Rs 2+</v>
      </c>
      <c r="AE325" s="20">
        <v>1</v>
      </c>
    </row>
    <row r="326" spans="1:31" x14ac:dyDescent="0.3">
      <c r="A326" s="12" t="s">
        <v>366</v>
      </c>
      <c r="B326" s="12" t="s">
        <v>394</v>
      </c>
      <c r="C326" s="12" t="s">
        <v>393</v>
      </c>
      <c r="D326" s="12" t="s">
        <v>68</v>
      </c>
      <c r="E326" s="13">
        <v>27.2</v>
      </c>
      <c r="F326" s="13">
        <v>11.3</v>
      </c>
      <c r="G326" s="13">
        <v>22.6</v>
      </c>
      <c r="H326" s="14">
        <v>1379.8</v>
      </c>
      <c r="I326" s="12" t="s">
        <v>389</v>
      </c>
      <c r="J326" s="14">
        <v>1360</v>
      </c>
      <c r="K326" s="15">
        <v>2</v>
      </c>
      <c r="L326" s="16">
        <v>500</v>
      </c>
      <c r="M326" s="16">
        <v>4651</v>
      </c>
      <c r="N326" s="17">
        <v>11.15</v>
      </c>
      <c r="O326" s="17">
        <v>13.55</v>
      </c>
      <c r="P326" s="17">
        <v>4.55</v>
      </c>
      <c r="Q326" s="17">
        <v>6.05</v>
      </c>
      <c r="R326" s="17">
        <v>11.2</v>
      </c>
      <c r="S326" s="17">
        <v>6</v>
      </c>
      <c r="T326" s="16">
        <f t="shared" si="25"/>
        <v>5600</v>
      </c>
      <c r="U326" s="18">
        <v>-2741.49</v>
      </c>
      <c r="V326" s="19">
        <f t="shared" si="26"/>
        <v>-0.48955178571428565</v>
      </c>
      <c r="W326" s="19">
        <f t="shared" si="27"/>
        <v>-0.4642857142857143</v>
      </c>
      <c r="X326" s="19">
        <f t="shared" si="28"/>
        <v>0.2098214285714286</v>
      </c>
      <c r="Y326" s="12" t="s">
        <v>394</v>
      </c>
      <c r="Z326" s="12" t="s">
        <v>70</v>
      </c>
      <c r="AA326" s="18">
        <v>-2741.49</v>
      </c>
      <c r="AB326" s="17">
        <v>-0.34499999999999997</v>
      </c>
      <c r="AC326" s="12" t="s">
        <v>71</v>
      </c>
      <c r="AD326" s="12" t="str">
        <f t="shared" si="29"/>
        <v>Rs 2+</v>
      </c>
      <c r="AE326" s="20">
        <v>1</v>
      </c>
    </row>
    <row r="327" spans="1:31" x14ac:dyDescent="0.3">
      <c r="A327" s="12" t="s">
        <v>92</v>
      </c>
      <c r="B327" s="12" t="s">
        <v>394</v>
      </c>
      <c r="C327" s="12" t="s">
        <v>393</v>
      </c>
      <c r="D327" s="12" t="s">
        <v>68</v>
      </c>
      <c r="E327" s="13">
        <v>33.700000000000003</v>
      </c>
      <c r="F327" s="13">
        <v>20.399999999999999</v>
      </c>
      <c r="G327" s="13">
        <v>25.1</v>
      </c>
      <c r="H327" s="14">
        <v>5330</v>
      </c>
      <c r="I327" s="12" t="s">
        <v>389</v>
      </c>
      <c r="J327" s="14">
        <v>5000</v>
      </c>
      <c r="K327" s="15">
        <v>7</v>
      </c>
      <c r="L327" s="16">
        <v>100</v>
      </c>
      <c r="M327" s="16">
        <v>14750</v>
      </c>
      <c r="N327" s="17">
        <v>70</v>
      </c>
      <c r="O327" s="17">
        <v>95.5</v>
      </c>
      <c r="P327" s="17">
        <v>59.05</v>
      </c>
      <c r="Q327" s="17">
        <v>72.3</v>
      </c>
      <c r="R327" s="17">
        <v>70.05</v>
      </c>
      <c r="S327" s="17">
        <v>72.25</v>
      </c>
      <c r="T327" s="16">
        <f t="shared" si="25"/>
        <v>7005</v>
      </c>
      <c r="U327" s="18">
        <v>-128.84</v>
      </c>
      <c r="V327" s="19">
        <f t="shared" si="26"/>
        <v>-1.8392576730906496E-2</v>
      </c>
      <c r="W327" s="19">
        <f t="shared" si="27"/>
        <v>3.1406138472519718E-2</v>
      </c>
      <c r="X327" s="19">
        <f t="shared" si="28"/>
        <v>0.36331192005710222</v>
      </c>
      <c r="Y327" s="12" t="s">
        <v>395</v>
      </c>
      <c r="Z327" s="12" t="s">
        <v>84</v>
      </c>
      <c r="AA327" s="18">
        <v>8624.9699999999993</v>
      </c>
      <c r="AB327" s="17">
        <v>2.7690000000000001</v>
      </c>
      <c r="AC327" s="12" t="s">
        <v>71</v>
      </c>
      <c r="AD327" s="12" t="str">
        <f t="shared" si="29"/>
        <v>Rs 2+</v>
      </c>
      <c r="AE327" s="20">
        <v>1</v>
      </c>
    </row>
    <row r="328" spans="1:31" x14ac:dyDescent="0.3">
      <c r="A328" s="12" t="s">
        <v>224</v>
      </c>
      <c r="B328" s="12" t="s">
        <v>394</v>
      </c>
      <c r="C328" s="12" t="s">
        <v>393</v>
      </c>
      <c r="D328" s="12" t="s">
        <v>68</v>
      </c>
      <c r="E328" s="13">
        <v>27.8</v>
      </c>
      <c r="F328" s="13">
        <v>102.4</v>
      </c>
      <c r="G328" s="13">
        <v>9.4</v>
      </c>
      <c r="H328" s="14">
        <v>4650.7</v>
      </c>
      <c r="I328" s="12" t="s">
        <v>389</v>
      </c>
      <c r="J328" s="14">
        <v>4450</v>
      </c>
      <c r="K328" s="15">
        <v>4</v>
      </c>
      <c r="L328" s="16">
        <v>100</v>
      </c>
      <c r="M328" s="16">
        <v>5107</v>
      </c>
      <c r="N328" s="17">
        <v>65</v>
      </c>
      <c r="O328" s="17">
        <v>196.75</v>
      </c>
      <c r="P328" s="17">
        <v>62.1</v>
      </c>
      <c r="Q328" s="17">
        <v>189</v>
      </c>
      <c r="R328" s="17">
        <v>65.05</v>
      </c>
      <c r="S328" s="17">
        <v>188.95</v>
      </c>
      <c r="T328" s="16">
        <f t="shared" si="25"/>
        <v>6505</v>
      </c>
      <c r="U328" s="18">
        <v>11541.58</v>
      </c>
      <c r="V328" s="19">
        <f t="shared" si="26"/>
        <v>1.7742628747117601</v>
      </c>
      <c r="W328" s="19">
        <f t="shared" si="27"/>
        <v>1.9046887009992313</v>
      </c>
      <c r="X328" s="19">
        <f t="shared" si="28"/>
        <v>2.0245964642582632</v>
      </c>
      <c r="Y328" s="12" t="s">
        <v>395</v>
      </c>
      <c r="Z328" s="12" t="s">
        <v>111</v>
      </c>
      <c r="AA328" s="18">
        <v>17398.46</v>
      </c>
      <c r="AB328" s="17">
        <v>4.9480000000000004</v>
      </c>
      <c r="AC328" s="12" t="s">
        <v>71</v>
      </c>
      <c r="AD328" s="12" t="str">
        <f t="shared" si="29"/>
        <v>Rs 2+</v>
      </c>
      <c r="AE328" s="20">
        <v>1</v>
      </c>
    </row>
    <row r="329" spans="1:31" x14ac:dyDescent="0.3">
      <c r="A329" s="12" t="s">
        <v>236</v>
      </c>
      <c r="B329" s="12" t="s">
        <v>396</v>
      </c>
      <c r="C329" s="12" t="s">
        <v>394</v>
      </c>
      <c r="D329" s="12" t="s">
        <v>68</v>
      </c>
      <c r="E329" s="13">
        <v>39.9</v>
      </c>
      <c r="F329" s="13">
        <v>141.1</v>
      </c>
      <c r="G329" s="13">
        <v>2.5</v>
      </c>
      <c r="H329" s="14">
        <v>1348.8</v>
      </c>
      <c r="I329" s="12" t="s">
        <v>389</v>
      </c>
      <c r="J329" s="14">
        <v>1260</v>
      </c>
      <c r="K329" s="15">
        <v>9</v>
      </c>
      <c r="L329" s="16">
        <v>500</v>
      </c>
      <c r="M329" s="16">
        <v>7561</v>
      </c>
      <c r="N329" s="17">
        <v>12.75</v>
      </c>
      <c r="O329" s="17">
        <v>33.4</v>
      </c>
      <c r="P329" s="17">
        <v>11.9</v>
      </c>
      <c r="Q329" s="17">
        <v>29.4</v>
      </c>
      <c r="R329" s="17">
        <v>12.8</v>
      </c>
      <c r="S329" s="17">
        <v>29.35</v>
      </c>
      <c r="T329" s="16">
        <f t="shared" si="25"/>
        <v>6400</v>
      </c>
      <c r="U329" s="18">
        <v>7775.25</v>
      </c>
      <c r="V329" s="19">
        <f t="shared" si="26"/>
        <v>1.2148828125</v>
      </c>
      <c r="W329" s="19">
        <f t="shared" si="27"/>
        <v>1.29296875</v>
      </c>
      <c r="X329" s="19">
        <f t="shared" si="28"/>
        <v>1.6093749999999996</v>
      </c>
      <c r="Y329" s="12" t="s">
        <v>395</v>
      </c>
      <c r="Z329" s="12" t="s">
        <v>70</v>
      </c>
      <c r="AA329" s="18">
        <v>-5600</v>
      </c>
      <c r="AB329" s="17">
        <v>2.649</v>
      </c>
      <c r="AC329" s="12" t="s">
        <v>71</v>
      </c>
      <c r="AD329" s="12" t="str">
        <f t="shared" si="29"/>
        <v>Rs 2+</v>
      </c>
      <c r="AE329" s="20">
        <v>1</v>
      </c>
    </row>
    <row r="330" spans="1:31" x14ac:dyDescent="0.3">
      <c r="A330" s="12" t="s">
        <v>75</v>
      </c>
      <c r="B330" s="12" t="s">
        <v>396</v>
      </c>
      <c r="C330" s="12" t="s">
        <v>394</v>
      </c>
      <c r="D330" s="12" t="s">
        <v>68</v>
      </c>
      <c r="E330" s="13">
        <v>30.7</v>
      </c>
      <c r="F330" s="13">
        <v>38.1</v>
      </c>
      <c r="G330" s="13">
        <v>20.3</v>
      </c>
      <c r="H330" s="14">
        <v>8126.5</v>
      </c>
      <c r="I330" s="12" t="s">
        <v>389</v>
      </c>
      <c r="J330" s="14">
        <v>8100</v>
      </c>
      <c r="K330" s="15">
        <v>0</v>
      </c>
      <c r="L330" s="16">
        <v>75</v>
      </c>
      <c r="M330" s="16">
        <v>6300</v>
      </c>
      <c r="N330" s="17">
        <v>80</v>
      </c>
      <c r="O330" s="17">
        <v>120</v>
      </c>
      <c r="P330" s="17">
        <v>12.25</v>
      </c>
      <c r="Q330" s="17">
        <v>18.05</v>
      </c>
      <c r="R330" s="17">
        <v>80.05</v>
      </c>
      <c r="S330" s="17">
        <v>18</v>
      </c>
      <c r="T330" s="16">
        <f t="shared" si="25"/>
        <v>6003.75</v>
      </c>
      <c r="U330" s="18">
        <v>-4853.32</v>
      </c>
      <c r="V330" s="19">
        <f t="shared" si="26"/>
        <v>-0.80838142827399539</v>
      </c>
      <c r="W330" s="19">
        <f t="shared" si="27"/>
        <v>-0.77514053716427234</v>
      </c>
      <c r="X330" s="19">
        <f t="shared" si="28"/>
        <v>0.49906308557151791</v>
      </c>
      <c r="Y330" s="12" t="s">
        <v>396</v>
      </c>
      <c r="Z330" s="12" t="s">
        <v>70</v>
      </c>
      <c r="AA330" s="18">
        <v>-4853.32</v>
      </c>
      <c r="AB330" s="17">
        <v>-4.2880000000000003</v>
      </c>
      <c r="AC330" s="12" t="s">
        <v>71</v>
      </c>
      <c r="AD330" s="12" t="str">
        <f t="shared" si="29"/>
        <v>Rs 2+</v>
      </c>
      <c r="AE330" s="20">
        <v>1</v>
      </c>
    </row>
    <row r="331" spans="1:31" x14ac:dyDescent="0.3">
      <c r="A331" s="12" t="s">
        <v>397</v>
      </c>
      <c r="B331" s="12" t="s">
        <v>396</v>
      </c>
      <c r="C331" s="12" t="s">
        <v>394</v>
      </c>
      <c r="D331" s="12" t="s">
        <v>68</v>
      </c>
      <c r="E331" s="13">
        <v>18.8</v>
      </c>
      <c r="F331" s="13">
        <v>21.3</v>
      </c>
      <c r="G331" s="13">
        <v>12.6</v>
      </c>
      <c r="H331" s="14">
        <v>1462.6</v>
      </c>
      <c r="I331" s="12" t="s">
        <v>389</v>
      </c>
      <c r="J331" s="14">
        <v>1400</v>
      </c>
      <c r="K331" s="15">
        <v>3</v>
      </c>
      <c r="L331" s="16">
        <v>600</v>
      </c>
      <c r="M331" s="16">
        <v>8619</v>
      </c>
      <c r="N331" s="17">
        <v>7.8</v>
      </c>
      <c r="O331" s="17">
        <v>15.55</v>
      </c>
      <c r="P331" s="17">
        <v>4.75</v>
      </c>
      <c r="Q331" s="17">
        <v>11.05</v>
      </c>
      <c r="R331" s="17">
        <v>7.85</v>
      </c>
      <c r="S331" s="17">
        <v>11</v>
      </c>
      <c r="T331" s="16">
        <f t="shared" si="25"/>
        <v>4710</v>
      </c>
      <c r="U331" s="18">
        <v>1714.92</v>
      </c>
      <c r="V331" s="19">
        <f t="shared" si="26"/>
        <v>0.36410191082802551</v>
      </c>
      <c r="W331" s="19">
        <f t="shared" si="27"/>
        <v>0.4012738853503186</v>
      </c>
      <c r="X331" s="19">
        <f t="shared" si="28"/>
        <v>0.98089171974522316</v>
      </c>
      <c r="Y331" s="12" t="s">
        <v>395</v>
      </c>
      <c r="Z331" s="12" t="s">
        <v>84</v>
      </c>
      <c r="AA331" s="18">
        <v>796</v>
      </c>
      <c r="AB331" s="17">
        <v>3.3119999999999998</v>
      </c>
      <c r="AC331" s="12" t="s">
        <v>71</v>
      </c>
      <c r="AD331" s="12" t="str">
        <f t="shared" si="29"/>
        <v>Rs 2+</v>
      </c>
      <c r="AE331" s="20">
        <v>1</v>
      </c>
    </row>
    <row r="332" spans="1:31" x14ac:dyDescent="0.3">
      <c r="A332" s="12" t="s">
        <v>243</v>
      </c>
      <c r="B332" s="12" t="s">
        <v>398</v>
      </c>
      <c r="C332" s="12" t="s">
        <v>396</v>
      </c>
      <c r="D332" s="12" t="s">
        <v>68</v>
      </c>
      <c r="E332" s="13">
        <v>10.8</v>
      </c>
      <c r="F332" s="13">
        <v>8.9</v>
      </c>
      <c r="G332" s="13">
        <v>22.5</v>
      </c>
      <c r="H332" s="14">
        <v>126.92</v>
      </c>
      <c r="I332" s="12" t="s">
        <v>389</v>
      </c>
      <c r="J332" s="14">
        <v>126</v>
      </c>
      <c r="K332" s="15">
        <v>1</v>
      </c>
      <c r="L332" s="16">
        <v>3750</v>
      </c>
      <c r="M332" s="16">
        <v>956</v>
      </c>
      <c r="N332" s="17">
        <v>1.8</v>
      </c>
      <c r="O332" s="17">
        <v>4.43</v>
      </c>
      <c r="P332" s="17">
        <v>1.23</v>
      </c>
      <c r="Q332" s="17">
        <v>3.83</v>
      </c>
      <c r="R332" s="17">
        <v>1.85</v>
      </c>
      <c r="S332" s="17">
        <v>3.78</v>
      </c>
      <c r="T332" s="16">
        <f t="shared" si="25"/>
        <v>6937.5</v>
      </c>
      <c r="U332" s="18">
        <v>6526.58</v>
      </c>
      <c r="V332" s="19">
        <f t="shared" si="26"/>
        <v>0.94076828828828829</v>
      </c>
      <c r="W332" s="19">
        <f t="shared" si="27"/>
        <v>1.0432432432432432</v>
      </c>
      <c r="X332" s="19">
        <f t="shared" si="28"/>
        <v>1.3945945945945941</v>
      </c>
      <c r="Y332" s="12" t="s">
        <v>395</v>
      </c>
      <c r="Z332" s="12" t="s">
        <v>70</v>
      </c>
      <c r="AA332" s="18">
        <v>-4219.1000000000004</v>
      </c>
      <c r="AB332" s="17">
        <v>4.0259999999999998</v>
      </c>
      <c r="AC332" s="12" t="s">
        <v>102</v>
      </c>
      <c r="AD332" s="12" t="str">
        <f t="shared" si="29"/>
        <v>Rs 1-2</v>
      </c>
      <c r="AE332" s="20">
        <v>1</v>
      </c>
    </row>
    <row r="333" spans="1:31" x14ac:dyDescent="0.3">
      <c r="A333" s="12" t="s">
        <v>79</v>
      </c>
      <c r="B333" s="12" t="s">
        <v>398</v>
      </c>
      <c r="C333" s="12" t="s">
        <v>396</v>
      </c>
      <c r="D333" s="12" t="s">
        <v>68</v>
      </c>
      <c r="E333" s="13">
        <v>20.9</v>
      </c>
      <c r="F333" s="13">
        <v>27.6</v>
      </c>
      <c r="G333" s="13">
        <v>13.4</v>
      </c>
      <c r="H333" s="14">
        <v>1241</v>
      </c>
      <c r="I333" s="12" t="s">
        <v>389</v>
      </c>
      <c r="J333" s="14">
        <v>1180</v>
      </c>
      <c r="K333" s="15">
        <v>6</v>
      </c>
      <c r="L333" s="16">
        <v>400</v>
      </c>
      <c r="M333" s="16">
        <v>43169</v>
      </c>
      <c r="N333" s="17">
        <v>14</v>
      </c>
      <c r="O333" s="17">
        <v>32.5</v>
      </c>
      <c r="P333" s="17">
        <v>3.9</v>
      </c>
      <c r="Q333" s="17">
        <v>27.3</v>
      </c>
      <c r="R333" s="17">
        <v>14.05</v>
      </c>
      <c r="S333" s="17">
        <v>27.25</v>
      </c>
      <c r="T333" s="16">
        <f t="shared" si="25"/>
        <v>5620</v>
      </c>
      <c r="U333" s="18">
        <v>5044.13</v>
      </c>
      <c r="V333" s="19">
        <f t="shared" si="26"/>
        <v>0.89753202846975089</v>
      </c>
      <c r="W333" s="19">
        <f t="shared" si="27"/>
        <v>0.93950177935943047</v>
      </c>
      <c r="X333" s="19">
        <f t="shared" si="28"/>
        <v>1.3131672597864767</v>
      </c>
      <c r="Y333" s="12" t="s">
        <v>395</v>
      </c>
      <c r="Z333" s="12" t="s">
        <v>84</v>
      </c>
      <c r="AA333" s="18">
        <v>-1121.49</v>
      </c>
      <c r="AB333" s="17">
        <v>3.7829999999999999</v>
      </c>
      <c r="AC333" s="12" t="s">
        <v>71</v>
      </c>
      <c r="AD333" s="12" t="str">
        <f t="shared" si="29"/>
        <v>Rs 2+</v>
      </c>
      <c r="AE333" s="20">
        <v>1</v>
      </c>
    </row>
    <row r="334" spans="1:31" x14ac:dyDescent="0.3">
      <c r="A334" s="12" t="s">
        <v>399</v>
      </c>
      <c r="B334" s="12" t="s">
        <v>398</v>
      </c>
      <c r="C334" s="12" t="s">
        <v>396</v>
      </c>
      <c r="D334" s="12" t="s">
        <v>68</v>
      </c>
      <c r="E334" s="13">
        <v>22.9</v>
      </c>
      <c r="F334" s="13">
        <v>44.6</v>
      </c>
      <c r="G334" s="13">
        <v>15.6</v>
      </c>
      <c r="H334" s="14">
        <v>4530.8</v>
      </c>
      <c r="I334" s="12" t="s">
        <v>389</v>
      </c>
      <c r="J334" s="14">
        <v>4250</v>
      </c>
      <c r="K334" s="15">
        <v>6</v>
      </c>
      <c r="L334" s="16">
        <v>150</v>
      </c>
      <c r="M334" s="16">
        <v>8510</v>
      </c>
      <c r="N334" s="17">
        <v>27.9</v>
      </c>
      <c r="O334" s="17">
        <v>91.9</v>
      </c>
      <c r="P334" s="17">
        <v>14.1</v>
      </c>
      <c r="Q334" s="17">
        <v>46</v>
      </c>
      <c r="R334" s="17">
        <v>27.95</v>
      </c>
      <c r="S334" s="17">
        <v>45.95</v>
      </c>
      <c r="T334" s="16">
        <f t="shared" si="25"/>
        <v>4192.5</v>
      </c>
      <c r="U334" s="18">
        <v>2526.8200000000002</v>
      </c>
      <c r="V334" s="19">
        <f t="shared" si="26"/>
        <v>0.60270005963029227</v>
      </c>
      <c r="W334" s="19">
        <f t="shared" si="27"/>
        <v>0.64400715563506283</v>
      </c>
      <c r="X334" s="19">
        <f t="shared" si="28"/>
        <v>2.2880143112701257</v>
      </c>
      <c r="Y334" s="12" t="s">
        <v>395</v>
      </c>
      <c r="Z334" s="12" t="s">
        <v>70</v>
      </c>
      <c r="AA334" s="18">
        <v>-2845.86</v>
      </c>
      <c r="AB334" s="17">
        <v>3.552</v>
      </c>
      <c r="AC334" s="12" t="s">
        <v>71</v>
      </c>
      <c r="AD334" s="12" t="str">
        <f t="shared" si="29"/>
        <v>Rs 2+</v>
      </c>
      <c r="AE334" s="20">
        <v>1</v>
      </c>
    </row>
    <row r="335" spans="1:31" x14ac:dyDescent="0.3">
      <c r="A335" s="12" t="s">
        <v>292</v>
      </c>
      <c r="B335" s="12" t="s">
        <v>395</v>
      </c>
      <c r="C335" s="12" t="s">
        <v>398</v>
      </c>
      <c r="D335" s="12" t="s">
        <v>68</v>
      </c>
      <c r="E335" s="13">
        <v>67.599999999999994</v>
      </c>
      <c r="F335" s="13">
        <v>28.5</v>
      </c>
      <c r="G335" s="13">
        <v>49</v>
      </c>
      <c r="H335" s="14">
        <v>588.5</v>
      </c>
      <c r="I335" s="12" t="s">
        <v>400</v>
      </c>
      <c r="J335" s="14">
        <v>530</v>
      </c>
      <c r="K335" s="15">
        <v>6</v>
      </c>
      <c r="L335" s="16">
        <v>1225</v>
      </c>
      <c r="M335" s="16">
        <v>236</v>
      </c>
      <c r="N335" s="17">
        <v>6.3</v>
      </c>
      <c r="O335" s="17">
        <v>6.6</v>
      </c>
      <c r="P335" s="17">
        <v>2.6</v>
      </c>
      <c r="Q335" s="17">
        <v>2.75</v>
      </c>
      <c r="R335" s="17">
        <v>6.35</v>
      </c>
      <c r="S335" s="17">
        <v>2.7</v>
      </c>
      <c r="T335" s="16">
        <f t="shared" si="25"/>
        <v>7778.75</v>
      </c>
      <c r="U335" s="18">
        <v>-4639.16</v>
      </c>
      <c r="V335" s="19">
        <f t="shared" si="26"/>
        <v>-0.59638887996143342</v>
      </c>
      <c r="W335" s="19">
        <f t="shared" si="27"/>
        <v>-0.57480314960629908</v>
      </c>
      <c r="X335" s="19">
        <f t="shared" si="28"/>
        <v>3.937007874015741E-2</v>
      </c>
      <c r="Y335" s="12" t="s">
        <v>395</v>
      </c>
      <c r="Z335" s="12" t="s">
        <v>70</v>
      </c>
      <c r="AA335" s="18">
        <v>-4639.16</v>
      </c>
      <c r="AB335" s="17">
        <v>-3.5960000000000001</v>
      </c>
      <c r="AC335" s="12" t="s">
        <v>71</v>
      </c>
      <c r="AD335" s="12" t="str">
        <f t="shared" si="29"/>
        <v>Rs 2+</v>
      </c>
      <c r="AE335" s="20">
        <v>1</v>
      </c>
    </row>
    <row r="336" spans="1:31" x14ac:dyDescent="0.3">
      <c r="A336" s="12" t="s">
        <v>346</v>
      </c>
      <c r="B336" s="12" t="s">
        <v>395</v>
      </c>
      <c r="C336" s="12" t="s">
        <v>398</v>
      </c>
      <c r="D336" s="12" t="s">
        <v>68</v>
      </c>
      <c r="E336" s="13">
        <v>27.3</v>
      </c>
      <c r="F336" s="13">
        <v>9.6</v>
      </c>
      <c r="G336" s="13">
        <v>18.600000000000001</v>
      </c>
      <c r="H336" s="14">
        <v>290.06</v>
      </c>
      <c r="I336" s="12" t="s">
        <v>400</v>
      </c>
      <c r="J336" s="14">
        <v>260</v>
      </c>
      <c r="K336" s="15">
        <v>6</v>
      </c>
      <c r="L336" s="16">
        <v>2250</v>
      </c>
      <c r="M336" s="16">
        <v>207</v>
      </c>
      <c r="N336" s="17">
        <v>3.5</v>
      </c>
      <c r="O336" s="17">
        <v>4.1100000000000003</v>
      </c>
      <c r="P336" s="17">
        <v>2.1</v>
      </c>
      <c r="Q336" s="17">
        <v>3.59</v>
      </c>
      <c r="R336" s="17">
        <v>3.55</v>
      </c>
      <c r="S336" s="17">
        <v>3.54</v>
      </c>
      <c r="T336" s="16">
        <f t="shared" si="25"/>
        <v>7987.5</v>
      </c>
      <c r="U336" s="18">
        <v>-407.65</v>
      </c>
      <c r="V336" s="19">
        <f t="shared" si="26"/>
        <v>-5.1035993740219089E-2</v>
      </c>
      <c r="W336" s="19">
        <f t="shared" si="27"/>
        <v>-2.8169014084505895E-3</v>
      </c>
      <c r="X336" s="19">
        <f t="shared" si="28"/>
        <v>0.15774647887323967</v>
      </c>
      <c r="Y336" s="12" t="s">
        <v>401</v>
      </c>
      <c r="Z336" s="12" t="s">
        <v>70</v>
      </c>
      <c r="AA336" s="18">
        <v>-3026.46</v>
      </c>
      <c r="AB336" s="17">
        <v>1.34</v>
      </c>
      <c r="AC336" s="12" t="s">
        <v>71</v>
      </c>
      <c r="AD336" s="12" t="str">
        <f t="shared" si="29"/>
        <v>Rs 2+</v>
      </c>
      <c r="AE336" s="20">
        <v>1</v>
      </c>
    </row>
    <row r="337" spans="1:31" x14ac:dyDescent="0.3">
      <c r="A337" s="12" t="s">
        <v>295</v>
      </c>
      <c r="B337" s="12" t="s">
        <v>395</v>
      </c>
      <c r="C337" s="12" t="s">
        <v>402</v>
      </c>
      <c r="D337" s="12" t="s">
        <v>68</v>
      </c>
      <c r="E337" s="13">
        <v>181</v>
      </c>
      <c r="F337" s="13">
        <v>7.2</v>
      </c>
      <c r="G337" s="13">
        <v>7</v>
      </c>
      <c r="H337" s="14">
        <v>321.39999999999998</v>
      </c>
      <c r="I337" s="12" t="s">
        <v>400</v>
      </c>
      <c r="J337" s="14">
        <v>285</v>
      </c>
      <c r="K337" s="15">
        <v>7</v>
      </c>
      <c r="L337" s="16">
        <v>3175</v>
      </c>
      <c r="M337" s="16">
        <v>67</v>
      </c>
      <c r="N337" s="17">
        <v>2.2999999999999998</v>
      </c>
      <c r="O337" s="17">
        <v>3.5</v>
      </c>
      <c r="P337" s="17">
        <v>2.15</v>
      </c>
      <c r="Q337" s="17">
        <v>2.2999999999999998</v>
      </c>
      <c r="R337" s="17">
        <v>2.35</v>
      </c>
      <c r="S337" s="17">
        <v>2.25</v>
      </c>
      <c r="T337" s="16">
        <f t="shared" si="25"/>
        <v>7461.25</v>
      </c>
      <c r="U337" s="18">
        <v>-819.94</v>
      </c>
      <c r="V337" s="19">
        <f t="shared" si="26"/>
        <v>-0.10989311442452673</v>
      </c>
      <c r="W337" s="19">
        <f t="shared" si="27"/>
        <v>-4.2553191489361764E-2</v>
      </c>
      <c r="X337" s="19">
        <f t="shared" si="28"/>
        <v>0.4893617021276595</v>
      </c>
      <c r="Y337" s="12" t="s">
        <v>389</v>
      </c>
      <c r="Z337" s="12" t="s">
        <v>70</v>
      </c>
      <c r="AA337" s="18">
        <v>-4815.66</v>
      </c>
      <c r="AB337" s="17">
        <v>1.635</v>
      </c>
      <c r="AC337" s="12" t="s">
        <v>71</v>
      </c>
      <c r="AD337" s="12" t="str">
        <f t="shared" si="29"/>
        <v>Rs 2+</v>
      </c>
      <c r="AE337" s="20">
        <v>1</v>
      </c>
    </row>
    <row r="338" spans="1:31" x14ac:dyDescent="0.3">
      <c r="A338" s="12" t="s">
        <v>230</v>
      </c>
      <c r="B338" s="12" t="s">
        <v>389</v>
      </c>
      <c r="C338" s="12" t="s">
        <v>395</v>
      </c>
      <c r="D338" s="12" t="s">
        <v>68</v>
      </c>
      <c r="E338" s="13">
        <v>65.2</v>
      </c>
      <c r="F338" s="13">
        <v>24.6</v>
      </c>
      <c r="G338" s="13">
        <v>17.5</v>
      </c>
      <c r="H338" s="14">
        <v>1043</v>
      </c>
      <c r="I338" s="12" t="s">
        <v>400</v>
      </c>
      <c r="J338" s="14">
        <v>930</v>
      </c>
      <c r="K338" s="15">
        <v>11</v>
      </c>
      <c r="L338" s="16">
        <v>1000</v>
      </c>
      <c r="M338" s="16">
        <v>157</v>
      </c>
      <c r="N338" s="17">
        <v>7.65</v>
      </c>
      <c r="O338" s="17">
        <v>7.65</v>
      </c>
      <c r="P338" s="17">
        <v>5.3</v>
      </c>
      <c r="Q338" s="17">
        <v>6.3</v>
      </c>
      <c r="R338" s="17">
        <v>7.7</v>
      </c>
      <c r="S338" s="17">
        <v>6.25</v>
      </c>
      <c r="T338" s="16">
        <f t="shared" si="25"/>
        <v>7700</v>
      </c>
      <c r="U338" s="18">
        <v>-1791.68</v>
      </c>
      <c r="V338" s="19">
        <f t="shared" si="26"/>
        <v>-0.2326857142857143</v>
      </c>
      <c r="W338" s="19">
        <f t="shared" si="27"/>
        <v>-0.18831168831168832</v>
      </c>
      <c r="X338" s="19">
        <f t="shared" si="28"/>
        <v>-6.4935064935064402E-3</v>
      </c>
      <c r="Y338" s="12" t="s">
        <v>401</v>
      </c>
      <c r="Z338" s="12" t="s">
        <v>70</v>
      </c>
      <c r="AA338" s="18">
        <v>-2280.71</v>
      </c>
      <c r="AB338" s="17">
        <v>3.7730000000000001</v>
      </c>
      <c r="AC338" s="12" t="s">
        <v>71</v>
      </c>
      <c r="AD338" s="12" t="str">
        <f t="shared" si="29"/>
        <v>Rs 2+</v>
      </c>
      <c r="AE338" s="20">
        <v>1</v>
      </c>
    </row>
    <row r="339" spans="1:31" x14ac:dyDescent="0.3">
      <c r="A339" s="12" t="s">
        <v>313</v>
      </c>
      <c r="B339" s="12" t="s">
        <v>389</v>
      </c>
      <c r="C339" s="12" t="s">
        <v>395</v>
      </c>
      <c r="D339" s="12" t="s">
        <v>68</v>
      </c>
      <c r="E339" s="13">
        <v>39.6</v>
      </c>
      <c r="F339" s="13">
        <v>32.6</v>
      </c>
      <c r="G339" s="13">
        <v>21.3</v>
      </c>
      <c r="H339" s="14">
        <v>1799.9</v>
      </c>
      <c r="I339" s="12" t="s">
        <v>400</v>
      </c>
      <c r="J339" s="14">
        <v>1680</v>
      </c>
      <c r="K339" s="15">
        <v>6</v>
      </c>
      <c r="L339" s="16">
        <v>350</v>
      </c>
      <c r="M339" s="16">
        <v>92</v>
      </c>
      <c r="N339" s="17">
        <v>16</v>
      </c>
      <c r="O339" s="17">
        <v>37.5</v>
      </c>
      <c r="P339" s="17">
        <v>16</v>
      </c>
      <c r="Q339" s="17">
        <v>28.9</v>
      </c>
      <c r="R339" s="17">
        <v>16.05</v>
      </c>
      <c r="S339" s="17">
        <v>28.85</v>
      </c>
      <c r="T339" s="16">
        <f t="shared" si="25"/>
        <v>5617.5</v>
      </c>
      <c r="U339" s="18">
        <v>4096.5600000000004</v>
      </c>
      <c r="V339" s="19">
        <f t="shared" si="26"/>
        <v>0.7292496662216289</v>
      </c>
      <c r="W339" s="19">
        <f t="shared" si="27"/>
        <v>0.79750778816199386</v>
      </c>
      <c r="X339" s="19">
        <f t="shared" si="28"/>
        <v>1.3364485981308412</v>
      </c>
      <c r="Y339" s="12" t="s">
        <v>401</v>
      </c>
      <c r="Z339" s="12" t="s">
        <v>84</v>
      </c>
      <c r="AA339" s="18">
        <v>-165.42</v>
      </c>
      <c r="AB339" s="17">
        <v>3.1920000000000002</v>
      </c>
      <c r="AC339" s="12" t="s">
        <v>71</v>
      </c>
      <c r="AD339" s="12" t="str">
        <f t="shared" si="29"/>
        <v>Rs 2+</v>
      </c>
      <c r="AE339" s="20">
        <v>1</v>
      </c>
    </row>
    <row r="340" spans="1:31" x14ac:dyDescent="0.3">
      <c r="A340" s="12" t="s">
        <v>118</v>
      </c>
      <c r="B340" s="12" t="s">
        <v>389</v>
      </c>
      <c r="C340" s="12" t="s">
        <v>395</v>
      </c>
      <c r="D340" s="12" t="s">
        <v>68</v>
      </c>
      <c r="E340" s="13">
        <v>14.1</v>
      </c>
      <c r="F340" s="13">
        <v>9.5</v>
      </c>
      <c r="G340" s="13">
        <v>5.6</v>
      </c>
      <c r="H340" s="14">
        <v>670.7</v>
      </c>
      <c r="I340" s="12" t="s">
        <v>400</v>
      </c>
      <c r="J340" s="14">
        <v>610</v>
      </c>
      <c r="K340" s="15">
        <v>6</v>
      </c>
      <c r="L340" s="16">
        <v>800</v>
      </c>
      <c r="M340" s="16">
        <v>311</v>
      </c>
      <c r="N340" s="17">
        <v>9.4499999999999993</v>
      </c>
      <c r="O340" s="17">
        <v>9.65</v>
      </c>
      <c r="P340" s="17">
        <v>5.7</v>
      </c>
      <c r="Q340" s="17">
        <v>7.65</v>
      </c>
      <c r="R340" s="17">
        <v>9.5</v>
      </c>
      <c r="S340" s="17">
        <v>7.6</v>
      </c>
      <c r="T340" s="16">
        <f t="shared" si="25"/>
        <v>7600</v>
      </c>
      <c r="U340" s="18">
        <v>-1855.91</v>
      </c>
      <c r="V340" s="19">
        <f t="shared" si="26"/>
        <v>-0.24419868421052632</v>
      </c>
      <c r="W340" s="19">
        <f t="shared" si="27"/>
        <v>-0.20000000000000007</v>
      </c>
      <c r="X340" s="19">
        <f t="shared" si="28"/>
        <v>1.5789473684210575E-2</v>
      </c>
      <c r="Y340" s="12" t="s">
        <v>403</v>
      </c>
      <c r="Z340" s="12" t="s">
        <v>70</v>
      </c>
      <c r="AA340" s="18">
        <v>-2051.5300000000002</v>
      </c>
      <c r="AB340" s="17">
        <v>0.86499999999999999</v>
      </c>
      <c r="AC340" s="12" t="s">
        <v>71</v>
      </c>
      <c r="AD340" s="12" t="str">
        <f t="shared" si="29"/>
        <v>Rs 2+</v>
      </c>
      <c r="AE340" s="20">
        <v>1</v>
      </c>
    </row>
    <row r="341" spans="1:31" x14ac:dyDescent="0.3">
      <c r="A341" s="12" t="s">
        <v>90</v>
      </c>
      <c r="B341" s="12" t="s">
        <v>389</v>
      </c>
      <c r="C341" s="12" t="s">
        <v>395</v>
      </c>
      <c r="D341" s="12" t="s">
        <v>68</v>
      </c>
      <c r="E341" s="13">
        <v>47.5</v>
      </c>
      <c r="F341" s="13">
        <v>182.7</v>
      </c>
      <c r="G341" s="13">
        <v>16.5</v>
      </c>
      <c r="H341" s="14">
        <v>3692.4</v>
      </c>
      <c r="I341" s="12" t="s">
        <v>400</v>
      </c>
      <c r="J341" s="14">
        <v>3400</v>
      </c>
      <c r="K341" s="15">
        <v>6</v>
      </c>
      <c r="L341" s="16">
        <v>175</v>
      </c>
      <c r="M341" s="16">
        <v>285</v>
      </c>
      <c r="N341" s="17">
        <v>40</v>
      </c>
      <c r="O341" s="17">
        <v>48.55</v>
      </c>
      <c r="P341" s="17">
        <v>28.5</v>
      </c>
      <c r="Q341" s="17">
        <v>44.75</v>
      </c>
      <c r="R341" s="17">
        <v>40.049999999999997</v>
      </c>
      <c r="S341" s="17">
        <v>44.7</v>
      </c>
      <c r="T341" s="16">
        <f t="shared" si="25"/>
        <v>7008.7499999999991</v>
      </c>
      <c r="U341" s="18">
        <v>451.75</v>
      </c>
      <c r="V341" s="19">
        <f t="shared" si="26"/>
        <v>6.4455145354021762E-2</v>
      </c>
      <c r="W341" s="19">
        <f t="shared" si="27"/>
        <v>0.11610486891385774</v>
      </c>
      <c r="X341" s="19">
        <f t="shared" si="28"/>
        <v>0.21223470661672916</v>
      </c>
      <c r="Y341" s="12" t="s">
        <v>401</v>
      </c>
      <c r="Z341" s="12" t="s">
        <v>70</v>
      </c>
      <c r="AA341" s="18">
        <v>-1970.23</v>
      </c>
      <c r="AB341" s="17">
        <v>1.851</v>
      </c>
      <c r="AC341" s="12" t="s">
        <v>71</v>
      </c>
      <c r="AD341" s="12" t="str">
        <f t="shared" si="29"/>
        <v>Rs 2+</v>
      </c>
      <c r="AE341" s="20">
        <v>1</v>
      </c>
    </row>
    <row r="342" spans="1:31" x14ac:dyDescent="0.3">
      <c r="A342" s="12" t="s">
        <v>358</v>
      </c>
      <c r="B342" s="12" t="s">
        <v>389</v>
      </c>
      <c r="C342" s="12" t="s">
        <v>395</v>
      </c>
      <c r="D342" s="12" t="s">
        <v>68</v>
      </c>
      <c r="E342" s="13">
        <v>21.2</v>
      </c>
      <c r="F342" s="13">
        <v>73.5</v>
      </c>
      <c r="G342" s="13">
        <v>11.9</v>
      </c>
      <c r="H342" s="14">
        <v>12010</v>
      </c>
      <c r="I342" s="12" t="s">
        <v>400</v>
      </c>
      <c r="J342" s="14">
        <v>11500</v>
      </c>
      <c r="K342" s="15">
        <v>5</v>
      </c>
      <c r="L342" s="16">
        <v>50</v>
      </c>
      <c r="M342" s="16">
        <v>3380</v>
      </c>
      <c r="N342" s="17">
        <v>159.94999999999999</v>
      </c>
      <c r="O342" s="17">
        <v>236.35</v>
      </c>
      <c r="P342" s="17">
        <v>159.94999999999999</v>
      </c>
      <c r="Q342" s="17">
        <v>223.3</v>
      </c>
      <c r="R342" s="17">
        <v>160</v>
      </c>
      <c r="S342" s="17">
        <v>223.25</v>
      </c>
      <c r="T342" s="16">
        <f t="shared" si="25"/>
        <v>8000</v>
      </c>
      <c r="U342" s="18">
        <v>2898.64</v>
      </c>
      <c r="V342" s="19">
        <f t="shared" si="26"/>
        <v>0.36232999999999999</v>
      </c>
      <c r="W342" s="19">
        <f t="shared" si="27"/>
        <v>0.39531249999999996</v>
      </c>
      <c r="X342" s="19">
        <f t="shared" si="28"/>
        <v>0.47718749999999988</v>
      </c>
      <c r="Y342" s="12" t="s">
        <v>401</v>
      </c>
      <c r="Z342" s="12" t="s">
        <v>84</v>
      </c>
      <c r="AA342" s="18">
        <v>1129.97</v>
      </c>
      <c r="AB342" s="17">
        <v>3.786</v>
      </c>
      <c r="AC342" s="12" t="s">
        <v>71</v>
      </c>
      <c r="AD342" s="12" t="str">
        <f t="shared" si="29"/>
        <v>Rs 2+</v>
      </c>
      <c r="AE342" s="20">
        <v>1</v>
      </c>
    </row>
    <row r="343" spans="1:31" x14ac:dyDescent="0.3">
      <c r="A343" s="12" t="s">
        <v>191</v>
      </c>
      <c r="B343" s="12" t="s">
        <v>389</v>
      </c>
      <c r="C343" s="12" t="s">
        <v>395</v>
      </c>
      <c r="D343" s="12" t="s">
        <v>68</v>
      </c>
      <c r="E343" s="13">
        <v>20.100000000000001</v>
      </c>
      <c r="F343" s="13">
        <v>238</v>
      </c>
      <c r="G343" s="13">
        <v>18.3</v>
      </c>
      <c r="H343" s="14">
        <v>518.85</v>
      </c>
      <c r="I343" s="12" t="s">
        <v>400</v>
      </c>
      <c r="J343" s="14">
        <v>485</v>
      </c>
      <c r="K343" s="15">
        <v>7</v>
      </c>
      <c r="L343" s="16">
        <v>1125</v>
      </c>
      <c r="M343" s="16">
        <v>251</v>
      </c>
      <c r="N343" s="17">
        <v>6.9</v>
      </c>
      <c r="O343" s="17">
        <v>7.55</v>
      </c>
      <c r="P343" s="17">
        <v>5.45</v>
      </c>
      <c r="Q343" s="17">
        <v>6.1</v>
      </c>
      <c r="R343" s="17">
        <v>6.95</v>
      </c>
      <c r="S343" s="17">
        <v>6.05</v>
      </c>
      <c r="T343" s="16">
        <f t="shared" si="25"/>
        <v>7818.75</v>
      </c>
      <c r="U343" s="18">
        <v>-1222.55</v>
      </c>
      <c r="V343" s="19">
        <f t="shared" si="26"/>
        <v>-0.15636131095123901</v>
      </c>
      <c r="W343" s="19">
        <f t="shared" si="27"/>
        <v>-0.12949640287769792</v>
      </c>
      <c r="X343" s="19">
        <f t="shared" si="28"/>
        <v>8.6330935251798468E-2</v>
      </c>
      <c r="Y343" s="12" t="s">
        <v>403</v>
      </c>
      <c r="Z343" s="12" t="s">
        <v>70</v>
      </c>
      <c r="AA343" s="18">
        <v>-2945.5</v>
      </c>
      <c r="AB343" s="17">
        <v>0.56599999999999995</v>
      </c>
      <c r="AC343" s="12" t="s">
        <v>71</v>
      </c>
      <c r="AD343" s="12" t="str">
        <f t="shared" si="29"/>
        <v>Rs 2+</v>
      </c>
      <c r="AE343" s="20">
        <v>1</v>
      </c>
    </row>
    <row r="344" spans="1:31" x14ac:dyDescent="0.3">
      <c r="A344" s="12" t="s">
        <v>123</v>
      </c>
      <c r="B344" s="12" t="s">
        <v>404</v>
      </c>
      <c r="C344" s="12" t="s">
        <v>403</v>
      </c>
      <c r="D344" s="12" t="s">
        <v>68</v>
      </c>
      <c r="E344" s="13">
        <v>22.2</v>
      </c>
      <c r="F344" s="13">
        <v>36.6</v>
      </c>
      <c r="G344" s="13">
        <v>17.100000000000001</v>
      </c>
      <c r="H344" s="14">
        <v>930</v>
      </c>
      <c r="I344" s="12" t="s">
        <v>400</v>
      </c>
      <c r="J344" s="14">
        <v>890</v>
      </c>
      <c r="K344" s="15">
        <v>4</v>
      </c>
      <c r="L344" s="16">
        <v>750</v>
      </c>
      <c r="M344" s="16">
        <v>1814</v>
      </c>
      <c r="N344" s="17">
        <v>9.9499999999999993</v>
      </c>
      <c r="O344" s="17">
        <v>12.6</v>
      </c>
      <c r="P344" s="17">
        <v>5.65</v>
      </c>
      <c r="Q344" s="17">
        <v>11.9</v>
      </c>
      <c r="R344" s="17">
        <v>10</v>
      </c>
      <c r="S344" s="17">
        <v>11.85</v>
      </c>
      <c r="T344" s="16">
        <f t="shared" si="25"/>
        <v>7500</v>
      </c>
      <c r="U344" s="18">
        <v>1155.97</v>
      </c>
      <c r="V344" s="19">
        <f t="shared" si="26"/>
        <v>0.15412933333333334</v>
      </c>
      <c r="W344" s="19">
        <f t="shared" si="27"/>
        <v>0.18500000000000005</v>
      </c>
      <c r="X344" s="19">
        <f t="shared" si="28"/>
        <v>0.26</v>
      </c>
      <c r="Y344" s="12" t="s">
        <v>401</v>
      </c>
      <c r="Z344" s="12" t="s">
        <v>84</v>
      </c>
      <c r="AA344" s="18">
        <v>-1363.64</v>
      </c>
      <c r="AB344" s="17">
        <v>0.84699999999999998</v>
      </c>
      <c r="AC344" s="12" t="s">
        <v>71</v>
      </c>
      <c r="AD344" s="12" t="str">
        <f t="shared" si="29"/>
        <v>Rs 2+</v>
      </c>
      <c r="AE344" s="20">
        <v>1</v>
      </c>
    </row>
    <row r="345" spans="1:31" x14ac:dyDescent="0.3">
      <c r="A345" s="12" t="s">
        <v>189</v>
      </c>
      <c r="B345" s="12" t="s">
        <v>404</v>
      </c>
      <c r="C345" s="12" t="s">
        <v>403</v>
      </c>
      <c r="D345" s="12" t="s">
        <v>68</v>
      </c>
      <c r="E345" s="13">
        <v>22.9</v>
      </c>
      <c r="F345" s="13">
        <v>22.6</v>
      </c>
      <c r="G345" s="13">
        <v>11.8</v>
      </c>
      <c r="H345" s="14">
        <v>284.75</v>
      </c>
      <c r="I345" s="12" t="s">
        <v>400</v>
      </c>
      <c r="J345" s="14">
        <v>267.5</v>
      </c>
      <c r="K345" s="15">
        <v>7</v>
      </c>
      <c r="L345" s="16">
        <v>2500</v>
      </c>
      <c r="M345" s="16">
        <v>60</v>
      </c>
      <c r="N345" s="17">
        <v>2.85</v>
      </c>
      <c r="O345" s="17">
        <v>3.8</v>
      </c>
      <c r="P345" s="17">
        <v>2.35</v>
      </c>
      <c r="Q345" s="17">
        <v>2.5</v>
      </c>
      <c r="R345" s="17">
        <v>2.9</v>
      </c>
      <c r="S345" s="17">
        <v>2.4500000000000002</v>
      </c>
      <c r="T345" s="16">
        <f t="shared" si="25"/>
        <v>7250</v>
      </c>
      <c r="U345" s="18">
        <v>-1454.74</v>
      </c>
      <c r="V345" s="19">
        <f t="shared" si="26"/>
        <v>-0.20065379310344827</v>
      </c>
      <c r="W345" s="19">
        <f t="shared" si="27"/>
        <v>-0.15517241379310331</v>
      </c>
      <c r="X345" s="19">
        <f t="shared" si="28"/>
        <v>0.31034482758620685</v>
      </c>
      <c r="Y345" s="12" t="s">
        <v>401</v>
      </c>
      <c r="Z345" s="12" t="s">
        <v>70</v>
      </c>
      <c r="AA345" s="18">
        <v>-3899.93</v>
      </c>
      <c r="AB345" s="17">
        <v>-0.79</v>
      </c>
      <c r="AC345" s="12" t="s">
        <v>71</v>
      </c>
      <c r="AD345" s="12" t="str">
        <f t="shared" si="29"/>
        <v>Rs 2+</v>
      </c>
      <c r="AE345" s="20">
        <v>1</v>
      </c>
    </row>
    <row r="346" spans="1:31" x14ac:dyDescent="0.3">
      <c r="A346" s="12" t="s">
        <v>405</v>
      </c>
      <c r="B346" s="12" t="s">
        <v>404</v>
      </c>
      <c r="C346" s="12" t="s">
        <v>403</v>
      </c>
      <c r="D346" s="12" t="s">
        <v>77</v>
      </c>
      <c r="E346" s="13">
        <v>-35.9</v>
      </c>
      <c r="F346" s="13">
        <v>-31.4</v>
      </c>
      <c r="G346" s="13">
        <v>8.1999999999999993</v>
      </c>
      <c r="H346" s="14">
        <v>20985</v>
      </c>
      <c r="I346" s="12" t="s">
        <v>400</v>
      </c>
      <c r="J346" s="14">
        <v>24500</v>
      </c>
      <c r="K346" s="15">
        <v>7</v>
      </c>
      <c r="L346" s="16">
        <v>25</v>
      </c>
      <c r="M346" s="16">
        <v>89</v>
      </c>
      <c r="N346" s="17">
        <v>256.14999999999998</v>
      </c>
      <c r="O346" s="17">
        <v>256.14999999999998</v>
      </c>
      <c r="P346" s="17">
        <v>87.55</v>
      </c>
      <c r="Q346" s="17">
        <v>125.4</v>
      </c>
      <c r="R346" s="17">
        <v>256.2</v>
      </c>
      <c r="S346" s="17">
        <v>125.35</v>
      </c>
      <c r="T346" s="16">
        <f t="shared" si="25"/>
        <v>6405</v>
      </c>
      <c r="U346" s="18">
        <v>-3613.51</v>
      </c>
      <c r="V346" s="19">
        <f t="shared" si="26"/>
        <v>-0.56417017954722881</v>
      </c>
      <c r="W346" s="19">
        <f t="shared" si="27"/>
        <v>-0.51073380171740834</v>
      </c>
      <c r="X346" s="19">
        <f t="shared" si="28"/>
        <v>-1.9516003122566072E-4</v>
      </c>
      <c r="Y346" s="12" t="s">
        <v>404</v>
      </c>
      <c r="Z346" s="12" t="s">
        <v>70</v>
      </c>
      <c r="AA346" s="18">
        <v>-3613.51</v>
      </c>
      <c r="AB346" s="17">
        <v>-3.613</v>
      </c>
      <c r="AC346" s="12" t="s">
        <v>71</v>
      </c>
      <c r="AD346" s="12" t="str">
        <f t="shared" si="29"/>
        <v>Rs 2+</v>
      </c>
      <c r="AE346" s="20">
        <v>1</v>
      </c>
    </row>
    <row r="347" spans="1:31" x14ac:dyDescent="0.3">
      <c r="A347" s="12" t="s">
        <v>98</v>
      </c>
      <c r="B347" s="12" t="s">
        <v>404</v>
      </c>
      <c r="C347" s="12" t="s">
        <v>403</v>
      </c>
      <c r="D347" s="12" t="s">
        <v>68</v>
      </c>
      <c r="E347" s="13">
        <v>14.1</v>
      </c>
      <c r="F347" s="13">
        <v>15.3</v>
      </c>
      <c r="G347" s="13">
        <v>14.4</v>
      </c>
      <c r="H347" s="14">
        <v>2250.6999999999998</v>
      </c>
      <c r="I347" s="12" t="s">
        <v>400</v>
      </c>
      <c r="J347" s="14">
        <v>2100</v>
      </c>
      <c r="K347" s="15">
        <v>8</v>
      </c>
      <c r="L347" s="16">
        <v>275</v>
      </c>
      <c r="M347" s="16">
        <v>1198</v>
      </c>
      <c r="N347" s="17">
        <v>28</v>
      </c>
      <c r="O347" s="17">
        <v>38.25</v>
      </c>
      <c r="P347" s="17">
        <v>17.95</v>
      </c>
      <c r="Q347" s="17">
        <v>25.5</v>
      </c>
      <c r="R347" s="17">
        <v>28.05</v>
      </c>
      <c r="S347" s="17">
        <v>25.45</v>
      </c>
      <c r="T347" s="16">
        <f t="shared" si="25"/>
        <v>7713.75</v>
      </c>
      <c r="U347" s="18">
        <v>-1073.3699999999999</v>
      </c>
      <c r="V347" s="19">
        <f t="shared" si="26"/>
        <v>-0.13915021876519201</v>
      </c>
      <c r="W347" s="19">
        <f t="shared" si="27"/>
        <v>-9.2691622103386884E-2</v>
      </c>
      <c r="X347" s="19">
        <f t="shared" si="28"/>
        <v>0.36363636363636354</v>
      </c>
      <c r="Y347" s="12" t="s">
        <v>401</v>
      </c>
      <c r="Z347" s="12" t="s">
        <v>70</v>
      </c>
      <c r="AA347" s="18">
        <v>-2041.66</v>
      </c>
      <c r="AB347" s="17">
        <v>1.633</v>
      </c>
      <c r="AC347" s="12" t="s">
        <v>71</v>
      </c>
      <c r="AD347" s="12" t="str">
        <f t="shared" si="29"/>
        <v>Rs 2+</v>
      </c>
      <c r="AE347" s="20">
        <v>1</v>
      </c>
    </row>
    <row r="348" spans="1:31" x14ac:dyDescent="0.3">
      <c r="A348" s="12" t="s">
        <v>86</v>
      </c>
      <c r="B348" s="12" t="s">
        <v>401</v>
      </c>
      <c r="C348" s="12" t="s">
        <v>406</v>
      </c>
      <c r="D348" s="12" t="s">
        <v>68</v>
      </c>
      <c r="E348" s="13">
        <v>20.9</v>
      </c>
      <c r="F348" s="13">
        <v>14.3</v>
      </c>
      <c r="G348" s="13">
        <v>13.8</v>
      </c>
      <c r="H348" s="14">
        <v>1905</v>
      </c>
      <c r="I348" s="12" t="s">
        <v>400</v>
      </c>
      <c r="J348" s="14">
        <v>1800</v>
      </c>
      <c r="K348" s="15">
        <v>5</v>
      </c>
      <c r="L348" s="16">
        <v>350</v>
      </c>
      <c r="M348" s="16">
        <v>1794</v>
      </c>
      <c r="N348" s="17">
        <v>18</v>
      </c>
      <c r="O348" s="17">
        <v>40.700000000000003</v>
      </c>
      <c r="P348" s="17">
        <v>15.8</v>
      </c>
      <c r="Q348" s="17">
        <v>24.75</v>
      </c>
      <c r="R348" s="17">
        <v>18.05</v>
      </c>
      <c r="S348" s="17">
        <v>24.7</v>
      </c>
      <c r="T348" s="16">
        <f t="shared" si="25"/>
        <v>6317.5</v>
      </c>
      <c r="U348" s="18">
        <v>1961.6</v>
      </c>
      <c r="V348" s="19">
        <f t="shared" si="26"/>
        <v>0.31050257222002375</v>
      </c>
      <c r="W348" s="19">
        <f t="shared" si="27"/>
        <v>0.36842105263157876</v>
      </c>
      <c r="X348" s="19">
        <f t="shared" si="28"/>
        <v>1.2548476454293631</v>
      </c>
      <c r="Y348" s="12" t="s">
        <v>407</v>
      </c>
      <c r="Z348" s="12" t="s">
        <v>70</v>
      </c>
      <c r="AA348" s="18">
        <v>-1975.17</v>
      </c>
      <c r="AB348" s="17">
        <v>1.9419999999999999</v>
      </c>
      <c r="AC348" s="12" t="s">
        <v>71</v>
      </c>
      <c r="AD348" s="12" t="str">
        <f t="shared" si="29"/>
        <v>Rs 2+</v>
      </c>
      <c r="AE348" s="20">
        <v>1</v>
      </c>
    </row>
    <row r="349" spans="1:31" x14ac:dyDescent="0.3">
      <c r="A349" s="12" t="s">
        <v>192</v>
      </c>
      <c r="B349" s="12" t="s">
        <v>401</v>
      </c>
      <c r="C349" s="12" t="s">
        <v>406</v>
      </c>
      <c r="D349" s="12" t="s">
        <v>77</v>
      </c>
      <c r="E349" s="13">
        <v>-20.5</v>
      </c>
      <c r="F349" s="13">
        <v>-40</v>
      </c>
      <c r="G349" s="13">
        <v>17.100000000000001</v>
      </c>
      <c r="H349" s="14">
        <v>1272</v>
      </c>
      <c r="I349" s="12" t="s">
        <v>400</v>
      </c>
      <c r="J349" s="14">
        <v>1360</v>
      </c>
      <c r="K349" s="15">
        <v>4</v>
      </c>
      <c r="L349" s="16">
        <v>475</v>
      </c>
      <c r="M349" s="16">
        <v>1843</v>
      </c>
      <c r="N349" s="17">
        <v>12.95</v>
      </c>
      <c r="O349" s="17">
        <v>13.45</v>
      </c>
      <c r="P349" s="17">
        <v>8.25</v>
      </c>
      <c r="Q349" s="17">
        <v>9.6999999999999993</v>
      </c>
      <c r="R349" s="17">
        <v>13</v>
      </c>
      <c r="S349" s="17">
        <v>9.65</v>
      </c>
      <c r="T349" s="16">
        <f t="shared" si="25"/>
        <v>6175</v>
      </c>
      <c r="U349" s="18">
        <v>-1972.8</v>
      </c>
      <c r="V349" s="19">
        <f t="shared" si="26"/>
        <v>-0.31948178137651823</v>
      </c>
      <c r="W349" s="19">
        <f t="shared" si="27"/>
        <v>-0.25769230769230766</v>
      </c>
      <c r="X349" s="19">
        <f t="shared" si="28"/>
        <v>3.4615384615384492E-2</v>
      </c>
      <c r="Y349" s="12" t="s">
        <v>401</v>
      </c>
      <c r="Z349" s="12" t="s">
        <v>70</v>
      </c>
      <c r="AA349" s="18">
        <v>-1972.8</v>
      </c>
      <c r="AB349" s="17">
        <v>-1.425</v>
      </c>
      <c r="AC349" s="12" t="s">
        <v>71</v>
      </c>
      <c r="AD349" s="12" t="str">
        <f t="shared" si="29"/>
        <v>Rs 2+</v>
      </c>
      <c r="AE349" s="20">
        <v>1</v>
      </c>
    </row>
    <row r="350" spans="1:31" x14ac:dyDescent="0.3">
      <c r="A350" s="12" t="s">
        <v>138</v>
      </c>
      <c r="B350" s="12" t="s">
        <v>401</v>
      </c>
      <c r="C350" s="12" t="s">
        <v>404</v>
      </c>
      <c r="D350" s="12" t="s">
        <v>68</v>
      </c>
      <c r="E350" s="13">
        <v>30.6</v>
      </c>
      <c r="F350" s="13">
        <v>27.5</v>
      </c>
      <c r="G350" s="13">
        <v>19.5</v>
      </c>
      <c r="H350" s="14">
        <v>1562.3</v>
      </c>
      <c r="I350" s="12" t="s">
        <v>400</v>
      </c>
      <c r="J350" s="14">
        <v>1460</v>
      </c>
      <c r="K350" s="15">
        <v>5</v>
      </c>
      <c r="L350" s="16">
        <v>625</v>
      </c>
      <c r="M350" s="16">
        <v>164</v>
      </c>
      <c r="N350" s="17">
        <v>12.45</v>
      </c>
      <c r="O350" s="17">
        <v>12.45</v>
      </c>
      <c r="P350" s="17">
        <v>6.1</v>
      </c>
      <c r="Q350" s="17">
        <v>6.95</v>
      </c>
      <c r="R350" s="17">
        <v>12.5</v>
      </c>
      <c r="S350" s="17">
        <v>6.9</v>
      </c>
      <c r="T350" s="16">
        <f t="shared" si="25"/>
        <v>7812.5</v>
      </c>
      <c r="U350" s="18">
        <v>-3680.25</v>
      </c>
      <c r="V350" s="19">
        <f t="shared" si="26"/>
        <v>-0.47107199999999999</v>
      </c>
      <c r="W350" s="19">
        <f t="shared" si="27"/>
        <v>-0.44799999999999995</v>
      </c>
      <c r="X350" s="19">
        <f t="shared" si="28"/>
        <v>-4.0000000000000036E-3</v>
      </c>
      <c r="Y350" s="12" t="s">
        <v>401</v>
      </c>
      <c r="Z350" s="12" t="s">
        <v>70</v>
      </c>
      <c r="AA350" s="18">
        <v>-3680.25</v>
      </c>
      <c r="AB350" s="17">
        <v>-4.774</v>
      </c>
      <c r="AC350" s="12" t="s">
        <v>71</v>
      </c>
      <c r="AD350" s="12" t="str">
        <f t="shared" si="29"/>
        <v>Rs 2+</v>
      </c>
      <c r="AE350" s="20">
        <v>1</v>
      </c>
    </row>
    <row r="351" spans="1:31" x14ac:dyDescent="0.3">
      <c r="A351" s="12" t="s">
        <v>103</v>
      </c>
      <c r="B351" s="12" t="s">
        <v>401</v>
      </c>
      <c r="C351" s="12" t="s">
        <v>404</v>
      </c>
      <c r="D351" s="12" t="s">
        <v>68</v>
      </c>
      <c r="E351" s="13">
        <v>21.2</v>
      </c>
      <c r="F351" s="13">
        <v>12</v>
      </c>
      <c r="G351" s="13">
        <v>5.3</v>
      </c>
      <c r="H351" s="14">
        <v>1100.9000000000001</v>
      </c>
      <c r="I351" s="12" t="s">
        <v>400</v>
      </c>
      <c r="J351" s="14">
        <v>1020</v>
      </c>
      <c r="K351" s="15">
        <v>8</v>
      </c>
      <c r="L351" s="16">
        <v>850</v>
      </c>
      <c r="M351" s="16">
        <v>233</v>
      </c>
      <c r="N351" s="17">
        <v>6.3</v>
      </c>
      <c r="O351" s="17">
        <v>7.5</v>
      </c>
      <c r="P351" s="17">
        <v>3.3</v>
      </c>
      <c r="Q351" s="17">
        <v>3.6</v>
      </c>
      <c r="R351" s="17">
        <v>6.35</v>
      </c>
      <c r="S351" s="17">
        <v>3.55</v>
      </c>
      <c r="T351" s="16">
        <f t="shared" si="25"/>
        <v>5397.5</v>
      </c>
      <c r="U351" s="18">
        <v>-2603.73</v>
      </c>
      <c r="V351" s="19">
        <f t="shared" si="26"/>
        <v>-0.48239555349698937</v>
      </c>
      <c r="W351" s="19">
        <f t="shared" si="27"/>
        <v>-0.44094488188976377</v>
      </c>
      <c r="X351" s="19">
        <f t="shared" si="28"/>
        <v>0.18110236220472453</v>
      </c>
      <c r="Y351" s="12" t="s">
        <v>401</v>
      </c>
      <c r="Z351" s="12" t="s">
        <v>70</v>
      </c>
      <c r="AA351" s="18">
        <v>-2603.73</v>
      </c>
      <c r="AB351" s="17">
        <v>-5.8250000000000002</v>
      </c>
      <c r="AC351" s="12" t="s">
        <v>71</v>
      </c>
      <c r="AD351" s="12" t="str">
        <f t="shared" si="29"/>
        <v>Rs 2+</v>
      </c>
      <c r="AE351" s="20">
        <v>1</v>
      </c>
    </row>
    <row r="352" spans="1:31" x14ac:dyDescent="0.3">
      <c r="A352" s="12" t="s">
        <v>99</v>
      </c>
      <c r="B352" s="12" t="s">
        <v>401</v>
      </c>
      <c r="C352" s="12" t="s">
        <v>404</v>
      </c>
      <c r="D352" s="12" t="s">
        <v>68</v>
      </c>
      <c r="E352" s="13">
        <v>14.2</v>
      </c>
      <c r="F352" s="13">
        <v>24.4</v>
      </c>
      <c r="G352" s="13">
        <v>46.5</v>
      </c>
      <c r="H352" s="14">
        <v>607.25</v>
      </c>
      <c r="I352" s="12" t="s">
        <v>400</v>
      </c>
      <c r="J352" s="14">
        <v>550</v>
      </c>
      <c r="K352" s="15">
        <v>11</v>
      </c>
      <c r="L352" s="16">
        <v>1225</v>
      </c>
      <c r="M352" s="16">
        <v>741</v>
      </c>
      <c r="N352" s="17">
        <v>6</v>
      </c>
      <c r="O352" s="17">
        <v>12.8</v>
      </c>
      <c r="P352" s="17">
        <v>5.95</v>
      </c>
      <c r="Q352" s="17">
        <v>10.15</v>
      </c>
      <c r="R352" s="17">
        <v>6.05</v>
      </c>
      <c r="S352" s="17">
        <v>10.1</v>
      </c>
      <c r="T352" s="16">
        <f t="shared" si="25"/>
        <v>7411.25</v>
      </c>
      <c r="U352" s="18">
        <v>4293.4399999999996</v>
      </c>
      <c r="V352" s="19">
        <f t="shared" si="26"/>
        <v>0.5793138809242705</v>
      </c>
      <c r="W352" s="19">
        <f t="shared" si="27"/>
        <v>0.66942148760330578</v>
      </c>
      <c r="X352" s="19">
        <f t="shared" si="28"/>
        <v>1.115702479338843</v>
      </c>
      <c r="Y352" s="12" t="s">
        <v>407</v>
      </c>
      <c r="Z352" s="12" t="s">
        <v>84</v>
      </c>
      <c r="AA352" s="18">
        <v>-153.68</v>
      </c>
      <c r="AB352" s="17">
        <v>6.2789999999999999</v>
      </c>
      <c r="AC352" s="12" t="s">
        <v>71</v>
      </c>
      <c r="AD352" s="12" t="str">
        <f t="shared" si="29"/>
        <v>Rs 2+</v>
      </c>
      <c r="AE352" s="20">
        <v>1</v>
      </c>
    </row>
    <row r="353" spans="1:31" x14ac:dyDescent="0.3">
      <c r="A353" s="12" t="s">
        <v>371</v>
      </c>
      <c r="B353" s="12" t="s">
        <v>408</v>
      </c>
      <c r="C353" s="12" t="s">
        <v>401</v>
      </c>
      <c r="D353" s="12" t="s">
        <v>68</v>
      </c>
      <c r="E353" s="13">
        <v>31.5</v>
      </c>
      <c r="F353" s="13">
        <v>20.6</v>
      </c>
      <c r="G353" s="13">
        <v>10.199999999999999</v>
      </c>
      <c r="H353" s="14">
        <v>345.9</v>
      </c>
      <c r="I353" s="12" t="s">
        <v>400</v>
      </c>
      <c r="J353" s="14">
        <v>315</v>
      </c>
      <c r="K353" s="15">
        <v>6</v>
      </c>
      <c r="L353" s="16">
        <v>3100</v>
      </c>
      <c r="M353" s="16">
        <v>90</v>
      </c>
      <c r="N353" s="17">
        <v>1.7</v>
      </c>
      <c r="O353" s="17">
        <v>2.1</v>
      </c>
      <c r="P353" s="17">
        <v>1.05</v>
      </c>
      <c r="Q353" s="17">
        <v>1.05</v>
      </c>
      <c r="R353" s="17">
        <v>1.75</v>
      </c>
      <c r="S353" s="17">
        <v>1</v>
      </c>
      <c r="T353" s="16">
        <f t="shared" si="25"/>
        <v>5425</v>
      </c>
      <c r="U353" s="18">
        <v>-2551.1</v>
      </c>
      <c r="V353" s="19">
        <f t="shared" si="26"/>
        <v>-0.47024884792626725</v>
      </c>
      <c r="W353" s="19">
        <f t="shared" si="27"/>
        <v>-0.4285714285714286</v>
      </c>
      <c r="X353" s="19">
        <f t="shared" si="28"/>
        <v>0.19999999999999996</v>
      </c>
      <c r="Y353" s="12" t="s">
        <v>408</v>
      </c>
      <c r="Z353" s="12" t="s">
        <v>70</v>
      </c>
      <c r="AA353" s="18">
        <v>-2551.1</v>
      </c>
      <c r="AB353" s="17">
        <v>-3.931</v>
      </c>
      <c r="AC353" s="12" t="s">
        <v>102</v>
      </c>
      <c r="AD353" s="12" t="str">
        <f t="shared" si="29"/>
        <v>Rs 1-2</v>
      </c>
      <c r="AE353" s="20">
        <v>1</v>
      </c>
    </row>
    <row r="354" spans="1:31" x14ac:dyDescent="0.3">
      <c r="A354" s="12" t="s">
        <v>348</v>
      </c>
      <c r="B354" s="12" t="s">
        <v>408</v>
      </c>
      <c r="C354" s="12" t="s">
        <v>401</v>
      </c>
      <c r="D354" s="12" t="s">
        <v>68</v>
      </c>
      <c r="E354" s="13">
        <v>155.80000000000001</v>
      </c>
      <c r="F354" s="13">
        <v>230.6</v>
      </c>
      <c r="G354" s="13">
        <v>36.9</v>
      </c>
      <c r="H354" s="14">
        <v>377.05</v>
      </c>
      <c r="I354" s="12" t="s">
        <v>400</v>
      </c>
      <c r="J354" s="14">
        <v>342.5</v>
      </c>
      <c r="K354" s="15">
        <v>14</v>
      </c>
      <c r="L354" s="16">
        <v>2625</v>
      </c>
      <c r="M354" s="16">
        <v>60</v>
      </c>
      <c r="N354" s="17">
        <v>1.65</v>
      </c>
      <c r="O354" s="17">
        <v>4</v>
      </c>
      <c r="P354" s="17">
        <v>1.65</v>
      </c>
      <c r="Q354" s="17">
        <v>3.45</v>
      </c>
      <c r="R354" s="17">
        <v>1.7</v>
      </c>
      <c r="S354" s="17">
        <v>3.4</v>
      </c>
      <c r="T354" s="16">
        <f t="shared" si="25"/>
        <v>4462.5</v>
      </c>
      <c r="U354" s="18">
        <v>4128.3999999999996</v>
      </c>
      <c r="V354" s="19">
        <f t="shared" si="26"/>
        <v>0.92513165266106434</v>
      </c>
      <c r="W354" s="19">
        <f t="shared" si="27"/>
        <v>1</v>
      </c>
      <c r="X354" s="19">
        <f t="shared" si="28"/>
        <v>1.3529411764705883</v>
      </c>
      <c r="Y354" s="12" t="s">
        <v>407</v>
      </c>
      <c r="Z354" s="12" t="s">
        <v>84</v>
      </c>
      <c r="AA354" s="18">
        <v>405.58</v>
      </c>
      <c r="AB354" s="17">
        <v>1.3029999999999999</v>
      </c>
      <c r="AC354" s="12" t="s">
        <v>102</v>
      </c>
      <c r="AD354" s="12" t="str">
        <f t="shared" si="29"/>
        <v>Rs 1-2</v>
      </c>
      <c r="AE354" s="20">
        <v>1</v>
      </c>
    </row>
    <row r="355" spans="1:31" x14ac:dyDescent="0.3">
      <c r="A355" s="12" t="s">
        <v>124</v>
      </c>
      <c r="B355" s="12" t="s">
        <v>408</v>
      </c>
      <c r="C355" s="12" t="s">
        <v>401</v>
      </c>
      <c r="D355" s="12" t="s">
        <v>68</v>
      </c>
      <c r="E355" s="13">
        <v>11.2</v>
      </c>
      <c r="F355" s="13">
        <v>0.7</v>
      </c>
      <c r="G355" s="13">
        <v>11</v>
      </c>
      <c r="H355" s="14">
        <v>730.85</v>
      </c>
      <c r="I355" s="12" t="s">
        <v>400</v>
      </c>
      <c r="J355" s="14">
        <v>690</v>
      </c>
      <c r="K355" s="15">
        <v>4</v>
      </c>
      <c r="L355" s="16">
        <v>750</v>
      </c>
      <c r="M355" s="16">
        <v>413</v>
      </c>
      <c r="N355" s="17">
        <v>9.25</v>
      </c>
      <c r="O355" s="17">
        <v>9.25</v>
      </c>
      <c r="P355" s="17">
        <v>1.6</v>
      </c>
      <c r="Q355" s="17">
        <v>1.9</v>
      </c>
      <c r="R355" s="17">
        <v>9.3000000000000007</v>
      </c>
      <c r="S355" s="17">
        <v>1.85</v>
      </c>
      <c r="T355" s="16">
        <f t="shared" si="25"/>
        <v>6975.0000000000009</v>
      </c>
      <c r="U355" s="18">
        <v>-5891.39</v>
      </c>
      <c r="V355" s="19">
        <f t="shared" si="26"/>
        <v>-0.84464372759856621</v>
      </c>
      <c r="W355" s="19">
        <f t="shared" si="27"/>
        <v>-0.80107526881720426</v>
      </c>
      <c r="X355" s="19">
        <f t="shared" si="28"/>
        <v>-5.3763440860216116E-3</v>
      </c>
      <c r="Y355" s="12" t="s">
        <v>408</v>
      </c>
      <c r="Z355" s="12" t="s">
        <v>70</v>
      </c>
      <c r="AA355" s="18">
        <v>-5891.39</v>
      </c>
      <c r="AB355" s="17">
        <v>-8.0489999999999995</v>
      </c>
      <c r="AC355" s="12" t="s">
        <v>71</v>
      </c>
      <c r="AD355" s="12" t="str">
        <f t="shared" si="29"/>
        <v>Rs 2+</v>
      </c>
      <c r="AE355" s="20">
        <v>1</v>
      </c>
    </row>
    <row r="356" spans="1:31" x14ac:dyDescent="0.3">
      <c r="A356" s="12" t="s">
        <v>409</v>
      </c>
      <c r="B356" s="12" t="s">
        <v>408</v>
      </c>
      <c r="C356" s="12" t="s">
        <v>401</v>
      </c>
      <c r="D356" s="12" t="s">
        <v>68</v>
      </c>
      <c r="E356" s="13">
        <v>70.599999999999994</v>
      </c>
      <c r="F356" s="13">
        <v>232.9</v>
      </c>
      <c r="G356" s="13">
        <v>63</v>
      </c>
      <c r="H356" s="14">
        <v>1899.8</v>
      </c>
      <c r="I356" s="12" t="s">
        <v>400</v>
      </c>
      <c r="J356" s="14">
        <v>1800</v>
      </c>
      <c r="K356" s="15">
        <v>5</v>
      </c>
      <c r="L356" s="16">
        <v>275</v>
      </c>
      <c r="M356" s="16">
        <v>5533</v>
      </c>
      <c r="N356" s="17">
        <v>25</v>
      </c>
      <c r="O356" s="17">
        <v>64.3</v>
      </c>
      <c r="P356" s="17">
        <v>25</v>
      </c>
      <c r="Q356" s="17">
        <v>56.9</v>
      </c>
      <c r="R356" s="17">
        <v>25.05</v>
      </c>
      <c r="S356" s="17">
        <v>56.85</v>
      </c>
      <c r="T356" s="16">
        <f t="shared" si="25"/>
        <v>6888.75</v>
      </c>
      <c r="U356" s="18">
        <v>8214.2199999999993</v>
      </c>
      <c r="V356" s="19">
        <f t="shared" si="26"/>
        <v>1.1924108147341679</v>
      </c>
      <c r="W356" s="19">
        <f t="shared" si="27"/>
        <v>1.2694610778443112</v>
      </c>
      <c r="X356" s="19">
        <f t="shared" si="28"/>
        <v>1.5668662674650697</v>
      </c>
      <c r="Y356" s="12" t="s">
        <v>407</v>
      </c>
      <c r="Z356" s="12" t="s">
        <v>84</v>
      </c>
      <c r="AA356" s="18">
        <v>1530.26</v>
      </c>
      <c r="AB356" s="17">
        <v>5.7549999999999999</v>
      </c>
      <c r="AC356" s="12" t="s">
        <v>71</v>
      </c>
      <c r="AD356" s="12" t="str">
        <f t="shared" si="29"/>
        <v>Rs 2+</v>
      </c>
      <c r="AE356" s="20">
        <v>1</v>
      </c>
    </row>
    <row r="357" spans="1:31" x14ac:dyDescent="0.3">
      <c r="A357" s="12" t="s">
        <v>195</v>
      </c>
      <c r="B357" s="12" t="s">
        <v>407</v>
      </c>
      <c r="C357" s="12" t="s">
        <v>408</v>
      </c>
      <c r="D357" s="12" t="s">
        <v>68</v>
      </c>
      <c r="E357" s="13">
        <v>116.8</v>
      </c>
      <c r="F357" s="13">
        <v>124.5</v>
      </c>
      <c r="G357" s="13">
        <v>30.5</v>
      </c>
      <c r="H357" s="14">
        <v>1168.8</v>
      </c>
      <c r="I357" s="12" t="s">
        <v>400</v>
      </c>
      <c r="J357" s="14">
        <v>1160</v>
      </c>
      <c r="K357" s="15">
        <v>0</v>
      </c>
      <c r="L357" s="16">
        <v>375</v>
      </c>
      <c r="M357" s="16">
        <v>6172</v>
      </c>
      <c r="N357" s="17">
        <v>16.149999999999999</v>
      </c>
      <c r="O357" s="17">
        <v>16.2</v>
      </c>
      <c r="P357" s="17">
        <v>4.3</v>
      </c>
      <c r="Q357" s="17">
        <v>4.8</v>
      </c>
      <c r="R357" s="17">
        <v>16.2</v>
      </c>
      <c r="S357" s="17">
        <v>4.75</v>
      </c>
      <c r="T357" s="16">
        <f t="shared" si="25"/>
        <v>6075</v>
      </c>
      <c r="U357" s="18">
        <v>-4504.2299999999996</v>
      </c>
      <c r="V357" s="19">
        <f t="shared" si="26"/>
        <v>-0.74143703703703701</v>
      </c>
      <c r="W357" s="19">
        <f t="shared" si="27"/>
        <v>-0.70679012345679015</v>
      </c>
      <c r="X357" s="19">
        <f t="shared" si="28"/>
        <v>0</v>
      </c>
      <c r="Y357" s="12" t="s">
        <v>407</v>
      </c>
      <c r="Z357" s="12" t="s">
        <v>70</v>
      </c>
      <c r="AA357" s="18">
        <v>-4504.2299999999996</v>
      </c>
      <c r="AB357" s="17">
        <v>-1.522</v>
      </c>
      <c r="AC357" s="12" t="s">
        <v>71</v>
      </c>
      <c r="AD357" s="12" t="str">
        <f t="shared" si="29"/>
        <v>Rs 2+</v>
      </c>
      <c r="AE357" s="20">
        <v>1</v>
      </c>
    </row>
    <row r="358" spans="1:31" x14ac:dyDescent="0.3">
      <c r="A358" s="12" t="s">
        <v>162</v>
      </c>
      <c r="B358" s="12" t="s">
        <v>407</v>
      </c>
      <c r="C358" s="12" t="s">
        <v>408</v>
      </c>
      <c r="D358" s="12" t="s">
        <v>68</v>
      </c>
      <c r="E358" s="13">
        <v>48.5</v>
      </c>
      <c r="F358" s="13">
        <v>4.7</v>
      </c>
      <c r="G358" s="13">
        <v>29.1</v>
      </c>
      <c r="H358" s="14">
        <v>3210.8</v>
      </c>
      <c r="I358" s="12" t="s">
        <v>400</v>
      </c>
      <c r="J358" s="14">
        <v>3140</v>
      </c>
      <c r="K358" s="15">
        <v>4</v>
      </c>
      <c r="L358" s="16">
        <v>200</v>
      </c>
      <c r="M358" s="16">
        <v>1163</v>
      </c>
      <c r="N358" s="17">
        <v>34.549999999999997</v>
      </c>
      <c r="O358" s="17">
        <v>44.65</v>
      </c>
      <c r="P358" s="17">
        <v>27.85</v>
      </c>
      <c r="Q358" s="17">
        <v>28.55</v>
      </c>
      <c r="R358" s="17">
        <v>34.6</v>
      </c>
      <c r="S358" s="17">
        <v>28.5</v>
      </c>
      <c r="T358" s="16">
        <f t="shared" si="25"/>
        <v>6920</v>
      </c>
      <c r="U358" s="18">
        <v>-1407.48</v>
      </c>
      <c r="V358" s="19">
        <f t="shared" si="26"/>
        <v>-0.20339306358381504</v>
      </c>
      <c r="W358" s="19">
        <f t="shared" si="27"/>
        <v>-0.17630057803468213</v>
      </c>
      <c r="X358" s="19">
        <f t="shared" si="28"/>
        <v>0.29046242774566466</v>
      </c>
      <c r="Y358" s="12" t="s">
        <v>410</v>
      </c>
      <c r="Z358" s="12" t="s">
        <v>70</v>
      </c>
      <c r="AA358" s="18">
        <v>-3778.85</v>
      </c>
      <c r="AB358" s="17">
        <v>-1.72</v>
      </c>
      <c r="AC358" s="12" t="s">
        <v>71</v>
      </c>
      <c r="AD358" s="12" t="str">
        <f t="shared" si="29"/>
        <v>Rs 2+</v>
      </c>
      <c r="AE358" s="20">
        <v>1</v>
      </c>
    </row>
    <row r="359" spans="1:31" x14ac:dyDescent="0.3">
      <c r="A359" s="12" t="s">
        <v>349</v>
      </c>
      <c r="B359" s="12" t="s">
        <v>407</v>
      </c>
      <c r="C359" s="12" t="s">
        <v>408</v>
      </c>
      <c r="D359" s="12" t="s">
        <v>68</v>
      </c>
      <c r="E359" s="13">
        <v>10.6</v>
      </c>
      <c r="F359" s="13">
        <v>34.5</v>
      </c>
      <c r="G359" s="13">
        <v>7</v>
      </c>
      <c r="H359" s="14">
        <v>2522.9</v>
      </c>
      <c r="I359" s="12" t="s">
        <v>400</v>
      </c>
      <c r="J359" s="14">
        <v>2500</v>
      </c>
      <c r="K359" s="15">
        <v>1</v>
      </c>
      <c r="L359" s="16">
        <v>200</v>
      </c>
      <c r="M359" s="16">
        <v>7338</v>
      </c>
      <c r="N359" s="17">
        <v>28.25</v>
      </c>
      <c r="O359" s="17">
        <v>42.4</v>
      </c>
      <c r="P359" s="17">
        <v>10</v>
      </c>
      <c r="Q359" s="17">
        <v>11.2</v>
      </c>
      <c r="R359" s="17">
        <v>28.3</v>
      </c>
      <c r="S359" s="17">
        <v>11.15</v>
      </c>
      <c r="T359" s="16">
        <f t="shared" si="25"/>
        <v>5660</v>
      </c>
      <c r="U359" s="18">
        <v>-3641.83</v>
      </c>
      <c r="V359" s="19">
        <f t="shared" si="26"/>
        <v>-0.64343286219081275</v>
      </c>
      <c r="W359" s="19">
        <f t="shared" si="27"/>
        <v>-0.60600706713780916</v>
      </c>
      <c r="X359" s="19">
        <f t="shared" si="28"/>
        <v>0.49823321554770317</v>
      </c>
      <c r="Y359" s="12" t="s">
        <v>407</v>
      </c>
      <c r="Z359" s="12" t="s">
        <v>70</v>
      </c>
      <c r="AA359" s="18">
        <v>-3641.83</v>
      </c>
      <c r="AB359" s="17">
        <v>-4.399</v>
      </c>
      <c r="AC359" s="12" t="s">
        <v>71</v>
      </c>
      <c r="AD359" s="12" t="str">
        <f t="shared" si="29"/>
        <v>Rs 2+</v>
      </c>
      <c r="AE359" s="20">
        <v>1</v>
      </c>
    </row>
    <row r="360" spans="1:31" x14ac:dyDescent="0.3">
      <c r="A360" s="12" t="s">
        <v>219</v>
      </c>
      <c r="B360" s="12" t="s">
        <v>410</v>
      </c>
      <c r="C360" s="12" t="s">
        <v>407</v>
      </c>
      <c r="D360" s="12" t="s">
        <v>68</v>
      </c>
      <c r="E360" s="13">
        <v>93.8</v>
      </c>
      <c r="F360" s="13">
        <v>27</v>
      </c>
      <c r="G360" s="13">
        <v>41</v>
      </c>
      <c r="H360" s="14">
        <v>10319</v>
      </c>
      <c r="I360" s="12" t="s">
        <v>400</v>
      </c>
      <c r="J360" s="14">
        <v>10000</v>
      </c>
      <c r="K360" s="15">
        <v>3</v>
      </c>
      <c r="L360" s="16">
        <v>75</v>
      </c>
      <c r="M360" s="16">
        <v>12941</v>
      </c>
      <c r="N360" s="17">
        <v>102</v>
      </c>
      <c r="O360" s="17">
        <v>158.19999999999999</v>
      </c>
      <c r="P360" s="17">
        <v>46.65</v>
      </c>
      <c r="Q360" s="17">
        <v>49.15</v>
      </c>
      <c r="R360" s="17">
        <v>102.05</v>
      </c>
      <c r="S360" s="17">
        <v>49.1</v>
      </c>
      <c r="T360" s="16">
        <f t="shared" si="25"/>
        <v>7653.75</v>
      </c>
      <c r="U360" s="18">
        <v>-4142.33</v>
      </c>
      <c r="V360" s="19">
        <f t="shared" si="26"/>
        <v>-0.54121574391638083</v>
      </c>
      <c r="W360" s="19">
        <f t="shared" si="27"/>
        <v>-0.51886330230279265</v>
      </c>
      <c r="X360" s="19">
        <f t="shared" si="28"/>
        <v>0.55022048015678582</v>
      </c>
      <c r="Y360" s="12" t="s">
        <v>410</v>
      </c>
      <c r="Z360" s="12" t="s">
        <v>70</v>
      </c>
      <c r="AA360" s="18">
        <v>-4142.33</v>
      </c>
      <c r="AB360" s="17">
        <v>-0.217</v>
      </c>
      <c r="AC360" s="12" t="s">
        <v>71</v>
      </c>
      <c r="AD360" s="12" t="str">
        <f t="shared" si="29"/>
        <v>Rs 2+</v>
      </c>
      <c r="AE360" s="20">
        <v>1</v>
      </c>
    </row>
    <row r="361" spans="1:31" x14ac:dyDescent="0.3">
      <c r="A361" s="12" t="s">
        <v>262</v>
      </c>
      <c r="B361" s="12" t="s">
        <v>410</v>
      </c>
      <c r="C361" s="12" t="s">
        <v>407</v>
      </c>
      <c r="D361" s="12" t="s">
        <v>68</v>
      </c>
      <c r="E361" s="13">
        <v>17.100000000000001</v>
      </c>
      <c r="F361" s="13">
        <v>182</v>
      </c>
      <c r="G361" s="13">
        <v>1.3</v>
      </c>
      <c r="H361" s="14">
        <v>1806.6</v>
      </c>
      <c r="I361" s="12" t="s">
        <v>400</v>
      </c>
      <c r="J361" s="14">
        <v>1660</v>
      </c>
      <c r="K361" s="15">
        <v>7</v>
      </c>
      <c r="L361" s="16">
        <v>325</v>
      </c>
      <c r="M361" s="16">
        <v>196</v>
      </c>
      <c r="N361" s="17">
        <v>22.5</v>
      </c>
      <c r="O361" s="17">
        <v>32.5</v>
      </c>
      <c r="P361" s="17">
        <v>17.5</v>
      </c>
      <c r="Q361" s="17">
        <v>29.4</v>
      </c>
      <c r="R361" s="17">
        <v>22.55</v>
      </c>
      <c r="S361" s="17">
        <v>29.35</v>
      </c>
      <c r="T361" s="16">
        <f t="shared" si="25"/>
        <v>7328.75</v>
      </c>
      <c r="U361" s="18">
        <v>1803.83</v>
      </c>
      <c r="V361" s="19">
        <f t="shared" si="26"/>
        <v>0.2461306498379669</v>
      </c>
      <c r="W361" s="19">
        <f t="shared" si="27"/>
        <v>0.30155210643015518</v>
      </c>
      <c r="X361" s="19">
        <f t="shared" si="28"/>
        <v>0.4412416851441241</v>
      </c>
      <c r="Y361" s="12" t="s">
        <v>411</v>
      </c>
      <c r="Z361" s="12" t="s">
        <v>84</v>
      </c>
      <c r="AA361" s="18">
        <v>4712.3999999999996</v>
      </c>
      <c r="AB361" s="17">
        <v>4.1130000000000004</v>
      </c>
      <c r="AC361" s="12" t="s">
        <v>71</v>
      </c>
      <c r="AD361" s="12" t="str">
        <f t="shared" si="29"/>
        <v>Rs 2+</v>
      </c>
      <c r="AE361" s="20">
        <v>1</v>
      </c>
    </row>
    <row r="362" spans="1:31" x14ac:dyDescent="0.3">
      <c r="A362" s="12" t="s">
        <v>134</v>
      </c>
      <c r="B362" s="12" t="s">
        <v>410</v>
      </c>
      <c r="C362" s="12" t="s">
        <v>407</v>
      </c>
      <c r="D362" s="12" t="s">
        <v>68</v>
      </c>
      <c r="E362" s="13">
        <v>53</v>
      </c>
      <c r="F362" s="13">
        <v>37.9</v>
      </c>
      <c r="G362" s="13">
        <v>36.700000000000003</v>
      </c>
      <c r="H362" s="14">
        <v>1701.8</v>
      </c>
      <c r="I362" s="12" t="s">
        <v>400</v>
      </c>
      <c r="J362" s="14">
        <v>1600</v>
      </c>
      <c r="K362" s="15">
        <v>5</v>
      </c>
      <c r="L362" s="16">
        <v>350</v>
      </c>
      <c r="M362" s="16">
        <v>1900</v>
      </c>
      <c r="N362" s="17">
        <v>20.05</v>
      </c>
      <c r="O362" s="17">
        <v>53.35</v>
      </c>
      <c r="P362" s="17">
        <v>17</v>
      </c>
      <c r="Q362" s="17">
        <v>24.75</v>
      </c>
      <c r="R362" s="17">
        <v>20.100000000000001</v>
      </c>
      <c r="S362" s="17">
        <v>24.7</v>
      </c>
      <c r="T362" s="16">
        <f t="shared" si="25"/>
        <v>7035.0000000000009</v>
      </c>
      <c r="U362" s="18">
        <v>1229.43</v>
      </c>
      <c r="V362" s="19">
        <f t="shared" si="26"/>
        <v>0.17475906183368869</v>
      </c>
      <c r="W362" s="19">
        <f t="shared" si="27"/>
        <v>0.22885572139303467</v>
      </c>
      <c r="X362" s="19">
        <f t="shared" si="28"/>
        <v>1.6542288557213931</v>
      </c>
      <c r="Y362" s="12" t="s">
        <v>412</v>
      </c>
      <c r="Z362" s="12" t="s">
        <v>84</v>
      </c>
      <c r="AA362" s="18">
        <v>3214.94</v>
      </c>
      <c r="AB362" s="17">
        <v>1.859</v>
      </c>
      <c r="AC362" s="12" t="s">
        <v>71</v>
      </c>
      <c r="AD362" s="12" t="str">
        <f t="shared" si="29"/>
        <v>Rs 2+</v>
      </c>
      <c r="AE362" s="20">
        <v>1</v>
      </c>
    </row>
    <row r="363" spans="1:31" x14ac:dyDescent="0.3">
      <c r="A363" s="12" t="s">
        <v>176</v>
      </c>
      <c r="B363" s="12" t="s">
        <v>413</v>
      </c>
      <c r="C363" s="12" t="s">
        <v>410</v>
      </c>
      <c r="D363" s="12" t="s">
        <v>77</v>
      </c>
      <c r="E363" s="13">
        <v>-17.399999999999999</v>
      </c>
      <c r="F363" s="13">
        <v>-14.4</v>
      </c>
      <c r="G363" s="13">
        <v>17.5</v>
      </c>
      <c r="H363" s="14">
        <v>1992.9</v>
      </c>
      <c r="I363" s="12" t="s">
        <v>400</v>
      </c>
      <c r="J363" s="14">
        <v>2180</v>
      </c>
      <c r="K363" s="15">
        <v>9</v>
      </c>
      <c r="L363" s="16">
        <v>500</v>
      </c>
      <c r="M363" s="16">
        <v>280</v>
      </c>
      <c r="N363" s="17">
        <v>13.15</v>
      </c>
      <c r="O363" s="17">
        <v>17.399999999999999</v>
      </c>
      <c r="P363" s="17">
        <v>7.7</v>
      </c>
      <c r="Q363" s="17">
        <v>8.8000000000000007</v>
      </c>
      <c r="R363" s="17">
        <v>13.2</v>
      </c>
      <c r="S363" s="17">
        <v>8.75</v>
      </c>
      <c r="T363" s="16">
        <f t="shared" si="25"/>
        <v>6600</v>
      </c>
      <c r="U363" s="18">
        <v>-2503.06</v>
      </c>
      <c r="V363" s="19">
        <f t="shared" si="26"/>
        <v>-0.37925151515151512</v>
      </c>
      <c r="W363" s="19">
        <f t="shared" si="27"/>
        <v>-0.33712121212121204</v>
      </c>
      <c r="X363" s="19">
        <f t="shared" si="28"/>
        <v>0.31818181818181812</v>
      </c>
      <c r="Y363" s="12" t="s">
        <v>413</v>
      </c>
      <c r="Z363" s="12" t="s">
        <v>70</v>
      </c>
      <c r="AA363" s="18">
        <v>-2503.06</v>
      </c>
      <c r="AB363" s="17">
        <v>-0.98</v>
      </c>
      <c r="AC363" s="12" t="s">
        <v>71</v>
      </c>
      <c r="AD363" s="12" t="str">
        <f t="shared" si="29"/>
        <v>Rs 2+</v>
      </c>
      <c r="AE363" s="20">
        <v>1</v>
      </c>
    </row>
    <row r="364" spans="1:31" x14ac:dyDescent="0.3">
      <c r="A364" s="12" t="s">
        <v>267</v>
      </c>
      <c r="B364" s="12" t="s">
        <v>413</v>
      </c>
      <c r="C364" s="12" t="s">
        <v>410</v>
      </c>
      <c r="D364" s="12" t="s">
        <v>68</v>
      </c>
      <c r="E364" s="13">
        <v>61.1</v>
      </c>
      <c r="F364" s="13">
        <v>33.299999999999997</v>
      </c>
      <c r="G364" s="13">
        <v>84.7</v>
      </c>
      <c r="H364" s="14">
        <v>3963.6</v>
      </c>
      <c r="I364" s="12" t="s">
        <v>400</v>
      </c>
      <c r="J364" s="14">
        <v>3450</v>
      </c>
      <c r="K364" s="15">
        <v>10</v>
      </c>
      <c r="L364" s="16">
        <v>375</v>
      </c>
      <c r="M364" s="16">
        <v>500</v>
      </c>
      <c r="N364" s="17">
        <v>20</v>
      </c>
      <c r="O364" s="17">
        <v>27.05</v>
      </c>
      <c r="P364" s="17">
        <v>13</v>
      </c>
      <c r="Q364" s="17">
        <v>14.65</v>
      </c>
      <c r="R364" s="17">
        <v>20.05</v>
      </c>
      <c r="S364" s="17">
        <v>14.6</v>
      </c>
      <c r="T364" s="16">
        <f t="shared" si="25"/>
        <v>7518.75</v>
      </c>
      <c r="U364" s="18">
        <v>-2364.7399999999998</v>
      </c>
      <c r="V364" s="19">
        <f t="shared" si="26"/>
        <v>-0.31451238570241064</v>
      </c>
      <c r="W364" s="19">
        <f t="shared" si="27"/>
        <v>-0.27182044887780554</v>
      </c>
      <c r="X364" s="19">
        <f t="shared" si="28"/>
        <v>0.3491271820448878</v>
      </c>
      <c r="Y364" s="12" t="s">
        <v>413</v>
      </c>
      <c r="Z364" s="12" t="s">
        <v>70</v>
      </c>
      <c r="AA364" s="18">
        <v>-2364.7399999999998</v>
      </c>
      <c r="AB364" s="17">
        <v>1.4179999999999999</v>
      </c>
      <c r="AC364" s="12" t="s">
        <v>71</v>
      </c>
      <c r="AD364" s="12" t="str">
        <f t="shared" si="29"/>
        <v>Rs 2+</v>
      </c>
      <c r="AE364" s="20">
        <v>1</v>
      </c>
    </row>
    <row r="365" spans="1:31" x14ac:dyDescent="0.3">
      <c r="A365" s="12" t="s">
        <v>260</v>
      </c>
      <c r="B365" s="12" t="s">
        <v>413</v>
      </c>
      <c r="C365" s="12" t="s">
        <v>410</v>
      </c>
      <c r="D365" s="12" t="s">
        <v>68</v>
      </c>
      <c r="E365" s="13">
        <v>87.7</v>
      </c>
      <c r="F365" s="13">
        <v>24.4</v>
      </c>
      <c r="G365" s="13">
        <v>31.9</v>
      </c>
      <c r="H365" s="14">
        <v>2460.1</v>
      </c>
      <c r="I365" s="12" t="s">
        <v>400</v>
      </c>
      <c r="J365" s="14">
        <v>2300</v>
      </c>
      <c r="K365" s="15">
        <v>8</v>
      </c>
      <c r="L365" s="16">
        <v>425</v>
      </c>
      <c r="M365" s="16">
        <v>9351</v>
      </c>
      <c r="N365" s="17">
        <v>14.95</v>
      </c>
      <c r="O365" s="17">
        <v>34.5</v>
      </c>
      <c r="P365" s="17">
        <v>10.1</v>
      </c>
      <c r="Q365" s="17">
        <v>23.9</v>
      </c>
      <c r="R365" s="17">
        <v>15</v>
      </c>
      <c r="S365" s="17">
        <v>23.85</v>
      </c>
      <c r="T365" s="16">
        <f t="shared" si="25"/>
        <v>6375</v>
      </c>
      <c r="U365" s="18">
        <v>3361.49</v>
      </c>
      <c r="V365" s="19">
        <f t="shared" si="26"/>
        <v>0.52729254901960776</v>
      </c>
      <c r="W365" s="19">
        <f t="shared" si="27"/>
        <v>0.59000000000000008</v>
      </c>
      <c r="X365" s="19">
        <f t="shared" si="28"/>
        <v>1.2999999999999998</v>
      </c>
      <c r="Y365" s="12" t="s">
        <v>411</v>
      </c>
      <c r="Z365" s="12" t="s">
        <v>84</v>
      </c>
      <c r="AA365" s="18">
        <v>18242.939999999999</v>
      </c>
      <c r="AB365" s="17">
        <v>1.8759999999999999</v>
      </c>
      <c r="AC365" s="12" t="s">
        <v>71</v>
      </c>
      <c r="AD365" s="12" t="str">
        <f t="shared" si="29"/>
        <v>Rs 2+</v>
      </c>
      <c r="AE365" s="20">
        <v>1</v>
      </c>
    </row>
    <row r="366" spans="1:31" x14ac:dyDescent="0.3">
      <c r="A366" s="12" t="s">
        <v>89</v>
      </c>
      <c r="B366" s="12" t="s">
        <v>414</v>
      </c>
      <c r="C366" s="12" t="s">
        <v>413</v>
      </c>
      <c r="D366" s="12" t="s">
        <v>68</v>
      </c>
      <c r="E366" s="13">
        <v>62.4</v>
      </c>
      <c r="F366" s="13">
        <v>13</v>
      </c>
      <c r="G366" s="13">
        <v>52.1</v>
      </c>
      <c r="H366" s="14">
        <v>1703</v>
      </c>
      <c r="I366" s="12" t="s">
        <v>400</v>
      </c>
      <c r="J366" s="14">
        <v>1600</v>
      </c>
      <c r="K366" s="15">
        <v>5</v>
      </c>
      <c r="L366" s="16">
        <v>350</v>
      </c>
      <c r="M366" s="16">
        <v>1079</v>
      </c>
      <c r="N366" s="17">
        <v>12</v>
      </c>
      <c r="O366" s="17">
        <v>28.95</v>
      </c>
      <c r="P366" s="17">
        <v>12</v>
      </c>
      <c r="Q366" s="17">
        <v>27.95</v>
      </c>
      <c r="R366" s="17">
        <v>12.05</v>
      </c>
      <c r="S366" s="17">
        <v>27.9</v>
      </c>
      <c r="T366" s="16">
        <f t="shared" si="25"/>
        <v>4217.5</v>
      </c>
      <c r="U366" s="18">
        <v>5199.99</v>
      </c>
      <c r="V366" s="19">
        <f t="shared" si="26"/>
        <v>1.2329555423829281</v>
      </c>
      <c r="W366" s="19">
        <f t="shared" si="27"/>
        <v>1.3153526970954355</v>
      </c>
      <c r="X366" s="19">
        <f t="shared" si="28"/>
        <v>1.4024896265560165</v>
      </c>
      <c r="Y366" s="12" t="s">
        <v>411</v>
      </c>
      <c r="Z366" s="12" t="s">
        <v>84</v>
      </c>
      <c r="AA366" s="18">
        <v>2101.9299999999998</v>
      </c>
      <c r="AB366" s="17">
        <v>4.5599999999999996</v>
      </c>
      <c r="AC366" s="12" t="s">
        <v>71</v>
      </c>
      <c r="AD366" s="12" t="str">
        <f t="shared" si="29"/>
        <v>Rs 2+</v>
      </c>
      <c r="AE366" s="20">
        <v>1</v>
      </c>
    </row>
    <row r="367" spans="1:31" x14ac:dyDescent="0.3">
      <c r="A367" s="12" t="s">
        <v>316</v>
      </c>
      <c r="B367" s="12" t="s">
        <v>414</v>
      </c>
      <c r="C367" s="12" t="s">
        <v>413</v>
      </c>
      <c r="D367" s="12" t="s">
        <v>68</v>
      </c>
      <c r="E367" s="13">
        <v>21.6</v>
      </c>
      <c r="F367" s="13">
        <v>10.3</v>
      </c>
      <c r="G367" s="13">
        <v>17.899999999999999</v>
      </c>
      <c r="H367" s="14">
        <v>1176.2</v>
      </c>
      <c r="I367" s="12" t="s">
        <v>400</v>
      </c>
      <c r="J367" s="14">
        <v>1170</v>
      </c>
      <c r="K367" s="15">
        <v>1</v>
      </c>
      <c r="L367" s="16">
        <v>550</v>
      </c>
      <c r="M367" s="16">
        <v>2873</v>
      </c>
      <c r="N367" s="17">
        <v>14.1</v>
      </c>
      <c r="O367" s="17">
        <v>14.85</v>
      </c>
      <c r="P367" s="17">
        <v>4</v>
      </c>
      <c r="Q367" s="17">
        <v>4.45</v>
      </c>
      <c r="R367" s="17">
        <v>14.15</v>
      </c>
      <c r="S367" s="17">
        <v>4.4000000000000004</v>
      </c>
      <c r="T367" s="16">
        <f t="shared" si="25"/>
        <v>7782.5</v>
      </c>
      <c r="U367" s="18">
        <v>-5519.88</v>
      </c>
      <c r="V367" s="19">
        <f t="shared" si="26"/>
        <v>-0.70926823000321237</v>
      </c>
      <c r="W367" s="19">
        <f t="shared" si="27"/>
        <v>-0.68904593639575973</v>
      </c>
      <c r="X367" s="19">
        <f t="shared" si="28"/>
        <v>4.9469964664310861E-2</v>
      </c>
      <c r="Y367" s="12" t="s">
        <v>414</v>
      </c>
      <c r="Z367" s="12" t="s">
        <v>70</v>
      </c>
      <c r="AA367" s="18">
        <v>-5519.88</v>
      </c>
      <c r="AB367" s="17">
        <v>-5.7229999999999999</v>
      </c>
      <c r="AC367" s="12" t="s">
        <v>71</v>
      </c>
      <c r="AD367" s="12" t="str">
        <f t="shared" si="29"/>
        <v>Rs 2+</v>
      </c>
      <c r="AE367" s="20">
        <v>1</v>
      </c>
    </row>
    <row r="368" spans="1:31" x14ac:dyDescent="0.3">
      <c r="A368" s="12" t="s">
        <v>116</v>
      </c>
      <c r="B368" s="12" t="s">
        <v>415</v>
      </c>
      <c r="C368" s="12" t="s">
        <v>414</v>
      </c>
      <c r="D368" s="12" t="s">
        <v>68</v>
      </c>
      <c r="E368" s="13">
        <v>38.4</v>
      </c>
      <c r="F368" s="13">
        <v>8.5</v>
      </c>
      <c r="G368" s="13">
        <v>41</v>
      </c>
      <c r="H368" s="14">
        <v>556.65</v>
      </c>
      <c r="I368" s="12" t="s">
        <v>400</v>
      </c>
      <c r="J368" s="14">
        <v>500</v>
      </c>
      <c r="K368" s="15">
        <v>11</v>
      </c>
      <c r="L368" s="16">
        <v>1000</v>
      </c>
      <c r="M368" s="16">
        <v>7052</v>
      </c>
      <c r="N368" s="17">
        <v>7.5</v>
      </c>
      <c r="O368" s="17">
        <v>13.25</v>
      </c>
      <c r="P368" s="17">
        <v>5.85</v>
      </c>
      <c r="Q368" s="17">
        <v>8.15</v>
      </c>
      <c r="R368" s="17">
        <v>7.55</v>
      </c>
      <c r="S368" s="17">
        <v>8.1</v>
      </c>
      <c r="T368" s="16">
        <f t="shared" si="25"/>
        <v>7550</v>
      </c>
      <c r="U368" s="18">
        <v>170.84</v>
      </c>
      <c r="V368" s="19">
        <f t="shared" si="26"/>
        <v>2.2627814569536425E-2</v>
      </c>
      <c r="W368" s="19">
        <f t="shared" si="27"/>
        <v>7.2847682119205226E-2</v>
      </c>
      <c r="X368" s="19">
        <f t="shared" si="28"/>
        <v>0.75496688741721862</v>
      </c>
      <c r="Y368" s="12" t="s">
        <v>416</v>
      </c>
      <c r="Z368" s="12" t="s">
        <v>70</v>
      </c>
      <c r="AA368" s="18">
        <v>-2469.98</v>
      </c>
      <c r="AB368" s="17">
        <v>4.0389999999999997</v>
      </c>
      <c r="AC368" s="12" t="s">
        <v>71</v>
      </c>
      <c r="AD368" s="12" t="str">
        <f t="shared" si="29"/>
        <v>Rs 2+</v>
      </c>
      <c r="AE368" s="20">
        <v>1</v>
      </c>
    </row>
    <row r="369" spans="1:31" x14ac:dyDescent="0.3">
      <c r="A369" s="12" t="s">
        <v>202</v>
      </c>
      <c r="B369" s="12" t="s">
        <v>412</v>
      </c>
      <c r="C369" s="12" t="s">
        <v>415</v>
      </c>
      <c r="D369" s="12" t="s">
        <v>77</v>
      </c>
      <c r="E369" s="13">
        <v>-35.9</v>
      </c>
      <c r="F369" s="13">
        <v>-7</v>
      </c>
      <c r="G369" s="13">
        <v>2.1</v>
      </c>
      <c r="H369" s="14">
        <v>10138</v>
      </c>
      <c r="I369" s="12" t="s">
        <v>400</v>
      </c>
      <c r="J369" s="14">
        <v>11200</v>
      </c>
      <c r="K369" s="15">
        <v>11</v>
      </c>
      <c r="L369" s="16">
        <v>50</v>
      </c>
      <c r="M369" s="16">
        <v>15162</v>
      </c>
      <c r="N369" s="17">
        <v>120</v>
      </c>
      <c r="O369" s="17">
        <v>469</v>
      </c>
      <c r="P369" s="17">
        <v>109.55</v>
      </c>
      <c r="Q369" s="17">
        <v>398.45</v>
      </c>
      <c r="R369" s="17">
        <v>120.05</v>
      </c>
      <c r="S369" s="17">
        <v>398.4</v>
      </c>
      <c r="T369" s="16">
        <f t="shared" si="25"/>
        <v>6002.5</v>
      </c>
      <c r="U369" s="18">
        <v>13310.89</v>
      </c>
      <c r="V369" s="19">
        <f t="shared" si="26"/>
        <v>2.217557684298209</v>
      </c>
      <c r="W369" s="19">
        <f t="shared" si="27"/>
        <v>2.3186172428154936</v>
      </c>
      <c r="X369" s="19">
        <f t="shared" si="28"/>
        <v>2.9067055393586005</v>
      </c>
      <c r="Y369" s="12" t="s">
        <v>416</v>
      </c>
      <c r="Z369" s="12" t="s">
        <v>84</v>
      </c>
      <c r="AA369" s="18">
        <v>6092.67</v>
      </c>
      <c r="AB369" s="17">
        <v>8.4740000000000002</v>
      </c>
      <c r="AC369" s="12" t="s">
        <v>71</v>
      </c>
      <c r="AD369" s="12" t="str">
        <f t="shared" si="29"/>
        <v>Rs 2+</v>
      </c>
      <c r="AE369" s="20">
        <v>1</v>
      </c>
    </row>
    <row r="370" spans="1:31" x14ac:dyDescent="0.3">
      <c r="A370" s="12" t="s">
        <v>350</v>
      </c>
      <c r="B370" s="12" t="s">
        <v>412</v>
      </c>
      <c r="C370" s="12" t="s">
        <v>415</v>
      </c>
      <c r="D370" s="12" t="s">
        <v>77</v>
      </c>
      <c r="E370" s="13">
        <v>-86.1</v>
      </c>
      <c r="F370" s="13">
        <v>-81.400000000000006</v>
      </c>
      <c r="G370" s="13">
        <v>-11.5</v>
      </c>
      <c r="H370" s="14">
        <v>1270</v>
      </c>
      <c r="I370" s="12" t="s">
        <v>400</v>
      </c>
      <c r="J370" s="14">
        <v>1300</v>
      </c>
      <c r="K370" s="15">
        <v>3</v>
      </c>
      <c r="L370" s="16">
        <v>625</v>
      </c>
      <c r="M370" s="16">
        <v>19714</v>
      </c>
      <c r="N370" s="17">
        <v>9</v>
      </c>
      <c r="O370" s="17">
        <v>33.450000000000003</v>
      </c>
      <c r="P370" s="17">
        <v>4.5999999999999996</v>
      </c>
      <c r="Q370" s="17">
        <v>13.55</v>
      </c>
      <c r="R370" s="17">
        <v>9.0500000000000007</v>
      </c>
      <c r="S370" s="17">
        <v>13.5</v>
      </c>
      <c r="T370" s="16">
        <f t="shared" si="25"/>
        <v>5656.25</v>
      </c>
      <c r="U370" s="18">
        <v>2574.35</v>
      </c>
      <c r="V370" s="19">
        <f t="shared" si="26"/>
        <v>0.45513370165745853</v>
      </c>
      <c r="W370" s="19">
        <f t="shared" si="27"/>
        <v>0.49171270718232041</v>
      </c>
      <c r="X370" s="19">
        <f t="shared" si="28"/>
        <v>2.6961325966850831</v>
      </c>
      <c r="Y370" s="12" t="s">
        <v>417</v>
      </c>
      <c r="Z370" s="12" t="s">
        <v>84</v>
      </c>
      <c r="AA370" s="18">
        <v>11374.44</v>
      </c>
      <c r="AB370" s="17">
        <v>1.5820000000000001</v>
      </c>
      <c r="AC370" s="12" t="s">
        <v>71</v>
      </c>
      <c r="AD370" s="12" t="str">
        <f t="shared" si="29"/>
        <v>Rs 2+</v>
      </c>
      <c r="AE370" s="20">
        <v>1</v>
      </c>
    </row>
    <row r="371" spans="1:31" x14ac:dyDescent="0.3">
      <c r="A371" s="12" t="s">
        <v>115</v>
      </c>
      <c r="B371" s="12" t="s">
        <v>411</v>
      </c>
      <c r="C371" s="12" t="s">
        <v>412</v>
      </c>
      <c r="D371" s="12" t="s">
        <v>77</v>
      </c>
      <c r="E371" s="13">
        <v>-55.3</v>
      </c>
      <c r="F371" s="13">
        <v>-19.5</v>
      </c>
      <c r="G371" s="13">
        <v>-2.8</v>
      </c>
      <c r="H371" s="14">
        <v>1327.6</v>
      </c>
      <c r="I371" s="12" t="s">
        <v>400</v>
      </c>
      <c r="J371" s="14">
        <v>1390</v>
      </c>
      <c r="K371" s="15">
        <v>6</v>
      </c>
      <c r="L371" s="16">
        <v>375</v>
      </c>
      <c r="M371" s="16">
        <v>3511</v>
      </c>
      <c r="N371" s="17">
        <v>19</v>
      </c>
      <c r="O371" s="17">
        <v>60.25</v>
      </c>
      <c r="P371" s="17">
        <v>19</v>
      </c>
      <c r="Q371" s="17">
        <v>54</v>
      </c>
      <c r="R371" s="17">
        <v>19.05</v>
      </c>
      <c r="S371" s="17">
        <v>53.95</v>
      </c>
      <c r="T371" s="16">
        <f t="shared" si="25"/>
        <v>7143.75</v>
      </c>
      <c r="U371" s="18">
        <v>12724.47</v>
      </c>
      <c r="V371" s="19">
        <f t="shared" si="26"/>
        <v>1.7812031496062992</v>
      </c>
      <c r="W371" s="19">
        <f t="shared" si="27"/>
        <v>1.8320209973753281</v>
      </c>
      <c r="X371" s="19">
        <f t="shared" si="28"/>
        <v>2.1627296587926508</v>
      </c>
      <c r="Y371" s="12" t="s">
        <v>418</v>
      </c>
      <c r="Z371" s="12" t="s">
        <v>84</v>
      </c>
      <c r="AA371" s="18">
        <v>3905.86</v>
      </c>
      <c r="AB371" s="17">
        <v>5.4690000000000003</v>
      </c>
      <c r="AC371" s="12" t="s">
        <v>71</v>
      </c>
      <c r="AD371" s="12" t="str">
        <f t="shared" si="29"/>
        <v>Rs 2+</v>
      </c>
      <c r="AE371" s="20">
        <v>1</v>
      </c>
    </row>
    <row r="372" spans="1:31" x14ac:dyDescent="0.3">
      <c r="A372" s="12" t="s">
        <v>165</v>
      </c>
      <c r="B372" s="12" t="s">
        <v>411</v>
      </c>
      <c r="C372" s="12" t="s">
        <v>412</v>
      </c>
      <c r="D372" s="12" t="s">
        <v>68</v>
      </c>
      <c r="E372" s="13">
        <v>62</v>
      </c>
      <c r="F372" s="13">
        <v>68.8</v>
      </c>
      <c r="G372" s="13">
        <v>4.4000000000000004</v>
      </c>
      <c r="H372" s="14">
        <v>507.1</v>
      </c>
      <c r="I372" s="12" t="s">
        <v>400</v>
      </c>
      <c r="J372" s="14">
        <v>505</v>
      </c>
      <c r="K372" s="15">
        <v>0</v>
      </c>
      <c r="L372" s="16">
        <v>1400</v>
      </c>
      <c r="M372" s="16">
        <v>775</v>
      </c>
      <c r="N372" s="17">
        <v>5</v>
      </c>
      <c r="O372" s="17">
        <v>8.5500000000000007</v>
      </c>
      <c r="P372" s="17">
        <v>5</v>
      </c>
      <c r="Q372" s="17">
        <v>6.2</v>
      </c>
      <c r="R372" s="17">
        <v>5.05</v>
      </c>
      <c r="S372" s="17">
        <v>6.15</v>
      </c>
      <c r="T372" s="16">
        <f t="shared" si="25"/>
        <v>7070</v>
      </c>
      <c r="U372" s="18">
        <v>1159.48</v>
      </c>
      <c r="V372" s="19">
        <f t="shared" si="26"/>
        <v>0.16400000000000001</v>
      </c>
      <c r="W372" s="19">
        <f t="shared" si="27"/>
        <v>0.21782178217821802</v>
      </c>
      <c r="X372" s="19">
        <f t="shared" si="28"/>
        <v>0.69306930693069324</v>
      </c>
      <c r="Y372" s="12" t="s">
        <v>417</v>
      </c>
      <c r="Z372" s="12" t="s">
        <v>84</v>
      </c>
      <c r="AA372" s="18">
        <v>2118</v>
      </c>
      <c r="AB372" s="17">
        <v>1.494</v>
      </c>
      <c r="AC372" s="12" t="s">
        <v>71</v>
      </c>
      <c r="AD372" s="12" t="str">
        <f t="shared" si="29"/>
        <v>Rs 2+</v>
      </c>
      <c r="AE372" s="20">
        <v>1</v>
      </c>
    </row>
    <row r="373" spans="1:31" x14ac:dyDescent="0.3">
      <c r="A373" s="12" t="s">
        <v>206</v>
      </c>
      <c r="B373" s="12" t="s">
        <v>416</v>
      </c>
      <c r="C373" s="12" t="s">
        <v>411</v>
      </c>
      <c r="D373" s="12" t="s">
        <v>68</v>
      </c>
      <c r="E373" s="13">
        <v>28</v>
      </c>
      <c r="F373" s="13">
        <v>29</v>
      </c>
      <c r="G373" s="13">
        <v>3.3</v>
      </c>
      <c r="H373" s="14">
        <v>1272.5</v>
      </c>
      <c r="I373" s="12" t="s">
        <v>400</v>
      </c>
      <c r="J373" s="14">
        <v>1270</v>
      </c>
      <c r="K373" s="15">
        <v>0</v>
      </c>
      <c r="L373" s="16">
        <v>400</v>
      </c>
      <c r="M373" s="16">
        <v>826</v>
      </c>
      <c r="N373" s="17">
        <v>13.55</v>
      </c>
      <c r="O373" s="17">
        <v>18</v>
      </c>
      <c r="P373" s="17">
        <v>4.9000000000000004</v>
      </c>
      <c r="Q373" s="17">
        <v>6.9</v>
      </c>
      <c r="R373" s="17">
        <v>13.6</v>
      </c>
      <c r="S373" s="17">
        <v>6.85</v>
      </c>
      <c r="T373" s="16">
        <f t="shared" si="25"/>
        <v>5440</v>
      </c>
      <c r="U373" s="18">
        <v>-2918.51</v>
      </c>
      <c r="V373" s="19">
        <f t="shared" si="26"/>
        <v>-0.5364908088235294</v>
      </c>
      <c r="W373" s="19">
        <f t="shared" si="27"/>
        <v>-0.49632352941176472</v>
      </c>
      <c r="X373" s="19">
        <f t="shared" si="28"/>
        <v>0.32352941176470584</v>
      </c>
      <c r="Y373" s="12" t="s">
        <v>416</v>
      </c>
      <c r="Z373" s="12" t="s">
        <v>70</v>
      </c>
      <c r="AA373" s="18">
        <v>-2918.51</v>
      </c>
      <c r="AB373" s="17">
        <v>-2.4590000000000001</v>
      </c>
      <c r="AC373" s="12" t="s">
        <v>71</v>
      </c>
      <c r="AD373" s="12" t="str">
        <f t="shared" si="29"/>
        <v>Rs 2+</v>
      </c>
      <c r="AE373" s="20">
        <v>1</v>
      </c>
    </row>
    <row r="374" spans="1:31" x14ac:dyDescent="0.3">
      <c r="A374" s="12" t="s">
        <v>419</v>
      </c>
      <c r="B374" s="12" t="s">
        <v>420</v>
      </c>
      <c r="C374" s="12" t="s">
        <v>416</v>
      </c>
      <c r="D374" s="12" t="s">
        <v>68</v>
      </c>
      <c r="E374" s="13">
        <v>86.5</v>
      </c>
      <c r="F374" s="13">
        <v>51.9</v>
      </c>
      <c r="G374" s="13">
        <v>84.6</v>
      </c>
      <c r="H374" s="14">
        <v>2424.8000000000002</v>
      </c>
      <c r="I374" s="12" t="s">
        <v>400</v>
      </c>
      <c r="J374" s="14">
        <v>2200</v>
      </c>
      <c r="K374" s="15">
        <v>11</v>
      </c>
      <c r="L374" s="16">
        <v>275</v>
      </c>
      <c r="M374" s="16">
        <v>2542</v>
      </c>
      <c r="N374" s="17">
        <v>27.6</v>
      </c>
      <c r="O374" s="17">
        <v>69</v>
      </c>
      <c r="P374" s="17">
        <v>16</v>
      </c>
      <c r="Q374" s="17">
        <v>40.700000000000003</v>
      </c>
      <c r="R374" s="17">
        <v>27.65</v>
      </c>
      <c r="S374" s="17">
        <v>40.65</v>
      </c>
      <c r="T374" s="16">
        <f t="shared" si="25"/>
        <v>7603.75</v>
      </c>
      <c r="U374" s="18">
        <v>3127.25</v>
      </c>
      <c r="V374" s="19">
        <f t="shared" si="26"/>
        <v>0.41127733026467206</v>
      </c>
      <c r="W374" s="19">
        <f t="shared" si="27"/>
        <v>0.4701627486437614</v>
      </c>
      <c r="X374" s="19">
        <f t="shared" si="28"/>
        <v>1.4954792043399641</v>
      </c>
      <c r="Y374" s="12" t="s">
        <v>418</v>
      </c>
      <c r="Z374" s="12" t="s">
        <v>70</v>
      </c>
      <c r="AA374" s="18">
        <v>-2709.44</v>
      </c>
      <c r="AB374" s="17">
        <v>5.0880000000000001</v>
      </c>
      <c r="AC374" s="12" t="s">
        <v>71</v>
      </c>
      <c r="AD374" s="12" t="str">
        <f t="shared" si="29"/>
        <v>Rs 2+</v>
      </c>
      <c r="AE374" s="20">
        <v>1</v>
      </c>
    </row>
    <row r="375" spans="1:31" x14ac:dyDescent="0.3">
      <c r="A375" s="12" t="s">
        <v>164</v>
      </c>
      <c r="B375" s="12" t="s">
        <v>420</v>
      </c>
      <c r="C375" s="12" t="s">
        <v>416</v>
      </c>
      <c r="D375" s="12" t="s">
        <v>68</v>
      </c>
      <c r="E375" s="13">
        <v>68.5</v>
      </c>
      <c r="F375" s="13">
        <v>383.3</v>
      </c>
      <c r="G375" s="13">
        <v>20</v>
      </c>
      <c r="H375" s="14">
        <v>76.790000000000006</v>
      </c>
      <c r="I375" s="12" t="s">
        <v>400</v>
      </c>
      <c r="J375" s="14">
        <v>75</v>
      </c>
      <c r="K375" s="15">
        <v>2</v>
      </c>
      <c r="L375" s="16">
        <v>6400</v>
      </c>
      <c r="M375" s="16">
        <v>1231</v>
      </c>
      <c r="N375" s="17">
        <v>1.1499999999999999</v>
      </c>
      <c r="O375" s="17">
        <v>1.34</v>
      </c>
      <c r="P375" s="17">
        <v>0.42</v>
      </c>
      <c r="Q375" s="17">
        <v>0.45</v>
      </c>
      <c r="R375" s="17">
        <v>1.2</v>
      </c>
      <c r="S375" s="17">
        <v>0.4</v>
      </c>
      <c r="T375" s="16">
        <f t="shared" si="25"/>
        <v>7680</v>
      </c>
      <c r="U375" s="18">
        <v>-5380.37</v>
      </c>
      <c r="V375" s="19">
        <f t="shared" si="26"/>
        <v>-0.70056901041666664</v>
      </c>
      <c r="W375" s="19">
        <f t="shared" si="27"/>
        <v>-0.66666666666666663</v>
      </c>
      <c r="X375" s="19">
        <f t="shared" si="28"/>
        <v>0.1166666666666667</v>
      </c>
      <c r="Y375" s="12" t="s">
        <v>420</v>
      </c>
      <c r="Z375" s="12" t="s">
        <v>70</v>
      </c>
      <c r="AA375" s="18">
        <v>-5380.37</v>
      </c>
      <c r="AB375" s="17">
        <v>-1.238</v>
      </c>
      <c r="AC375" s="12" t="s">
        <v>102</v>
      </c>
      <c r="AD375" s="12" t="str">
        <f t="shared" si="29"/>
        <v>Rs 1-2</v>
      </c>
      <c r="AE375" s="20">
        <v>1</v>
      </c>
    </row>
    <row r="376" spans="1:31" x14ac:dyDescent="0.3">
      <c r="A376" s="12" t="s">
        <v>354</v>
      </c>
      <c r="B376" s="12" t="s">
        <v>420</v>
      </c>
      <c r="C376" s="12" t="s">
        <v>416</v>
      </c>
      <c r="D376" s="12" t="s">
        <v>68</v>
      </c>
      <c r="E376" s="13">
        <v>64.400000000000006</v>
      </c>
      <c r="F376" s="13">
        <v>16.7</v>
      </c>
      <c r="G376" s="13">
        <v>37.6</v>
      </c>
      <c r="H376" s="14">
        <v>981.6</v>
      </c>
      <c r="I376" s="12" t="s">
        <v>400</v>
      </c>
      <c r="J376" s="14">
        <v>950</v>
      </c>
      <c r="K376" s="15">
        <v>3</v>
      </c>
      <c r="L376" s="16">
        <v>575</v>
      </c>
      <c r="M376" s="16">
        <v>1398</v>
      </c>
      <c r="N376" s="17">
        <v>13.55</v>
      </c>
      <c r="O376" s="17">
        <v>17.8</v>
      </c>
      <c r="P376" s="17">
        <v>6</v>
      </c>
      <c r="Q376" s="17">
        <v>7.65</v>
      </c>
      <c r="R376" s="17">
        <v>13.6</v>
      </c>
      <c r="S376" s="17">
        <v>7.6</v>
      </c>
      <c r="T376" s="16">
        <f t="shared" si="25"/>
        <v>7820</v>
      </c>
      <c r="U376" s="18">
        <v>-3752.9</v>
      </c>
      <c r="V376" s="19">
        <f t="shared" si="26"/>
        <v>-0.47991048593350383</v>
      </c>
      <c r="W376" s="19">
        <f t="shared" si="27"/>
        <v>-0.44117647058823528</v>
      </c>
      <c r="X376" s="19">
        <f t="shared" si="28"/>
        <v>0.30882352941176472</v>
      </c>
      <c r="Y376" s="12" t="s">
        <v>420</v>
      </c>
      <c r="Z376" s="12" t="s">
        <v>70</v>
      </c>
      <c r="AA376" s="18">
        <v>-3752.9</v>
      </c>
      <c r="AB376" s="17">
        <v>1.1220000000000001</v>
      </c>
      <c r="AC376" s="12" t="s">
        <v>71</v>
      </c>
      <c r="AD376" s="12" t="str">
        <f t="shared" si="29"/>
        <v>Rs 2+</v>
      </c>
      <c r="AE376" s="20">
        <v>1</v>
      </c>
    </row>
    <row r="377" spans="1:31" x14ac:dyDescent="0.3">
      <c r="A377" s="12" t="s">
        <v>112</v>
      </c>
      <c r="B377" s="12" t="s">
        <v>420</v>
      </c>
      <c r="C377" s="12" t="s">
        <v>416</v>
      </c>
      <c r="D377" s="12" t="s">
        <v>68</v>
      </c>
      <c r="E377" s="13">
        <v>146.9</v>
      </c>
      <c r="F377" s="13">
        <v>8.6</v>
      </c>
      <c r="G377" s="13">
        <v>12.5</v>
      </c>
      <c r="H377" s="14">
        <v>216.84</v>
      </c>
      <c r="I377" s="12" t="s">
        <v>400</v>
      </c>
      <c r="J377" s="14">
        <v>210</v>
      </c>
      <c r="K377" s="15">
        <v>3</v>
      </c>
      <c r="L377" s="16">
        <v>2750</v>
      </c>
      <c r="M377" s="16">
        <v>23753</v>
      </c>
      <c r="N377" s="17">
        <v>2.77</v>
      </c>
      <c r="O377" s="17">
        <v>7.28</v>
      </c>
      <c r="P377" s="17">
        <v>2.67</v>
      </c>
      <c r="Q377" s="17">
        <v>3.12</v>
      </c>
      <c r="R377" s="17">
        <v>2.82</v>
      </c>
      <c r="S377" s="17">
        <v>3.07</v>
      </c>
      <c r="T377" s="16">
        <f t="shared" si="25"/>
        <v>7755</v>
      </c>
      <c r="U377" s="18">
        <v>458.62</v>
      </c>
      <c r="V377" s="19">
        <f t="shared" si="26"/>
        <v>5.9138620245003222E-2</v>
      </c>
      <c r="W377" s="19">
        <f t="shared" si="27"/>
        <v>8.8652482269503619E-2</v>
      </c>
      <c r="X377" s="19">
        <f t="shared" si="28"/>
        <v>1.5815602836879434</v>
      </c>
      <c r="Y377" s="12" t="s">
        <v>421</v>
      </c>
      <c r="Z377" s="12" t="s">
        <v>70</v>
      </c>
      <c r="AA377" s="18">
        <v>-2720.55</v>
      </c>
      <c r="AB377" s="17">
        <v>0.61099999999999999</v>
      </c>
      <c r="AC377" s="12" t="s">
        <v>71</v>
      </c>
      <c r="AD377" s="12" t="str">
        <f t="shared" si="29"/>
        <v>Rs 2+</v>
      </c>
      <c r="AE377" s="20">
        <v>1</v>
      </c>
    </row>
    <row r="378" spans="1:31" x14ac:dyDescent="0.3">
      <c r="A378" s="12" t="s">
        <v>273</v>
      </c>
      <c r="B378" s="12" t="s">
        <v>418</v>
      </c>
      <c r="C378" s="12" t="s">
        <v>420</v>
      </c>
      <c r="D378" s="12" t="s">
        <v>68</v>
      </c>
      <c r="E378" s="13">
        <v>19.600000000000001</v>
      </c>
      <c r="F378" s="13">
        <v>97.8</v>
      </c>
      <c r="G378" s="13">
        <v>24.2</v>
      </c>
      <c r="H378" s="14">
        <v>1545.7</v>
      </c>
      <c r="I378" s="12" t="s">
        <v>400</v>
      </c>
      <c r="J378" s="14">
        <v>1460</v>
      </c>
      <c r="K378" s="15">
        <v>4</v>
      </c>
      <c r="L378" s="16">
        <v>425</v>
      </c>
      <c r="M378" s="16">
        <v>7585</v>
      </c>
      <c r="N378" s="17">
        <v>10</v>
      </c>
      <c r="O378" s="17">
        <v>45.3</v>
      </c>
      <c r="P378" s="17">
        <v>10</v>
      </c>
      <c r="Q378" s="17">
        <v>37.700000000000003</v>
      </c>
      <c r="R378" s="17">
        <v>10.050000000000001</v>
      </c>
      <c r="S378" s="17">
        <v>37.65</v>
      </c>
      <c r="T378" s="16">
        <f t="shared" si="25"/>
        <v>4271.25</v>
      </c>
      <c r="U378" s="18">
        <v>11244.69</v>
      </c>
      <c r="V378" s="19">
        <f t="shared" si="26"/>
        <v>2.6326461808604038</v>
      </c>
      <c r="W378" s="19">
        <f t="shared" si="27"/>
        <v>2.7462686567164174</v>
      </c>
      <c r="X378" s="19">
        <f t="shared" si="28"/>
        <v>3.5074626865671634</v>
      </c>
      <c r="Y378" s="12" t="s">
        <v>422</v>
      </c>
      <c r="Z378" s="12" t="s">
        <v>84</v>
      </c>
      <c r="AA378" s="18">
        <v>-82.68</v>
      </c>
      <c r="AB378" s="17">
        <v>6.22</v>
      </c>
      <c r="AC378" s="12" t="s">
        <v>71</v>
      </c>
      <c r="AD378" s="12" t="str">
        <f t="shared" si="29"/>
        <v>Rs 2+</v>
      </c>
      <c r="AE378" s="20">
        <v>1</v>
      </c>
    </row>
    <row r="379" spans="1:31" x14ac:dyDescent="0.3">
      <c r="A379" s="12" t="s">
        <v>376</v>
      </c>
      <c r="B379" s="12" t="s">
        <v>418</v>
      </c>
      <c r="C379" s="12" t="s">
        <v>420</v>
      </c>
      <c r="D379" s="12" t="s">
        <v>68</v>
      </c>
      <c r="E379" s="13">
        <v>81.400000000000006</v>
      </c>
      <c r="F379" s="13">
        <v>12.4</v>
      </c>
      <c r="G379" s="13">
        <v>7</v>
      </c>
      <c r="H379" s="14">
        <v>131.81</v>
      </c>
      <c r="I379" s="12" t="s">
        <v>400</v>
      </c>
      <c r="J379" s="14">
        <v>131</v>
      </c>
      <c r="K379" s="15">
        <v>1</v>
      </c>
      <c r="L379" s="16">
        <v>4875</v>
      </c>
      <c r="M379" s="16">
        <v>726</v>
      </c>
      <c r="N379" s="17">
        <v>1.59</v>
      </c>
      <c r="O379" s="17">
        <v>1.86</v>
      </c>
      <c r="P379" s="17">
        <v>0.59</v>
      </c>
      <c r="Q379" s="17">
        <v>0.77</v>
      </c>
      <c r="R379" s="17">
        <v>1.64</v>
      </c>
      <c r="S379" s="17">
        <v>0.72</v>
      </c>
      <c r="T379" s="16">
        <f t="shared" si="25"/>
        <v>7994.9999999999991</v>
      </c>
      <c r="U379" s="18">
        <v>-4657.59</v>
      </c>
      <c r="V379" s="19">
        <f t="shared" si="26"/>
        <v>-0.58256285178236411</v>
      </c>
      <c r="W379" s="19">
        <f t="shared" si="27"/>
        <v>-0.56097560975609762</v>
      </c>
      <c r="X379" s="19">
        <f t="shared" si="28"/>
        <v>0.13414634146341475</v>
      </c>
      <c r="Y379" s="12" t="s">
        <v>418</v>
      </c>
      <c r="Z379" s="12" t="s">
        <v>70</v>
      </c>
      <c r="AA379" s="18">
        <v>-4657.59</v>
      </c>
      <c r="AB379" s="17">
        <v>-0.67100000000000004</v>
      </c>
      <c r="AC379" s="12" t="s">
        <v>102</v>
      </c>
      <c r="AD379" s="12" t="str">
        <f t="shared" si="29"/>
        <v>Rs 1-2</v>
      </c>
      <c r="AE379" s="20">
        <v>1</v>
      </c>
    </row>
    <row r="380" spans="1:31" x14ac:dyDescent="0.3">
      <c r="A380" s="12" t="s">
        <v>423</v>
      </c>
      <c r="B380" s="12" t="s">
        <v>417</v>
      </c>
      <c r="C380" s="12" t="s">
        <v>418</v>
      </c>
      <c r="D380" s="12" t="s">
        <v>68</v>
      </c>
      <c r="E380" s="13">
        <v>31.7</v>
      </c>
      <c r="F380" s="13">
        <v>35.200000000000003</v>
      </c>
      <c r="G380" s="13">
        <v>11.8</v>
      </c>
      <c r="H380" s="14">
        <v>2492.6999999999998</v>
      </c>
      <c r="I380" s="12" t="s">
        <v>400</v>
      </c>
      <c r="J380" s="14">
        <v>2420</v>
      </c>
      <c r="K380" s="15">
        <v>4</v>
      </c>
      <c r="L380" s="16">
        <v>225</v>
      </c>
      <c r="M380" s="16">
        <v>909</v>
      </c>
      <c r="N380" s="17">
        <v>30</v>
      </c>
      <c r="O380" s="17">
        <v>34.200000000000003</v>
      </c>
      <c r="P380" s="17">
        <v>3.1</v>
      </c>
      <c r="Q380" s="17">
        <v>3.65</v>
      </c>
      <c r="R380" s="17">
        <v>30.05</v>
      </c>
      <c r="S380" s="17">
        <v>3.6</v>
      </c>
      <c r="T380" s="16">
        <f t="shared" si="25"/>
        <v>6761.25</v>
      </c>
      <c r="U380" s="18">
        <v>-6154.48</v>
      </c>
      <c r="V380" s="19">
        <f t="shared" si="26"/>
        <v>-0.91025771861711957</v>
      </c>
      <c r="W380" s="19">
        <f t="shared" si="27"/>
        <v>-0.88019966722129783</v>
      </c>
      <c r="X380" s="19">
        <f t="shared" si="28"/>
        <v>0.13810316139767065</v>
      </c>
      <c r="Y380" s="12" t="s">
        <v>417</v>
      </c>
      <c r="Z380" s="12" t="s">
        <v>70</v>
      </c>
      <c r="AA380" s="18">
        <v>-6154.48</v>
      </c>
      <c r="AB380" s="17">
        <v>-3.3149999999999999</v>
      </c>
      <c r="AC380" s="12" t="s">
        <v>71</v>
      </c>
      <c r="AD380" s="12" t="str">
        <f t="shared" si="29"/>
        <v>Rs 2+</v>
      </c>
      <c r="AE380" s="20">
        <v>1</v>
      </c>
    </row>
    <row r="381" spans="1:31" x14ac:dyDescent="0.3">
      <c r="A381" s="12" t="s">
        <v>158</v>
      </c>
      <c r="B381" s="12" t="s">
        <v>417</v>
      </c>
      <c r="C381" s="12" t="s">
        <v>418</v>
      </c>
      <c r="D381" s="12" t="s">
        <v>77</v>
      </c>
      <c r="E381" s="13">
        <v>-39.4</v>
      </c>
      <c r="F381" s="13">
        <v>-35.700000000000003</v>
      </c>
      <c r="G381" s="13">
        <v>-12.4</v>
      </c>
      <c r="H381" s="14">
        <v>3124.6</v>
      </c>
      <c r="I381" s="12" t="s">
        <v>400</v>
      </c>
      <c r="J381" s="14">
        <v>3120</v>
      </c>
      <c r="K381" s="15">
        <v>0</v>
      </c>
      <c r="L381" s="16">
        <v>175</v>
      </c>
      <c r="M381" s="16">
        <v>855</v>
      </c>
      <c r="N381" s="17">
        <v>15.8</v>
      </c>
      <c r="O381" s="17">
        <v>15.85</v>
      </c>
      <c r="P381" s="17">
        <v>4.45</v>
      </c>
      <c r="Q381" s="17">
        <v>5.05</v>
      </c>
      <c r="R381" s="17">
        <v>15.85</v>
      </c>
      <c r="S381" s="17">
        <v>5</v>
      </c>
      <c r="T381" s="16">
        <f t="shared" si="25"/>
        <v>2773.75</v>
      </c>
      <c r="U381" s="18">
        <v>-2021.86</v>
      </c>
      <c r="V381" s="19">
        <f t="shared" si="26"/>
        <v>-0.72892654348805763</v>
      </c>
      <c r="W381" s="19">
        <f t="shared" si="27"/>
        <v>-0.68454258675078861</v>
      </c>
      <c r="X381" s="19">
        <f t="shared" si="28"/>
        <v>0</v>
      </c>
      <c r="Y381" s="12" t="s">
        <v>417</v>
      </c>
      <c r="Z381" s="12" t="s">
        <v>70</v>
      </c>
      <c r="AA381" s="18">
        <v>-2021.86</v>
      </c>
      <c r="AB381" s="17">
        <v>-1.6539999999999999</v>
      </c>
      <c r="AC381" s="12" t="s">
        <v>71</v>
      </c>
      <c r="AD381" s="12" t="str">
        <f t="shared" si="29"/>
        <v>Rs 2+</v>
      </c>
      <c r="AE381" s="20">
        <v>1</v>
      </c>
    </row>
    <row r="382" spans="1:31" x14ac:dyDescent="0.3">
      <c r="A382" s="12" t="s">
        <v>221</v>
      </c>
      <c r="B382" s="12" t="s">
        <v>422</v>
      </c>
      <c r="C382" s="12" t="s">
        <v>417</v>
      </c>
      <c r="D382" s="12" t="s">
        <v>68</v>
      </c>
      <c r="E382" s="13">
        <v>33</v>
      </c>
      <c r="F382" s="13">
        <v>6.8</v>
      </c>
      <c r="G382" s="13">
        <v>18.100000000000001</v>
      </c>
      <c r="H382" s="14">
        <v>8085</v>
      </c>
      <c r="I382" s="12" t="s">
        <v>400</v>
      </c>
      <c r="J382" s="14">
        <v>7900</v>
      </c>
      <c r="K382" s="15">
        <v>4</v>
      </c>
      <c r="L382" s="16">
        <v>125</v>
      </c>
      <c r="M382" s="16">
        <v>4747</v>
      </c>
      <c r="N382" s="17">
        <v>50</v>
      </c>
      <c r="O382" s="17">
        <v>89.25</v>
      </c>
      <c r="P382" s="17">
        <v>14.5</v>
      </c>
      <c r="Q382" s="17">
        <v>16.45</v>
      </c>
      <c r="R382" s="17">
        <v>50.05</v>
      </c>
      <c r="S382" s="17">
        <v>16.399999999999999</v>
      </c>
      <c r="T382" s="16">
        <f t="shared" si="25"/>
        <v>6256.25</v>
      </c>
      <c r="U382" s="18">
        <v>-4343.2700000000004</v>
      </c>
      <c r="V382" s="19">
        <f t="shared" si="26"/>
        <v>-0.69422897102897108</v>
      </c>
      <c r="W382" s="19">
        <f t="shared" si="27"/>
        <v>-0.67232767232767232</v>
      </c>
      <c r="X382" s="19">
        <f t="shared" si="28"/>
        <v>0.78321678321678334</v>
      </c>
      <c r="Y382" s="12" t="s">
        <v>422</v>
      </c>
      <c r="Z382" s="12" t="s">
        <v>70</v>
      </c>
      <c r="AA382" s="18">
        <v>-4343.2700000000004</v>
      </c>
      <c r="AB382" s="17">
        <v>-1.3420000000000001</v>
      </c>
      <c r="AC382" s="12" t="s">
        <v>71</v>
      </c>
      <c r="AD382" s="12" t="str">
        <f t="shared" si="29"/>
        <v>Rs 2+</v>
      </c>
      <c r="AE382" s="20">
        <v>1</v>
      </c>
    </row>
    <row r="383" spans="1:31" x14ac:dyDescent="0.3">
      <c r="A383" s="12" t="s">
        <v>381</v>
      </c>
      <c r="B383" s="12" t="s">
        <v>422</v>
      </c>
      <c r="C383" s="12" t="s">
        <v>417</v>
      </c>
      <c r="D383" s="12" t="s">
        <v>68</v>
      </c>
      <c r="E383" s="13">
        <v>27.9</v>
      </c>
      <c r="F383" s="13">
        <v>70.3</v>
      </c>
      <c r="G383" s="13">
        <v>15.4</v>
      </c>
      <c r="H383" s="14">
        <v>2971.1</v>
      </c>
      <c r="I383" s="12" t="s">
        <v>400</v>
      </c>
      <c r="J383" s="14">
        <v>2980</v>
      </c>
      <c r="K383" s="15">
        <v>0</v>
      </c>
      <c r="L383" s="16">
        <v>250</v>
      </c>
      <c r="M383" s="16">
        <v>1930</v>
      </c>
      <c r="N383" s="17">
        <v>5</v>
      </c>
      <c r="O383" s="17">
        <v>16.600000000000001</v>
      </c>
      <c r="P383" s="17">
        <v>2.95</v>
      </c>
      <c r="Q383" s="17">
        <v>3.25</v>
      </c>
      <c r="R383" s="17">
        <v>5.05</v>
      </c>
      <c r="S383" s="17">
        <v>3.2</v>
      </c>
      <c r="T383" s="16">
        <f t="shared" si="25"/>
        <v>1262.5</v>
      </c>
      <c r="U383" s="18">
        <v>-532.41999999999996</v>
      </c>
      <c r="V383" s="19">
        <f t="shared" si="26"/>
        <v>-0.42171881188118809</v>
      </c>
      <c r="W383" s="19">
        <f t="shared" si="27"/>
        <v>-0.36633663366336633</v>
      </c>
      <c r="X383" s="19">
        <f t="shared" si="28"/>
        <v>2.2871287128712874</v>
      </c>
      <c r="Y383" s="12" t="s">
        <v>422</v>
      </c>
      <c r="Z383" s="12" t="s">
        <v>70</v>
      </c>
      <c r="AA383" s="18">
        <v>-532.41999999999996</v>
      </c>
      <c r="AB383" s="17">
        <v>-3.0649999999999999</v>
      </c>
      <c r="AC383" s="12" t="s">
        <v>71</v>
      </c>
      <c r="AD383" s="12" t="str">
        <f t="shared" si="29"/>
        <v>Rs 2+</v>
      </c>
      <c r="AE383" s="20">
        <v>1</v>
      </c>
    </row>
    <row r="384" spans="1:31" x14ac:dyDescent="0.3">
      <c r="A384" s="12" t="s">
        <v>177</v>
      </c>
      <c r="B384" s="12" t="s">
        <v>422</v>
      </c>
      <c r="C384" s="12" t="s">
        <v>417</v>
      </c>
      <c r="D384" s="12" t="s">
        <v>68</v>
      </c>
      <c r="E384" s="13">
        <v>67.099999999999994</v>
      </c>
      <c r="F384" s="13">
        <v>13.1</v>
      </c>
      <c r="G384" s="13">
        <v>18.8</v>
      </c>
      <c r="H384" s="14">
        <v>472.55</v>
      </c>
      <c r="I384" s="12" t="s">
        <v>400</v>
      </c>
      <c r="J384" s="14">
        <v>435</v>
      </c>
      <c r="K384" s="15">
        <v>8</v>
      </c>
      <c r="L384" s="16">
        <v>1250</v>
      </c>
      <c r="M384" s="16">
        <v>5452</v>
      </c>
      <c r="N384" s="17">
        <v>5.5</v>
      </c>
      <c r="O384" s="17">
        <v>10.45</v>
      </c>
      <c r="P384" s="17">
        <v>4.5999999999999996</v>
      </c>
      <c r="Q384" s="17">
        <v>7.25</v>
      </c>
      <c r="R384" s="17">
        <v>5.55</v>
      </c>
      <c r="S384" s="17">
        <v>7.2</v>
      </c>
      <c r="T384" s="16">
        <f t="shared" si="25"/>
        <v>6937.5</v>
      </c>
      <c r="U384" s="18">
        <v>1676.14</v>
      </c>
      <c r="V384" s="19">
        <f t="shared" si="26"/>
        <v>0.24160576576576578</v>
      </c>
      <c r="W384" s="19">
        <f t="shared" si="27"/>
        <v>0.29729729729729737</v>
      </c>
      <c r="X384" s="19">
        <f t="shared" si="28"/>
        <v>0.88288288288288275</v>
      </c>
      <c r="Y384" s="12" t="s">
        <v>421</v>
      </c>
      <c r="Z384" s="12" t="s">
        <v>70</v>
      </c>
      <c r="AA384" s="18">
        <v>-2725.21</v>
      </c>
      <c r="AB384" s="17">
        <v>3.0379999999999998</v>
      </c>
      <c r="AC384" s="12" t="s">
        <v>71</v>
      </c>
      <c r="AD384" s="12" t="str">
        <f t="shared" si="29"/>
        <v>Rs 2+</v>
      </c>
      <c r="AE384" s="20">
        <v>1</v>
      </c>
    </row>
    <row r="385" spans="1:31" x14ac:dyDescent="0.3">
      <c r="A385" s="12" t="s">
        <v>182</v>
      </c>
      <c r="B385" s="12" t="s">
        <v>422</v>
      </c>
      <c r="C385" s="12" t="s">
        <v>417</v>
      </c>
      <c r="D385" s="12" t="s">
        <v>68</v>
      </c>
      <c r="E385" s="13">
        <v>40</v>
      </c>
      <c r="F385" s="13">
        <v>45.6</v>
      </c>
      <c r="G385" s="13">
        <v>17</v>
      </c>
      <c r="H385" s="14">
        <v>132.16999999999999</v>
      </c>
      <c r="I385" s="12" t="s">
        <v>400</v>
      </c>
      <c r="J385" s="14">
        <v>130</v>
      </c>
      <c r="K385" s="15">
        <v>2</v>
      </c>
      <c r="L385" s="16">
        <v>6150</v>
      </c>
      <c r="M385" s="16">
        <v>2312</v>
      </c>
      <c r="N385" s="17">
        <v>1.06</v>
      </c>
      <c r="O385" s="17">
        <v>1.29</v>
      </c>
      <c r="P385" s="17">
        <v>0.25</v>
      </c>
      <c r="Q385" s="17">
        <v>0.28000000000000003</v>
      </c>
      <c r="R385" s="17">
        <v>1.1100000000000001</v>
      </c>
      <c r="S385" s="17">
        <v>0.23</v>
      </c>
      <c r="T385" s="16">
        <f t="shared" si="25"/>
        <v>6826.5000000000009</v>
      </c>
      <c r="U385" s="18">
        <v>-5547.4</v>
      </c>
      <c r="V385" s="19">
        <f t="shared" si="26"/>
        <v>-0.8126272614077491</v>
      </c>
      <c r="W385" s="19">
        <f t="shared" si="27"/>
        <v>-0.7927927927927928</v>
      </c>
      <c r="X385" s="19">
        <f t="shared" si="28"/>
        <v>0.16216216216216206</v>
      </c>
      <c r="Y385" s="12" t="s">
        <v>422</v>
      </c>
      <c r="Z385" s="12" t="s">
        <v>70</v>
      </c>
      <c r="AA385" s="18">
        <v>-5547.4</v>
      </c>
      <c r="AB385" s="17">
        <v>-0.72</v>
      </c>
      <c r="AC385" s="12" t="s">
        <v>102</v>
      </c>
      <c r="AD385" s="12" t="str">
        <f t="shared" si="29"/>
        <v>Rs 1-2</v>
      </c>
      <c r="AE385" s="20">
        <v>1</v>
      </c>
    </row>
    <row r="386" spans="1:31" x14ac:dyDescent="0.3">
      <c r="A386" s="12" t="s">
        <v>135</v>
      </c>
      <c r="B386" s="12" t="s">
        <v>421</v>
      </c>
      <c r="C386" s="12" t="s">
        <v>422</v>
      </c>
      <c r="D386" s="12" t="s">
        <v>68</v>
      </c>
      <c r="E386" s="13">
        <v>577</v>
      </c>
      <c r="F386" s="13">
        <v>19.2</v>
      </c>
      <c r="G386" s="13">
        <v>166.5</v>
      </c>
      <c r="H386" s="14">
        <v>1385.6</v>
      </c>
      <c r="I386" s="12" t="s">
        <v>400</v>
      </c>
      <c r="J386" s="14">
        <v>1340</v>
      </c>
      <c r="K386" s="15">
        <v>2</v>
      </c>
      <c r="L386" s="16">
        <v>450</v>
      </c>
      <c r="M386" s="16">
        <v>1384</v>
      </c>
      <c r="N386" s="17">
        <v>8</v>
      </c>
      <c r="O386" s="17">
        <v>25.7</v>
      </c>
      <c r="P386" s="17">
        <v>2.7</v>
      </c>
      <c r="Q386" s="17">
        <v>3.35</v>
      </c>
      <c r="R386" s="17">
        <v>8.0500000000000007</v>
      </c>
      <c r="S386" s="17">
        <v>3.3</v>
      </c>
      <c r="T386" s="16">
        <f t="shared" ref="T386:T449" si="30">R386*L386</f>
        <v>3622.5000000000005</v>
      </c>
      <c r="U386" s="18">
        <v>-2291.34</v>
      </c>
      <c r="V386" s="19">
        <f t="shared" ref="V386:V449" si="31">U386/T386</f>
        <v>-0.63253002070393372</v>
      </c>
      <c r="W386" s="19">
        <f t="shared" ref="W386:W449" si="32">S386/R386-1</f>
        <v>-0.59006211180124235</v>
      </c>
      <c r="X386" s="19">
        <f t="shared" ref="X386:X449" si="33">IF(O386="","",O386/R386-1)</f>
        <v>2.1925465838509313</v>
      </c>
      <c r="Y386" s="12" t="s">
        <v>421</v>
      </c>
      <c r="Z386" s="12" t="s">
        <v>70</v>
      </c>
      <c r="AA386" s="18">
        <v>-2291.34</v>
      </c>
      <c r="AB386" s="17">
        <v>1.42</v>
      </c>
      <c r="AC386" s="12" t="s">
        <v>71</v>
      </c>
      <c r="AD386" s="12" t="str">
        <f t="shared" ref="AD386:AD449" si="34">IF(R386&lt;1,"under Rs 1",IF(R386&lt;2,"Rs 1-2","Rs 2+"))</f>
        <v>Rs 2+</v>
      </c>
      <c r="AE386" s="20">
        <v>1</v>
      </c>
    </row>
    <row r="387" spans="1:31" x14ac:dyDescent="0.3">
      <c r="A387" s="12" t="s">
        <v>141</v>
      </c>
      <c r="B387" s="12" t="s">
        <v>424</v>
      </c>
      <c r="C387" s="12" t="s">
        <v>425</v>
      </c>
      <c r="D387" s="12" t="s">
        <v>68</v>
      </c>
      <c r="E387" s="13">
        <v>13.4</v>
      </c>
      <c r="F387" s="13">
        <v>28.8</v>
      </c>
      <c r="G387" s="13">
        <v>9.5</v>
      </c>
      <c r="H387" s="14">
        <v>6887</v>
      </c>
      <c r="I387" s="12" t="s">
        <v>426</v>
      </c>
      <c r="J387" s="14">
        <v>6300</v>
      </c>
      <c r="K387" s="15">
        <v>12</v>
      </c>
      <c r="L387" s="16">
        <v>100</v>
      </c>
      <c r="M387" s="16">
        <v>319</v>
      </c>
      <c r="N387" s="17">
        <v>50</v>
      </c>
      <c r="O387" s="17">
        <v>50.6</v>
      </c>
      <c r="P387" s="17">
        <v>25.05</v>
      </c>
      <c r="Q387" s="17">
        <v>33.5</v>
      </c>
      <c r="R387" s="17">
        <v>50.05</v>
      </c>
      <c r="S387" s="17">
        <v>33.450000000000003</v>
      </c>
      <c r="T387" s="16">
        <f t="shared" si="30"/>
        <v>5005</v>
      </c>
      <c r="U387" s="18">
        <v>-1799.38</v>
      </c>
      <c r="V387" s="19">
        <f t="shared" si="31"/>
        <v>-0.35951648351648352</v>
      </c>
      <c r="W387" s="19">
        <f t="shared" si="32"/>
        <v>-0.33166833166833154</v>
      </c>
      <c r="X387" s="19">
        <f t="shared" si="33"/>
        <v>1.0989010989011172E-2</v>
      </c>
      <c r="Y387" s="12" t="s">
        <v>424</v>
      </c>
      <c r="Z387" s="12" t="s">
        <v>70</v>
      </c>
      <c r="AA387" s="18">
        <v>-1799.38</v>
      </c>
      <c r="AB387" s="17">
        <v>-9.6000000000000002E-2</v>
      </c>
      <c r="AC387" s="12" t="s">
        <v>71</v>
      </c>
      <c r="AD387" s="12" t="str">
        <f t="shared" si="34"/>
        <v>Rs 2+</v>
      </c>
      <c r="AE387" s="20">
        <v>1</v>
      </c>
    </row>
    <row r="388" spans="1:31" x14ac:dyDescent="0.3">
      <c r="A388" s="12" t="s">
        <v>166</v>
      </c>
      <c r="B388" s="12" t="s">
        <v>424</v>
      </c>
      <c r="C388" s="12" t="s">
        <v>421</v>
      </c>
      <c r="D388" s="12" t="s">
        <v>68</v>
      </c>
      <c r="E388" s="13">
        <v>11.6</v>
      </c>
      <c r="F388" s="13">
        <v>7</v>
      </c>
      <c r="G388" s="13">
        <v>16</v>
      </c>
      <c r="H388" s="14">
        <v>6981.5</v>
      </c>
      <c r="I388" s="12" t="s">
        <v>426</v>
      </c>
      <c r="J388" s="14">
        <v>6800</v>
      </c>
      <c r="K388" s="15">
        <v>4</v>
      </c>
      <c r="L388" s="16">
        <v>100</v>
      </c>
      <c r="M388" s="16">
        <v>1180</v>
      </c>
      <c r="N388" s="17">
        <v>74.95</v>
      </c>
      <c r="O388" s="17">
        <v>74.95</v>
      </c>
      <c r="P388" s="17">
        <v>39.5</v>
      </c>
      <c r="Q388" s="17">
        <v>42.35</v>
      </c>
      <c r="R388" s="17">
        <v>75</v>
      </c>
      <c r="S388" s="17">
        <v>42.3</v>
      </c>
      <c r="T388" s="16">
        <f t="shared" si="30"/>
        <v>7500</v>
      </c>
      <c r="U388" s="18">
        <v>-3445.99</v>
      </c>
      <c r="V388" s="19">
        <f t="shared" si="31"/>
        <v>-0.45946533333333328</v>
      </c>
      <c r="W388" s="19">
        <f t="shared" si="32"/>
        <v>-0.43600000000000005</v>
      </c>
      <c r="X388" s="19">
        <f t="shared" si="33"/>
        <v>-6.6666666666659324E-4</v>
      </c>
      <c r="Y388" s="12" t="s">
        <v>424</v>
      </c>
      <c r="Z388" s="12" t="s">
        <v>70</v>
      </c>
      <c r="AA388" s="18">
        <v>-3445.99</v>
      </c>
      <c r="AB388" s="17">
        <v>-2.4460000000000002</v>
      </c>
      <c r="AC388" s="12" t="s">
        <v>71</v>
      </c>
      <c r="AD388" s="12" t="str">
        <f t="shared" si="34"/>
        <v>Rs 2+</v>
      </c>
      <c r="AE388" s="20">
        <v>1</v>
      </c>
    </row>
    <row r="389" spans="1:31" x14ac:dyDescent="0.3">
      <c r="A389" s="12" t="s">
        <v>263</v>
      </c>
      <c r="B389" s="12" t="s">
        <v>424</v>
      </c>
      <c r="C389" s="12" t="s">
        <v>421</v>
      </c>
      <c r="D389" s="12" t="s">
        <v>68</v>
      </c>
      <c r="E389" s="13">
        <v>44.2</v>
      </c>
      <c r="F389" s="13">
        <v>37.4</v>
      </c>
      <c r="G389" s="13">
        <v>17.8</v>
      </c>
      <c r="H389" s="14">
        <v>960.4</v>
      </c>
      <c r="I389" s="12" t="s">
        <v>426</v>
      </c>
      <c r="J389" s="14">
        <v>900</v>
      </c>
      <c r="K389" s="15">
        <v>6</v>
      </c>
      <c r="L389" s="16">
        <v>775</v>
      </c>
      <c r="M389" s="16">
        <v>199</v>
      </c>
      <c r="N389" s="17">
        <v>10</v>
      </c>
      <c r="O389" s="17">
        <v>10.45</v>
      </c>
      <c r="P389" s="17">
        <v>7.05</v>
      </c>
      <c r="Q389" s="17">
        <v>8.5</v>
      </c>
      <c r="R389" s="17">
        <v>10.050000000000001</v>
      </c>
      <c r="S389" s="17">
        <v>8.4499999999999993</v>
      </c>
      <c r="T389" s="16">
        <f t="shared" si="30"/>
        <v>7788.7500000000009</v>
      </c>
      <c r="U389" s="18">
        <v>-1590.04</v>
      </c>
      <c r="V389" s="19">
        <f t="shared" si="31"/>
        <v>-0.20414572299791364</v>
      </c>
      <c r="W389" s="19">
        <f t="shared" si="32"/>
        <v>-0.15920398009950265</v>
      </c>
      <c r="X389" s="19">
        <f t="shared" si="33"/>
        <v>3.9800995024875441E-2</v>
      </c>
      <c r="Y389" s="12" t="s">
        <v>427</v>
      </c>
      <c r="Z389" s="12" t="s">
        <v>70</v>
      </c>
      <c r="AA389" s="18">
        <v>-2158.5500000000002</v>
      </c>
      <c r="AB389" s="17">
        <v>-0.13900000000000001</v>
      </c>
      <c r="AC389" s="12" t="s">
        <v>71</v>
      </c>
      <c r="AD389" s="12" t="str">
        <f t="shared" si="34"/>
        <v>Rs 2+</v>
      </c>
      <c r="AE389" s="20">
        <v>1</v>
      </c>
    </row>
    <row r="390" spans="1:31" x14ac:dyDescent="0.3">
      <c r="A390" s="12" t="s">
        <v>148</v>
      </c>
      <c r="B390" s="12" t="s">
        <v>424</v>
      </c>
      <c r="C390" s="12" t="s">
        <v>421</v>
      </c>
      <c r="D390" s="12" t="s">
        <v>68</v>
      </c>
      <c r="E390" s="13">
        <v>11.5</v>
      </c>
      <c r="F390" s="13">
        <v>138.6</v>
      </c>
      <c r="G390" s="13">
        <v>15.9</v>
      </c>
      <c r="H390" s="14">
        <v>960.95</v>
      </c>
      <c r="I390" s="12" t="s">
        <v>426</v>
      </c>
      <c r="J390" s="14">
        <v>880</v>
      </c>
      <c r="K390" s="15">
        <v>8</v>
      </c>
      <c r="L390" s="16">
        <v>375</v>
      </c>
      <c r="M390" s="16">
        <v>521</v>
      </c>
      <c r="N390" s="17">
        <v>15</v>
      </c>
      <c r="O390" s="17">
        <v>23.9</v>
      </c>
      <c r="P390" s="17">
        <v>14.6</v>
      </c>
      <c r="Q390" s="17">
        <v>16.05</v>
      </c>
      <c r="R390" s="17">
        <v>15.05</v>
      </c>
      <c r="S390" s="17">
        <v>16</v>
      </c>
      <c r="T390" s="16">
        <f t="shared" si="30"/>
        <v>5643.75</v>
      </c>
      <c r="U390" s="18">
        <v>62.1</v>
      </c>
      <c r="V390" s="19">
        <f t="shared" si="31"/>
        <v>1.1003322259136214E-2</v>
      </c>
      <c r="W390" s="19">
        <f t="shared" si="32"/>
        <v>6.3122923588039725E-2</v>
      </c>
      <c r="X390" s="19">
        <f t="shared" si="33"/>
        <v>0.5880398671096343</v>
      </c>
      <c r="Y390" s="12" t="s">
        <v>400</v>
      </c>
      <c r="Z390" s="12" t="s">
        <v>70</v>
      </c>
      <c r="AA390" s="18">
        <v>-3000.5</v>
      </c>
      <c r="AB390" s="17">
        <v>2.6909999999999998</v>
      </c>
      <c r="AC390" s="12" t="s">
        <v>71</v>
      </c>
      <c r="AD390" s="12" t="str">
        <f t="shared" si="34"/>
        <v>Rs 2+</v>
      </c>
      <c r="AE390" s="20">
        <v>1</v>
      </c>
    </row>
    <row r="391" spans="1:31" x14ac:dyDescent="0.3">
      <c r="A391" s="12" t="s">
        <v>108</v>
      </c>
      <c r="B391" s="12" t="s">
        <v>424</v>
      </c>
      <c r="C391" s="12" t="s">
        <v>421</v>
      </c>
      <c r="D391" s="12" t="s">
        <v>77</v>
      </c>
      <c r="E391" s="13">
        <v>-26.9</v>
      </c>
      <c r="F391" s="13">
        <v>-42.7</v>
      </c>
      <c r="G391" s="13">
        <v>41.8</v>
      </c>
      <c r="H391" s="14">
        <v>4486.2</v>
      </c>
      <c r="I391" s="12" t="s">
        <v>426</v>
      </c>
      <c r="J391" s="14">
        <v>5000</v>
      </c>
      <c r="K391" s="15">
        <v>10</v>
      </c>
      <c r="L391" s="16">
        <v>125</v>
      </c>
      <c r="M391" s="16">
        <v>2888</v>
      </c>
      <c r="N391" s="17">
        <v>36.35</v>
      </c>
      <c r="O391" s="17">
        <v>55</v>
      </c>
      <c r="P391" s="17">
        <v>27.05</v>
      </c>
      <c r="Q391" s="17">
        <v>29.6</v>
      </c>
      <c r="R391" s="17">
        <v>36.4</v>
      </c>
      <c r="S391" s="17">
        <v>29.55</v>
      </c>
      <c r="T391" s="16">
        <f t="shared" si="30"/>
        <v>4550</v>
      </c>
      <c r="U391" s="18">
        <v>-995.03</v>
      </c>
      <c r="V391" s="19">
        <f t="shared" si="31"/>
        <v>-0.21868791208791208</v>
      </c>
      <c r="W391" s="19">
        <f t="shared" si="32"/>
        <v>-0.18818681318681318</v>
      </c>
      <c r="X391" s="19">
        <f t="shared" si="33"/>
        <v>0.51098901098901095</v>
      </c>
      <c r="Y391" s="12" t="s">
        <v>400</v>
      </c>
      <c r="Z391" s="12" t="s">
        <v>70</v>
      </c>
      <c r="AA391" s="18">
        <v>-2662.41</v>
      </c>
      <c r="AB391" s="17">
        <v>1.052</v>
      </c>
      <c r="AC391" s="12" t="s">
        <v>71</v>
      </c>
      <c r="AD391" s="12" t="str">
        <f t="shared" si="34"/>
        <v>Rs 2+</v>
      </c>
      <c r="AE391" s="20">
        <v>1</v>
      </c>
    </row>
    <row r="392" spans="1:31" x14ac:dyDescent="0.3">
      <c r="A392" s="12" t="s">
        <v>315</v>
      </c>
      <c r="B392" s="12" t="s">
        <v>400</v>
      </c>
      <c r="C392" s="12" t="s">
        <v>424</v>
      </c>
      <c r="D392" s="12" t="s">
        <v>68</v>
      </c>
      <c r="E392" s="13">
        <v>79.7</v>
      </c>
      <c r="F392" s="13">
        <v>26.4</v>
      </c>
      <c r="G392" s="13">
        <v>46.2</v>
      </c>
      <c r="H392" s="14">
        <v>35635</v>
      </c>
      <c r="I392" s="12" t="s">
        <v>426</v>
      </c>
      <c r="J392" s="14">
        <v>29000</v>
      </c>
      <c r="K392" s="15">
        <v>13</v>
      </c>
      <c r="L392" s="16">
        <v>25</v>
      </c>
      <c r="M392" s="16">
        <v>473</v>
      </c>
      <c r="N392" s="17">
        <v>284.95</v>
      </c>
      <c r="O392" s="17">
        <v>320.95</v>
      </c>
      <c r="P392" s="17">
        <v>68.849999999999994</v>
      </c>
      <c r="Q392" s="17">
        <v>94.15</v>
      </c>
      <c r="R392" s="17">
        <v>285</v>
      </c>
      <c r="S392" s="17">
        <v>94.1</v>
      </c>
      <c r="T392" s="16">
        <f t="shared" si="30"/>
        <v>7125</v>
      </c>
      <c r="U392" s="18">
        <v>-5016.9799999999996</v>
      </c>
      <c r="V392" s="19">
        <f t="shared" si="31"/>
        <v>-0.70413754385964911</v>
      </c>
      <c r="W392" s="19">
        <f t="shared" si="32"/>
        <v>-0.66982456140350877</v>
      </c>
      <c r="X392" s="19">
        <f t="shared" si="33"/>
        <v>0.126140350877193</v>
      </c>
      <c r="Y392" s="12" t="s">
        <v>400</v>
      </c>
      <c r="Z392" s="12" t="s">
        <v>70</v>
      </c>
      <c r="AA392" s="18">
        <v>-5016.9799999999996</v>
      </c>
      <c r="AB392" s="17">
        <v>-1.681</v>
      </c>
      <c r="AC392" s="12" t="s">
        <v>71</v>
      </c>
      <c r="AD392" s="12" t="str">
        <f t="shared" si="34"/>
        <v>Rs 2+</v>
      </c>
      <c r="AE392" s="20">
        <v>1</v>
      </c>
    </row>
    <row r="393" spans="1:31" x14ac:dyDescent="0.3">
      <c r="A393" s="12" t="s">
        <v>278</v>
      </c>
      <c r="B393" s="12" t="s">
        <v>400</v>
      </c>
      <c r="C393" s="12" t="s">
        <v>424</v>
      </c>
      <c r="D393" s="12" t="s">
        <v>77</v>
      </c>
      <c r="E393" s="13">
        <v>-60.4</v>
      </c>
      <c r="F393" s="13">
        <v>-44</v>
      </c>
      <c r="G393" s="13">
        <v>4.2</v>
      </c>
      <c r="H393" s="14">
        <v>272.45</v>
      </c>
      <c r="I393" s="12" t="s">
        <v>426</v>
      </c>
      <c r="J393" s="14">
        <v>285</v>
      </c>
      <c r="K393" s="15">
        <v>3</v>
      </c>
      <c r="L393" s="16">
        <v>1525</v>
      </c>
      <c r="M393" s="16">
        <v>335</v>
      </c>
      <c r="N393" s="17">
        <v>4.8</v>
      </c>
      <c r="O393" s="17">
        <v>4.8</v>
      </c>
      <c r="P393" s="17">
        <v>3.3</v>
      </c>
      <c r="Q393" s="17">
        <v>3.45</v>
      </c>
      <c r="R393" s="17">
        <v>4.8499999999999996</v>
      </c>
      <c r="S393" s="17">
        <v>3.4</v>
      </c>
      <c r="T393" s="16">
        <f t="shared" si="30"/>
        <v>7396.2499999999991</v>
      </c>
      <c r="U393" s="18">
        <v>-2523.36</v>
      </c>
      <c r="V393" s="19">
        <f t="shared" si="31"/>
        <v>-0.34116748352205517</v>
      </c>
      <c r="W393" s="19">
        <f t="shared" si="32"/>
        <v>-0.29896907216494839</v>
      </c>
      <c r="X393" s="19">
        <f t="shared" si="33"/>
        <v>-1.0309278350515427E-2</v>
      </c>
      <c r="Y393" s="12" t="s">
        <v>400</v>
      </c>
      <c r="Z393" s="12" t="s">
        <v>70</v>
      </c>
      <c r="AA393" s="18">
        <v>-2523.36</v>
      </c>
      <c r="AB393" s="17">
        <v>-1.591</v>
      </c>
      <c r="AC393" s="12" t="s">
        <v>71</v>
      </c>
      <c r="AD393" s="12" t="str">
        <f t="shared" si="34"/>
        <v>Rs 2+</v>
      </c>
      <c r="AE393" s="20">
        <v>1</v>
      </c>
    </row>
    <row r="394" spans="1:31" x14ac:dyDescent="0.3">
      <c r="A394" s="12" t="s">
        <v>211</v>
      </c>
      <c r="B394" s="12" t="s">
        <v>427</v>
      </c>
      <c r="C394" s="12" t="s">
        <v>400</v>
      </c>
      <c r="D394" s="12" t="s">
        <v>68</v>
      </c>
      <c r="E394" s="13">
        <v>54.4</v>
      </c>
      <c r="F394" s="13">
        <v>14.5</v>
      </c>
      <c r="G394" s="13">
        <v>1.8</v>
      </c>
      <c r="H394" s="14">
        <v>287.5</v>
      </c>
      <c r="I394" s="12" t="s">
        <v>426</v>
      </c>
      <c r="J394" s="14">
        <v>270</v>
      </c>
      <c r="K394" s="15">
        <v>7</v>
      </c>
      <c r="L394" s="16">
        <v>2250</v>
      </c>
      <c r="M394" s="16">
        <v>3736</v>
      </c>
      <c r="N394" s="17">
        <v>3.5</v>
      </c>
      <c r="O394" s="17">
        <v>5.75</v>
      </c>
      <c r="P394" s="17">
        <v>3.5</v>
      </c>
      <c r="Q394" s="17">
        <v>5.3</v>
      </c>
      <c r="R394" s="17">
        <v>3.55</v>
      </c>
      <c r="S394" s="17">
        <v>5.25</v>
      </c>
      <c r="T394" s="16">
        <f t="shared" si="30"/>
        <v>7987.5</v>
      </c>
      <c r="U394" s="18">
        <v>3553.51</v>
      </c>
      <c r="V394" s="19">
        <f t="shared" si="31"/>
        <v>0.44488388106416277</v>
      </c>
      <c r="W394" s="19">
        <f t="shared" si="32"/>
        <v>0.47887323943661975</v>
      </c>
      <c r="X394" s="19">
        <f t="shared" si="33"/>
        <v>0.61971830985915499</v>
      </c>
      <c r="Y394" s="12" t="s">
        <v>428</v>
      </c>
      <c r="Z394" s="12" t="s">
        <v>84</v>
      </c>
      <c r="AA394" s="18">
        <v>6665.97</v>
      </c>
      <c r="AB394" s="17">
        <v>3.5710000000000002</v>
      </c>
      <c r="AC394" s="12" t="s">
        <v>71</v>
      </c>
      <c r="AD394" s="12" t="str">
        <f t="shared" si="34"/>
        <v>Rs 2+</v>
      </c>
      <c r="AE394" s="20">
        <v>1</v>
      </c>
    </row>
    <row r="395" spans="1:31" x14ac:dyDescent="0.3">
      <c r="A395" s="12" t="s">
        <v>174</v>
      </c>
      <c r="B395" s="12" t="s">
        <v>429</v>
      </c>
      <c r="C395" s="12" t="s">
        <v>430</v>
      </c>
      <c r="D395" s="12" t="s">
        <v>68</v>
      </c>
      <c r="E395" s="13">
        <v>10.9</v>
      </c>
      <c r="F395" s="13">
        <v>60.2</v>
      </c>
      <c r="G395" s="13">
        <v>17.399999999999999</v>
      </c>
      <c r="H395" s="14">
        <v>163.62</v>
      </c>
      <c r="I395" s="12" t="s">
        <v>426</v>
      </c>
      <c r="J395" s="14">
        <v>145</v>
      </c>
      <c r="K395" s="15">
        <v>7</v>
      </c>
      <c r="L395" s="16">
        <v>5000</v>
      </c>
      <c r="M395" s="16">
        <v>1509</v>
      </c>
      <c r="N395" s="17">
        <v>1.52</v>
      </c>
      <c r="O395" s="17">
        <v>2.42</v>
      </c>
      <c r="P395" s="17">
        <v>1.34</v>
      </c>
      <c r="Q395" s="17">
        <v>2.33</v>
      </c>
      <c r="R395" s="17">
        <v>1.57</v>
      </c>
      <c r="S395" s="17">
        <v>2.2799999999999998</v>
      </c>
      <c r="T395" s="16">
        <f t="shared" si="30"/>
        <v>7850</v>
      </c>
      <c r="U395" s="18">
        <v>3092.37</v>
      </c>
      <c r="V395" s="19">
        <f t="shared" si="31"/>
        <v>0.39393248407643311</v>
      </c>
      <c r="W395" s="19">
        <f t="shared" si="32"/>
        <v>0.45222929936305722</v>
      </c>
      <c r="X395" s="19">
        <f t="shared" si="33"/>
        <v>0.5414012738853502</v>
      </c>
      <c r="Y395" s="12" t="s">
        <v>431</v>
      </c>
      <c r="Z395" s="12" t="s">
        <v>84</v>
      </c>
      <c r="AA395" s="18">
        <v>15660.68</v>
      </c>
      <c r="AB395" s="17">
        <v>6.1689999999999996</v>
      </c>
      <c r="AC395" s="12" t="s">
        <v>102</v>
      </c>
      <c r="AD395" s="12" t="str">
        <f t="shared" si="34"/>
        <v>Rs 1-2</v>
      </c>
      <c r="AE395" s="20">
        <v>1</v>
      </c>
    </row>
    <row r="396" spans="1:31" x14ac:dyDescent="0.3">
      <c r="A396" s="12" t="s">
        <v>146</v>
      </c>
      <c r="B396" s="12" t="s">
        <v>429</v>
      </c>
      <c r="C396" s="12" t="s">
        <v>427</v>
      </c>
      <c r="D396" s="12" t="s">
        <v>68</v>
      </c>
      <c r="E396" s="13">
        <v>22.7</v>
      </c>
      <c r="F396" s="13">
        <v>33.6</v>
      </c>
      <c r="G396" s="13">
        <v>21.9</v>
      </c>
      <c r="H396" s="14">
        <v>6027</v>
      </c>
      <c r="I396" s="12" t="s">
        <v>426</v>
      </c>
      <c r="J396" s="14">
        <v>5450</v>
      </c>
      <c r="K396" s="15">
        <v>12</v>
      </c>
      <c r="L396" s="16">
        <v>200</v>
      </c>
      <c r="M396" s="16">
        <v>242</v>
      </c>
      <c r="N396" s="17">
        <v>32.950000000000003</v>
      </c>
      <c r="O396" s="17">
        <v>52.15</v>
      </c>
      <c r="P396" s="17">
        <v>25.85</v>
      </c>
      <c r="Q396" s="17">
        <v>37.700000000000003</v>
      </c>
      <c r="R396" s="17">
        <v>33</v>
      </c>
      <c r="S396" s="17">
        <v>37.65</v>
      </c>
      <c r="T396" s="16">
        <f t="shared" si="30"/>
        <v>6600</v>
      </c>
      <c r="U396" s="18">
        <v>724.07</v>
      </c>
      <c r="V396" s="19">
        <f t="shared" si="31"/>
        <v>0.10970757575757577</v>
      </c>
      <c r="W396" s="19">
        <f t="shared" si="32"/>
        <v>0.14090909090909087</v>
      </c>
      <c r="X396" s="19">
        <f t="shared" si="33"/>
        <v>0.58030303030303032</v>
      </c>
      <c r="Y396" s="12" t="s">
        <v>432</v>
      </c>
      <c r="Z396" s="12" t="s">
        <v>84</v>
      </c>
      <c r="AA396" s="18">
        <v>2561.89</v>
      </c>
      <c r="AB396" s="17">
        <v>3.59</v>
      </c>
      <c r="AC396" s="12" t="s">
        <v>71</v>
      </c>
      <c r="AD396" s="12" t="str">
        <f t="shared" si="34"/>
        <v>Rs 2+</v>
      </c>
      <c r="AE396" s="20">
        <v>1</v>
      </c>
    </row>
    <row r="397" spans="1:31" x14ac:dyDescent="0.3">
      <c r="A397" s="12" t="s">
        <v>433</v>
      </c>
      <c r="B397" s="12" t="s">
        <v>434</v>
      </c>
      <c r="C397" s="12" t="s">
        <v>429</v>
      </c>
      <c r="D397" s="12" t="s">
        <v>68</v>
      </c>
      <c r="E397" s="13">
        <v>69.2</v>
      </c>
      <c r="F397" s="13">
        <v>10.4</v>
      </c>
      <c r="G397" s="13">
        <v>10.6</v>
      </c>
      <c r="H397" s="14">
        <v>2671.6</v>
      </c>
      <c r="I397" s="12" t="s">
        <v>426</v>
      </c>
      <c r="J397" s="14">
        <v>2620</v>
      </c>
      <c r="K397" s="15">
        <v>3</v>
      </c>
      <c r="L397" s="16">
        <v>250</v>
      </c>
      <c r="M397" s="16">
        <v>1199</v>
      </c>
      <c r="N397" s="17">
        <v>30.35</v>
      </c>
      <c r="O397" s="17">
        <v>68</v>
      </c>
      <c r="P397" s="17">
        <v>27.5</v>
      </c>
      <c r="Q397" s="17">
        <v>65.150000000000006</v>
      </c>
      <c r="R397" s="17">
        <v>30.4</v>
      </c>
      <c r="S397" s="17">
        <v>65.099999999999994</v>
      </c>
      <c r="T397" s="16">
        <f t="shared" si="30"/>
        <v>7600</v>
      </c>
      <c r="U397" s="18">
        <v>8354.3700000000008</v>
      </c>
      <c r="V397" s="19">
        <f t="shared" si="31"/>
        <v>1.0992592105263159</v>
      </c>
      <c r="W397" s="19">
        <f t="shared" si="32"/>
        <v>1.1414473684210527</v>
      </c>
      <c r="X397" s="19">
        <f t="shared" si="33"/>
        <v>1.236842105263158</v>
      </c>
      <c r="Y397" s="12" t="s">
        <v>435</v>
      </c>
      <c r="Z397" s="12" t="s">
        <v>84</v>
      </c>
      <c r="AA397" s="18">
        <v>2722.31</v>
      </c>
      <c r="AB397" s="17">
        <v>3.6669999999999998</v>
      </c>
      <c r="AC397" s="12" t="s">
        <v>71</v>
      </c>
      <c r="AD397" s="12" t="str">
        <f t="shared" si="34"/>
        <v>Rs 2+</v>
      </c>
      <c r="AE397" s="20">
        <v>1</v>
      </c>
    </row>
    <row r="398" spans="1:31" x14ac:dyDescent="0.3">
      <c r="A398" s="12" t="s">
        <v>207</v>
      </c>
      <c r="B398" s="12" t="s">
        <v>434</v>
      </c>
      <c r="C398" s="12" t="s">
        <v>429</v>
      </c>
      <c r="D398" s="12" t="s">
        <v>77</v>
      </c>
      <c r="E398" s="13">
        <v>-182.7</v>
      </c>
      <c r="F398" s="13">
        <v>-562</v>
      </c>
      <c r="G398" s="13">
        <v>1.3</v>
      </c>
      <c r="H398" s="14">
        <v>4405</v>
      </c>
      <c r="I398" s="12" t="s">
        <v>426</v>
      </c>
      <c r="J398" s="14">
        <v>4900</v>
      </c>
      <c r="K398" s="15">
        <v>10</v>
      </c>
      <c r="L398" s="16">
        <v>150</v>
      </c>
      <c r="M398" s="16">
        <v>2443</v>
      </c>
      <c r="N398" s="17">
        <v>50.5</v>
      </c>
      <c r="O398" s="17">
        <v>60.75</v>
      </c>
      <c r="P398" s="17">
        <v>20.149999999999999</v>
      </c>
      <c r="Q398" s="17">
        <v>21.2</v>
      </c>
      <c r="R398" s="17">
        <v>50.55</v>
      </c>
      <c r="S398" s="17">
        <v>21.15</v>
      </c>
      <c r="T398" s="16">
        <f t="shared" si="30"/>
        <v>7582.5</v>
      </c>
      <c r="U398" s="18">
        <v>-4574.26</v>
      </c>
      <c r="V398" s="19">
        <f t="shared" si="31"/>
        <v>-0.60326541378173426</v>
      </c>
      <c r="W398" s="19">
        <f t="shared" si="32"/>
        <v>-0.58160237388724034</v>
      </c>
      <c r="X398" s="19">
        <f t="shared" si="33"/>
        <v>0.20178041543026715</v>
      </c>
      <c r="Y398" s="12" t="s">
        <v>434</v>
      </c>
      <c r="Z398" s="12" t="s">
        <v>70</v>
      </c>
      <c r="AA398" s="18">
        <v>-4574.26</v>
      </c>
      <c r="AB398" s="17">
        <v>-1.585</v>
      </c>
      <c r="AC398" s="12" t="s">
        <v>71</v>
      </c>
      <c r="AD398" s="12" t="str">
        <f t="shared" si="34"/>
        <v>Rs 2+</v>
      </c>
      <c r="AE398" s="20">
        <v>1</v>
      </c>
    </row>
    <row r="399" spans="1:31" x14ac:dyDescent="0.3">
      <c r="A399" s="12" t="s">
        <v>223</v>
      </c>
      <c r="B399" s="12" t="s">
        <v>434</v>
      </c>
      <c r="C399" s="12" t="s">
        <v>429</v>
      </c>
      <c r="D399" s="12" t="s">
        <v>77</v>
      </c>
      <c r="E399" s="13">
        <v>-44.5</v>
      </c>
      <c r="F399" s="13">
        <v>-16.600000000000001</v>
      </c>
      <c r="G399" s="13">
        <v>-2.4</v>
      </c>
      <c r="H399" s="14">
        <v>93.02</v>
      </c>
      <c r="I399" s="12" t="s">
        <v>426</v>
      </c>
      <c r="J399" s="14">
        <v>98</v>
      </c>
      <c r="K399" s="15">
        <v>5</v>
      </c>
      <c r="L399" s="16">
        <v>3575</v>
      </c>
      <c r="M399" s="16">
        <v>399</v>
      </c>
      <c r="N399" s="17">
        <v>1.99</v>
      </c>
      <c r="O399" s="17">
        <v>2.2400000000000002</v>
      </c>
      <c r="P399" s="17">
        <v>0.57999999999999996</v>
      </c>
      <c r="Q399" s="17">
        <v>0.62</v>
      </c>
      <c r="R399" s="17">
        <v>2.04</v>
      </c>
      <c r="S399" s="17">
        <v>0.56999999999999995</v>
      </c>
      <c r="T399" s="16">
        <f t="shared" si="30"/>
        <v>7293</v>
      </c>
      <c r="U399" s="18">
        <v>-5589.57</v>
      </c>
      <c r="V399" s="19">
        <f t="shared" si="31"/>
        <v>-0.76642945290004105</v>
      </c>
      <c r="W399" s="19">
        <f t="shared" si="32"/>
        <v>-0.72058823529411775</v>
      </c>
      <c r="X399" s="19">
        <f t="shared" si="33"/>
        <v>9.8039215686274606E-2</v>
      </c>
      <c r="Y399" s="12" t="s">
        <v>434</v>
      </c>
      <c r="Z399" s="12" t="s">
        <v>70</v>
      </c>
      <c r="AA399" s="18">
        <v>-5589.57</v>
      </c>
      <c r="AB399" s="17">
        <v>-6.3029999999999999</v>
      </c>
      <c r="AC399" s="12" t="s">
        <v>71</v>
      </c>
      <c r="AD399" s="12" t="str">
        <f t="shared" si="34"/>
        <v>Rs 2+</v>
      </c>
      <c r="AE399" s="20">
        <v>1</v>
      </c>
    </row>
    <row r="400" spans="1:31" x14ac:dyDescent="0.3">
      <c r="A400" s="12" t="s">
        <v>333</v>
      </c>
      <c r="B400" s="12" t="s">
        <v>436</v>
      </c>
      <c r="C400" s="12" t="s">
        <v>437</v>
      </c>
      <c r="D400" s="12" t="s">
        <v>68</v>
      </c>
      <c r="E400" s="13">
        <v>11.3</v>
      </c>
      <c r="F400" s="13">
        <v>31.1</v>
      </c>
      <c r="G400" s="13">
        <v>14.9</v>
      </c>
      <c r="H400" s="14">
        <v>4081.1</v>
      </c>
      <c r="I400" s="12" t="s">
        <v>438</v>
      </c>
      <c r="J400" s="14">
        <v>3800</v>
      </c>
      <c r="K400" s="15">
        <v>6</v>
      </c>
      <c r="L400" s="16">
        <v>150</v>
      </c>
      <c r="M400" s="16">
        <v>8086</v>
      </c>
      <c r="N400" s="17">
        <v>39.4</v>
      </c>
      <c r="O400" s="17">
        <v>61.55</v>
      </c>
      <c r="P400" s="17">
        <v>27.2</v>
      </c>
      <c r="Q400" s="17">
        <v>28.65</v>
      </c>
      <c r="R400" s="17">
        <v>39.450000000000003</v>
      </c>
      <c r="S400" s="17">
        <v>28.6</v>
      </c>
      <c r="T400" s="16">
        <f t="shared" si="30"/>
        <v>5917.5</v>
      </c>
      <c r="U400" s="18">
        <v>-1787.69</v>
      </c>
      <c r="V400" s="19">
        <f t="shared" si="31"/>
        <v>-0.30210223912125056</v>
      </c>
      <c r="W400" s="19">
        <f t="shared" si="32"/>
        <v>-0.27503168567807357</v>
      </c>
      <c r="X400" s="19">
        <f t="shared" si="33"/>
        <v>0.5602027883396703</v>
      </c>
      <c r="Y400" s="12" t="s">
        <v>436</v>
      </c>
      <c r="Z400" s="12" t="s">
        <v>70</v>
      </c>
      <c r="AA400" s="18">
        <v>-1787.69</v>
      </c>
      <c r="AB400" s="17">
        <v>-1.1160000000000001</v>
      </c>
      <c r="AC400" s="12" t="s">
        <v>71</v>
      </c>
      <c r="AD400" s="12" t="str">
        <f t="shared" si="34"/>
        <v>Rs 2+</v>
      </c>
      <c r="AE400" s="20">
        <v>1</v>
      </c>
    </row>
    <row r="401" spans="1:31" x14ac:dyDescent="0.3">
      <c r="A401" s="12" t="s">
        <v>126</v>
      </c>
      <c r="B401" s="12" t="s">
        <v>436</v>
      </c>
      <c r="C401" s="12" t="s">
        <v>439</v>
      </c>
      <c r="D401" s="12" t="s">
        <v>68</v>
      </c>
      <c r="E401" s="13">
        <v>47.5</v>
      </c>
      <c r="F401" s="13">
        <v>5.8</v>
      </c>
      <c r="G401" s="13">
        <v>11.1</v>
      </c>
      <c r="H401" s="14">
        <v>870.7</v>
      </c>
      <c r="I401" s="12" t="s">
        <v>438</v>
      </c>
      <c r="J401" s="14">
        <v>821.75</v>
      </c>
      <c r="K401" s="15">
        <v>9</v>
      </c>
      <c r="L401" s="16">
        <v>1000</v>
      </c>
      <c r="M401" s="16">
        <v>236</v>
      </c>
      <c r="N401" s="17">
        <v>6.5</v>
      </c>
      <c r="O401" s="17">
        <v>13.05</v>
      </c>
      <c r="P401" s="17">
        <v>5.6</v>
      </c>
      <c r="Q401" s="17">
        <v>11.3</v>
      </c>
      <c r="R401" s="17">
        <v>6.55</v>
      </c>
      <c r="S401" s="17">
        <v>11.25</v>
      </c>
      <c r="T401" s="16">
        <f t="shared" si="30"/>
        <v>6550</v>
      </c>
      <c r="U401" s="18">
        <v>4272.2299999999996</v>
      </c>
      <c r="V401" s="19">
        <f t="shared" si="31"/>
        <v>0.65224885496183205</v>
      </c>
      <c r="W401" s="19">
        <f t="shared" si="32"/>
        <v>0.71755725190839703</v>
      </c>
      <c r="X401" s="19">
        <f t="shared" si="33"/>
        <v>0.99236641221374056</v>
      </c>
      <c r="Y401" s="12" t="s">
        <v>440</v>
      </c>
      <c r="Z401" s="12" t="s">
        <v>84</v>
      </c>
      <c r="AA401" s="18">
        <v>5739.36</v>
      </c>
      <c r="AB401" s="17">
        <v>2.9319999999999999</v>
      </c>
      <c r="AC401" s="12" t="s">
        <v>71</v>
      </c>
      <c r="AD401" s="12" t="str">
        <f t="shared" si="34"/>
        <v>Rs 2+</v>
      </c>
      <c r="AE401" s="20">
        <v>1</v>
      </c>
    </row>
    <row r="402" spans="1:31" x14ac:dyDescent="0.3">
      <c r="A402" s="12" t="s">
        <v>346</v>
      </c>
      <c r="B402" s="12" t="s">
        <v>436</v>
      </c>
      <c r="C402" s="12" t="s">
        <v>439</v>
      </c>
      <c r="D402" s="12" t="s">
        <v>68</v>
      </c>
      <c r="E402" s="13">
        <v>30.7</v>
      </c>
      <c r="F402" s="13">
        <v>13.2</v>
      </c>
      <c r="G402" s="13">
        <v>23.1</v>
      </c>
      <c r="H402" s="14">
        <v>321.25</v>
      </c>
      <c r="I402" s="12" t="s">
        <v>438</v>
      </c>
      <c r="J402" s="14">
        <v>295</v>
      </c>
      <c r="K402" s="15">
        <v>5</v>
      </c>
      <c r="L402" s="16">
        <v>2250</v>
      </c>
      <c r="M402" s="16">
        <v>776</v>
      </c>
      <c r="N402" s="17">
        <v>2.85</v>
      </c>
      <c r="O402" s="17">
        <v>3</v>
      </c>
      <c r="P402" s="17">
        <v>1.1499999999999999</v>
      </c>
      <c r="Q402" s="17">
        <v>1.7</v>
      </c>
      <c r="R402" s="17">
        <v>2.9</v>
      </c>
      <c r="S402" s="17">
        <v>1.65</v>
      </c>
      <c r="T402" s="16">
        <f t="shared" si="30"/>
        <v>6525</v>
      </c>
      <c r="U402" s="18">
        <v>-3074.53</v>
      </c>
      <c r="V402" s="19">
        <f t="shared" si="31"/>
        <v>-0.47119233716475101</v>
      </c>
      <c r="W402" s="19">
        <f t="shared" si="32"/>
        <v>-0.43103448275862066</v>
      </c>
      <c r="X402" s="19">
        <f t="shared" si="33"/>
        <v>3.4482758620689724E-2</v>
      </c>
      <c r="Y402" s="12" t="s">
        <v>436</v>
      </c>
      <c r="Z402" s="12" t="s">
        <v>70</v>
      </c>
      <c r="AA402" s="18">
        <v>-3074.53</v>
      </c>
      <c r="AB402" s="17">
        <v>-1.0740000000000001</v>
      </c>
      <c r="AC402" s="12" t="s">
        <v>71</v>
      </c>
      <c r="AD402" s="12" t="str">
        <f t="shared" si="34"/>
        <v>Rs 2+</v>
      </c>
      <c r="AE402" s="20">
        <v>1</v>
      </c>
    </row>
    <row r="403" spans="1:31" x14ac:dyDescent="0.3">
      <c r="A403" s="12" t="s">
        <v>399</v>
      </c>
      <c r="B403" s="12" t="s">
        <v>436</v>
      </c>
      <c r="C403" s="12" t="s">
        <v>437</v>
      </c>
      <c r="D403" s="12" t="s">
        <v>68</v>
      </c>
      <c r="E403" s="13">
        <v>17.100000000000001</v>
      </c>
      <c r="F403" s="13">
        <v>5.9</v>
      </c>
      <c r="G403" s="13">
        <v>18</v>
      </c>
      <c r="H403" s="14">
        <v>4037.2</v>
      </c>
      <c r="I403" s="12" t="s">
        <v>438</v>
      </c>
      <c r="J403" s="14">
        <v>3850</v>
      </c>
      <c r="K403" s="15">
        <v>4</v>
      </c>
      <c r="L403" s="16">
        <v>150</v>
      </c>
      <c r="M403" s="16">
        <v>1426</v>
      </c>
      <c r="N403" s="17">
        <v>45.15</v>
      </c>
      <c r="O403" s="17">
        <v>74.2</v>
      </c>
      <c r="P403" s="17">
        <v>19.649999999999999</v>
      </c>
      <c r="Q403" s="17">
        <v>30.85</v>
      </c>
      <c r="R403" s="17">
        <v>45.2</v>
      </c>
      <c r="S403" s="17">
        <v>30.8</v>
      </c>
      <c r="T403" s="16">
        <f t="shared" si="30"/>
        <v>6780</v>
      </c>
      <c r="U403" s="18">
        <v>-2333.12</v>
      </c>
      <c r="V403" s="19">
        <f t="shared" si="31"/>
        <v>-0.34411799410029498</v>
      </c>
      <c r="W403" s="19">
        <f t="shared" si="32"/>
        <v>-0.31858407079646023</v>
      </c>
      <c r="X403" s="19">
        <f t="shared" si="33"/>
        <v>0.6415929203539823</v>
      </c>
      <c r="Y403" s="12" t="s">
        <v>436</v>
      </c>
      <c r="Z403" s="12" t="s">
        <v>70</v>
      </c>
      <c r="AA403" s="18">
        <v>-2333.12</v>
      </c>
      <c r="AB403" s="17">
        <v>-1.6459999999999999</v>
      </c>
      <c r="AC403" s="12" t="s">
        <v>71</v>
      </c>
      <c r="AD403" s="12" t="str">
        <f t="shared" si="34"/>
        <v>Rs 2+</v>
      </c>
      <c r="AE403" s="20">
        <v>1</v>
      </c>
    </row>
    <row r="404" spans="1:31" x14ac:dyDescent="0.3">
      <c r="A404" s="12" t="s">
        <v>337</v>
      </c>
      <c r="B404" s="12" t="s">
        <v>441</v>
      </c>
      <c r="C404" s="12" t="s">
        <v>436</v>
      </c>
      <c r="D404" s="12" t="s">
        <v>68</v>
      </c>
      <c r="E404" s="13">
        <v>20.3</v>
      </c>
      <c r="F404" s="13">
        <v>3</v>
      </c>
      <c r="G404" s="13">
        <v>13.9</v>
      </c>
      <c r="H404" s="14">
        <v>1221.2</v>
      </c>
      <c r="I404" s="12" t="s">
        <v>438</v>
      </c>
      <c r="J404" s="14">
        <v>1150</v>
      </c>
      <c r="K404" s="15">
        <v>7</v>
      </c>
      <c r="L404" s="16">
        <v>400</v>
      </c>
      <c r="M404" s="16">
        <v>8523</v>
      </c>
      <c r="N404" s="17">
        <v>16.899999999999999</v>
      </c>
      <c r="O404" s="17">
        <v>30</v>
      </c>
      <c r="P404" s="17">
        <v>13.5</v>
      </c>
      <c r="Q404" s="17">
        <v>28.65</v>
      </c>
      <c r="R404" s="17">
        <v>16.95</v>
      </c>
      <c r="S404" s="17">
        <v>28.6</v>
      </c>
      <c r="T404" s="16">
        <f t="shared" si="30"/>
        <v>6780</v>
      </c>
      <c r="U404" s="18">
        <v>4405.59</v>
      </c>
      <c r="V404" s="19">
        <f t="shared" si="31"/>
        <v>0.64979203539823016</v>
      </c>
      <c r="W404" s="19">
        <f t="shared" si="32"/>
        <v>0.68731563421828934</v>
      </c>
      <c r="X404" s="19">
        <f t="shared" si="33"/>
        <v>0.76991150442477885</v>
      </c>
      <c r="Y404" s="12" t="s">
        <v>442</v>
      </c>
      <c r="Z404" s="12" t="s">
        <v>84</v>
      </c>
      <c r="AA404" s="18">
        <v>-1325.28</v>
      </c>
      <c r="AB404" s="17">
        <v>2.7749999999999999</v>
      </c>
      <c r="AC404" s="12" t="s">
        <v>71</v>
      </c>
      <c r="AD404" s="12" t="str">
        <f t="shared" si="34"/>
        <v>Rs 2+</v>
      </c>
      <c r="AE404" s="20">
        <v>1</v>
      </c>
    </row>
    <row r="405" spans="1:31" x14ac:dyDescent="0.3">
      <c r="A405" s="12" t="s">
        <v>72</v>
      </c>
      <c r="B405" s="12" t="s">
        <v>442</v>
      </c>
      <c r="C405" s="12" t="s">
        <v>443</v>
      </c>
      <c r="D405" s="12" t="s">
        <v>68</v>
      </c>
      <c r="E405" s="13">
        <v>12</v>
      </c>
      <c r="F405" s="13">
        <v>34.4</v>
      </c>
      <c r="G405" s="13">
        <v>13.6</v>
      </c>
      <c r="H405" s="14">
        <v>2729.4</v>
      </c>
      <c r="I405" s="12" t="s">
        <v>438</v>
      </c>
      <c r="J405" s="14">
        <v>2600</v>
      </c>
      <c r="K405" s="15">
        <v>14</v>
      </c>
      <c r="L405" s="16">
        <v>300</v>
      </c>
      <c r="M405" s="16">
        <v>8234</v>
      </c>
      <c r="N405" s="17">
        <v>25.95</v>
      </c>
      <c r="O405" s="17">
        <v>72.099999999999994</v>
      </c>
      <c r="P405" s="17">
        <v>25.7</v>
      </c>
      <c r="Q405" s="17">
        <v>60.55</v>
      </c>
      <c r="R405" s="17">
        <v>26</v>
      </c>
      <c r="S405" s="17">
        <v>60.5</v>
      </c>
      <c r="T405" s="16">
        <f t="shared" si="30"/>
        <v>7800</v>
      </c>
      <c r="U405" s="18">
        <v>10004.93</v>
      </c>
      <c r="V405" s="19">
        <f t="shared" si="31"/>
        <v>1.2826833333333334</v>
      </c>
      <c r="W405" s="19">
        <f t="shared" si="32"/>
        <v>1.3269230769230771</v>
      </c>
      <c r="X405" s="19">
        <f t="shared" si="33"/>
        <v>1.773076923076923</v>
      </c>
      <c r="Y405" s="12" t="s">
        <v>440</v>
      </c>
      <c r="Z405" s="12" t="s">
        <v>84</v>
      </c>
      <c r="AA405" s="18">
        <v>1453.11</v>
      </c>
      <c r="AB405" s="17">
        <v>4.4119999999999999</v>
      </c>
      <c r="AC405" s="12" t="s">
        <v>71</v>
      </c>
      <c r="AD405" s="12" t="str">
        <f t="shared" si="34"/>
        <v>Rs 2+</v>
      </c>
      <c r="AE405" s="20">
        <v>1</v>
      </c>
    </row>
    <row r="406" spans="1:31" x14ac:dyDescent="0.3">
      <c r="A406" s="12" t="s">
        <v>290</v>
      </c>
      <c r="B406" s="12" t="s">
        <v>440</v>
      </c>
      <c r="C406" s="12" t="s">
        <v>442</v>
      </c>
      <c r="D406" s="12" t="s">
        <v>68</v>
      </c>
      <c r="E406" s="13">
        <v>16.100000000000001</v>
      </c>
      <c r="F406" s="13">
        <v>14.5</v>
      </c>
      <c r="G406" s="13">
        <v>34.5</v>
      </c>
      <c r="H406" s="14">
        <v>1081.4000000000001</v>
      </c>
      <c r="I406" s="12" t="s">
        <v>438</v>
      </c>
      <c r="J406" s="14">
        <v>1060</v>
      </c>
      <c r="K406" s="15">
        <v>1</v>
      </c>
      <c r="L406" s="16">
        <v>500</v>
      </c>
      <c r="M406" s="16">
        <v>2673</v>
      </c>
      <c r="N406" s="17">
        <v>12.35</v>
      </c>
      <c r="O406" s="17">
        <v>17.350000000000001</v>
      </c>
      <c r="P406" s="17">
        <v>7.6</v>
      </c>
      <c r="Q406" s="17">
        <v>9.0500000000000007</v>
      </c>
      <c r="R406" s="17">
        <v>12.4</v>
      </c>
      <c r="S406" s="17">
        <v>9</v>
      </c>
      <c r="T406" s="16">
        <f t="shared" si="30"/>
        <v>6200</v>
      </c>
      <c r="U406" s="18">
        <v>-1972.64</v>
      </c>
      <c r="V406" s="19">
        <f t="shared" si="31"/>
        <v>-0.31816774193548386</v>
      </c>
      <c r="W406" s="19">
        <f t="shared" si="32"/>
        <v>-0.27419354838709675</v>
      </c>
      <c r="X406" s="19">
        <f t="shared" si="33"/>
        <v>0.39919354838709675</v>
      </c>
      <c r="Y406" s="12" t="s">
        <v>440</v>
      </c>
      <c r="Z406" s="12" t="s">
        <v>70</v>
      </c>
      <c r="AA406" s="18">
        <v>-1972.64</v>
      </c>
      <c r="AB406" s="17">
        <v>-0.48699999999999999</v>
      </c>
      <c r="AC406" s="12" t="s">
        <v>71</v>
      </c>
      <c r="AD406" s="12" t="str">
        <f t="shared" si="34"/>
        <v>Rs 2+</v>
      </c>
      <c r="AE406" s="20">
        <v>1</v>
      </c>
    </row>
    <row r="407" spans="1:31" x14ac:dyDescent="0.3">
      <c r="A407" s="12" t="s">
        <v>93</v>
      </c>
      <c r="B407" s="12" t="s">
        <v>440</v>
      </c>
      <c r="C407" s="12" t="s">
        <v>442</v>
      </c>
      <c r="D407" s="12" t="s">
        <v>68</v>
      </c>
      <c r="E407" s="13">
        <v>32.799999999999997</v>
      </c>
      <c r="F407" s="13">
        <v>1.4</v>
      </c>
      <c r="G407" s="13">
        <v>39</v>
      </c>
      <c r="H407" s="14">
        <v>9215</v>
      </c>
      <c r="I407" s="12" t="s">
        <v>438</v>
      </c>
      <c r="J407" s="14">
        <v>8600</v>
      </c>
      <c r="K407" s="15">
        <v>6</v>
      </c>
      <c r="L407" s="16">
        <v>125</v>
      </c>
      <c r="M407" s="16">
        <v>6190</v>
      </c>
      <c r="N407" s="17">
        <v>54.95</v>
      </c>
      <c r="O407" s="17">
        <v>83.2</v>
      </c>
      <c r="P407" s="17">
        <v>36.75</v>
      </c>
      <c r="Q407" s="17">
        <v>61.65</v>
      </c>
      <c r="R407" s="17">
        <v>55</v>
      </c>
      <c r="S407" s="17">
        <v>61.6</v>
      </c>
      <c r="T407" s="16">
        <f t="shared" si="30"/>
        <v>6875</v>
      </c>
      <c r="U407" s="18">
        <v>614.16</v>
      </c>
      <c r="V407" s="19">
        <f t="shared" si="31"/>
        <v>8.9332363636363626E-2</v>
      </c>
      <c r="W407" s="19">
        <f t="shared" si="32"/>
        <v>0.12000000000000011</v>
      </c>
      <c r="X407" s="19">
        <f t="shared" si="33"/>
        <v>0.5127272727272727</v>
      </c>
      <c r="Y407" s="12" t="s">
        <v>444</v>
      </c>
      <c r="Z407" s="12" t="s">
        <v>70</v>
      </c>
      <c r="AA407" s="18">
        <v>-2658.84</v>
      </c>
      <c r="AB407" s="17">
        <v>3.3540000000000001</v>
      </c>
      <c r="AC407" s="12" t="s">
        <v>71</v>
      </c>
      <c r="AD407" s="12" t="str">
        <f t="shared" si="34"/>
        <v>Rs 2+</v>
      </c>
      <c r="AE407" s="20">
        <v>1</v>
      </c>
    </row>
    <row r="408" spans="1:31" x14ac:dyDescent="0.3">
      <c r="A408" s="12" t="s">
        <v>397</v>
      </c>
      <c r="B408" s="12" t="s">
        <v>440</v>
      </c>
      <c r="C408" s="12" t="s">
        <v>442</v>
      </c>
      <c r="D408" s="12" t="s">
        <v>68</v>
      </c>
      <c r="E408" s="13">
        <v>31.7</v>
      </c>
      <c r="F408" s="13">
        <v>9.6</v>
      </c>
      <c r="G408" s="13">
        <v>17.7</v>
      </c>
      <c r="H408" s="14">
        <v>1510.3</v>
      </c>
      <c r="I408" s="12" t="s">
        <v>438</v>
      </c>
      <c r="J408" s="14">
        <v>1484</v>
      </c>
      <c r="K408" s="15">
        <v>2</v>
      </c>
      <c r="L408" s="16">
        <v>600</v>
      </c>
      <c r="M408" s="16">
        <v>1030</v>
      </c>
      <c r="N408" s="17">
        <v>12.95</v>
      </c>
      <c r="O408" s="17">
        <v>14.95</v>
      </c>
      <c r="P408" s="17">
        <v>4.5</v>
      </c>
      <c r="Q408" s="17">
        <v>5</v>
      </c>
      <c r="R408" s="17">
        <v>13</v>
      </c>
      <c r="S408" s="17">
        <v>4.95</v>
      </c>
      <c r="T408" s="16">
        <f t="shared" si="30"/>
        <v>7800</v>
      </c>
      <c r="U408" s="18">
        <v>-4994.12</v>
      </c>
      <c r="V408" s="19">
        <f t="shared" si="31"/>
        <v>-0.64027179487179486</v>
      </c>
      <c r="W408" s="19">
        <f t="shared" si="32"/>
        <v>-0.61923076923076925</v>
      </c>
      <c r="X408" s="19">
        <f t="shared" si="33"/>
        <v>0.14999999999999991</v>
      </c>
      <c r="Y408" s="12" t="s">
        <v>440</v>
      </c>
      <c r="Z408" s="12" t="s">
        <v>70</v>
      </c>
      <c r="AA408" s="18">
        <v>-4994.12</v>
      </c>
      <c r="AB408" s="17">
        <v>-2.1360000000000001</v>
      </c>
      <c r="AC408" s="12" t="s">
        <v>71</v>
      </c>
      <c r="AD408" s="12" t="str">
        <f t="shared" si="34"/>
        <v>Rs 2+</v>
      </c>
      <c r="AE408" s="20">
        <v>1</v>
      </c>
    </row>
    <row r="409" spans="1:31" x14ac:dyDescent="0.3">
      <c r="A409" s="12" t="s">
        <v>285</v>
      </c>
      <c r="B409" s="12" t="s">
        <v>444</v>
      </c>
      <c r="C409" s="12" t="s">
        <v>445</v>
      </c>
      <c r="D409" s="12" t="s">
        <v>68</v>
      </c>
      <c r="E409" s="13">
        <v>22.2</v>
      </c>
      <c r="F409" s="13">
        <v>0.4</v>
      </c>
      <c r="G409" s="13">
        <v>9.9</v>
      </c>
      <c r="H409" s="14">
        <v>1328.5</v>
      </c>
      <c r="I409" s="12" t="s">
        <v>438</v>
      </c>
      <c r="J409" s="14">
        <v>1250</v>
      </c>
      <c r="K409" s="15">
        <v>8</v>
      </c>
      <c r="L409" s="16">
        <v>625</v>
      </c>
      <c r="M409" s="16">
        <v>20841</v>
      </c>
      <c r="N409" s="17">
        <v>10.55</v>
      </c>
      <c r="O409" s="17">
        <v>19.95</v>
      </c>
      <c r="P409" s="17">
        <v>8.4499999999999993</v>
      </c>
      <c r="Q409" s="17">
        <v>13.9</v>
      </c>
      <c r="R409" s="17">
        <v>10.6</v>
      </c>
      <c r="S409" s="17">
        <v>13.85</v>
      </c>
      <c r="T409" s="16">
        <f t="shared" si="30"/>
        <v>6625</v>
      </c>
      <c r="U409" s="18">
        <v>1811.63</v>
      </c>
      <c r="V409" s="19">
        <f t="shared" si="31"/>
        <v>0.27345358490566041</v>
      </c>
      <c r="W409" s="19">
        <f t="shared" si="32"/>
        <v>0.30660377358490565</v>
      </c>
      <c r="X409" s="19">
        <f t="shared" si="33"/>
        <v>0.88207547169811318</v>
      </c>
      <c r="Y409" s="12" t="s">
        <v>446</v>
      </c>
      <c r="Z409" s="12" t="s">
        <v>84</v>
      </c>
      <c r="AA409" s="18">
        <v>-473.31</v>
      </c>
      <c r="AB409" s="17">
        <v>1.49</v>
      </c>
      <c r="AC409" s="12" t="s">
        <v>71</v>
      </c>
      <c r="AD409" s="12" t="str">
        <f t="shared" si="34"/>
        <v>Rs 2+</v>
      </c>
      <c r="AE409" s="20">
        <v>1</v>
      </c>
    </row>
    <row r="410" spans="1:31" x14ac:dyDescent="0.3">
      <c r="A410" s="12" t="s">
        <v>236</v>
      </c>
      <c r="B410" s="12" t="s">
        <v>444</v>
      </c>
      <c r="C410" s="12" t="s">
        <v>440</v>
      </c>
      <c r="D410" s="12" t="s">
        <v>77</v>
      </c>
      <c r="E410" s="13">
        <v>-16.600000000000001</v>
      </c>
      <c r="F410" s="13">
        <v>-60</v>
      </c>
      <c r="G410" s="13">
        <v>19.5</v>
      </c>
      <c r="H410" s="14">
        <v>1187.3</v>
      </c>
      <c r="I410" s="12" t="s">
        <v>438</v>
      </c>
      <c r="J410" s="14">
        <v>1210</v>
      </c>
      <c r="K410" s="15">
        <v>2</v>
      </c>
      <c r="L410" s="16">
        <v>500</v>
      </c>
      <c r="M410" s="16">
        <v>2241</v>
      </c>
      <c r="N410" s="17">
        <v>12.25</v>
      </c>
      <c r="O410" s="17">
        <v>22.05</v>
      </c>
      <c r="P410" s="17">
        <v>10.35</v>
      </c>
      <c r="Q410" s="17">
        <v>16.899999999999999</v>
      </c>
      <c r="R410" s="17">
        <v>12.3</v>
      </c>
      <c r="S410" s="17">
        <v>16.850000000000001</v>
      </c>
      <c r="T410" s="16">
        <f t="shared" si="30"/>
        <v>6150</v>
      </c>
      <c r="U410" s="18">
        <v>1917.35</v>
      </c>
      <c r="V410" s="19">
        <f t="shared" si="31"/>
        <v>0.3117642276422764</v>
      </c>
      <c r="W410" s="19">
        <f t="shared" si="32"/>
        <v>0.36991869918699183</v>
      </c>
      <c r="X410" s="19">
        <f t="shared" si="33"/>
        <v>0.79268292682926833</v>
      </c>
      <c r="Y410" s="12" t="s">
        <v>447</v>
      </c>
      <c r="Z410" s="12" t="s">
        <v>84</v>
      </c>
      <c r="AA410" s="18">
        <v>914.82</v>
      </c>
      <c r="AB410" s="17">
        <v>2.9769999999999999</v>
      </c>
      <c r="AC410" s="12" t="s">
        <v>71</v>
      </c>
      <c r="AD410" s="12" t="str">
        <f t="shared" si="34"/>
        <v>Rs 2+</v>
      </c>
      <c r="AE410" s="20">
        <v>1</v>
      </c>
    </row>
    <row r="411" spans="1:31" x14ac:dyDescent="0.3">
      <c r="A411" s="12" t="s">
        <v>234</v>
      </c>
      <c r="B411" s="12" t="s">
        <v>444</v>
      </c>
      <c r="C411" s="12" t="s">
        <v>445</v>
      </c>
      <c r="D411" s="12" t="s">
        <v>68</v>
      </c>
      <c r="E411" s="13">
        <v>13.9</v>
      </c>
      <c r="F411" s="13">
        <v>4.5999999999999996</v>
      </c>
      <c r="G411" s="13">
        <v>6.4</v>
      </c>
      <c r="H411" s="14">
        <v>1444.1</v>
      </c>
      <c r="I411" s="12" t="s">
        <v>438</v>
      </c>
      <c r="J411" s="14">
        <v>1420</v>
      </c>
      <c r="K411" s="15">
        <v>2</v>
      </c>
      <c r="L411" s="16">
        <v>700</v>
      </c>
      <c r="M411" s="16">
        <v>9089</v>
      </c>
      <c r="N411" s="17">
        <v>10.050000000000001</v>
      </c>
      <c r="O411" s="17">
        <v>11.5</v>
      </c>
      <c r="P411" s="17">
        <v>4.25</v>
      </c>
      <c r="Q411" s="17">
        <v>5</v>
      </c>
      <c r="R411" s="17">
        <v>10.1</v>
      </c>
      <c r="S411" s="17">
        <v>4.95</v>
      </c>
      <c r="T411" s="16">
        <f t="shared" si="30"/>
        <v>7070</v>
      </c>
      <c r="U411" s="18">
        <v>-3767.38</v>
      </c>
      <c r="V411" s="19">
        <f t="shared" si="31"/>
        <v>-0.53286845827439888</v>
      </c>
      <c r="W411" s="19">
        <f t="shared" si="32"/>
        <v>-0.50990099009900991</v>
      </c>
      <c r="X411" s="19">
        <f t="shared" si="33"/>
        <v>0.13861386138613874</v>
      </c>
      <c r="Y411" s="12" t="s">
        <v>444</v>
      </c>
      <c r="Z411" s="12" t="s">
        <v>70</v>
      </c>
      <c r="AA411" s="18">
        <v>-3767.38</v>
      </c>
      <c r="AB411" s="17">
        <v>-1.087</v>
      </c>
      <c r="AC411" s="12" t="s">
        <v>71</v>
      </c>
      <c r="AD411" s="12" t="str">
        <f t="shared" si="34"/>
        <v>Rs 2+</v>
      </c>
      <c r="AE411" s="20">
        <v>1</v>
      </c>
    </row>
    <row r="412" spans="1:31" x14ac:dyDescent="0.3">
      <c r="A412" s="12" t="s">
        <v>247</v>
      </c>
      <c r="B412" s="12" t="s">
        <v>444</v>
      </c>
      <c r="C412" s="12" t="s">
        <v>445</v>
      </c>
      <c r="D412" s="12" t="s">
        <v>68</v>
      </c>
      <c r="E412" s="13">
        <v>22.5</v>
      </c>
      <c r="F412" s="13">
        <v>1.1000000000000001</v>
      </c>
      <c r="G412" s="13">
        <v>6.4</v>
      </c>
      <c r="H412" s="14">
        <v>389.95</v>
      </c>
      <c r="I412" s="12" t="s">
        <v>438</v>
      </c>
      <c r="J412" s="14">
        <v>377.5</v>
      </c>
      <c r="K412" s="15">
        <v>5</v>
      </c>
      <c r="L412" s="16">
        <v>2000</v>
      </c>
      <c r="M412" s="16">
        <v>2224</v>
      </c>
      <c r="N412" s="17">
        <v>3.8</v>
      </c>
      <c r="O412" s="17">
        <v>5.9</v>
      </c>
      <c r="P412" s="17">
        <v>2.25</v>
      </c>
      <c r="Q412" s="17">
        <v>2.5</v>
      </c>
      <c r="R412" s="17">
        <v>3.85</v>
      </c>
      <c r="S412" s="17">
        <v>2.4500000000000002</v>
      </c>
      <c r="T412" s="16">
        <f t="shared" si="30"/>
        <v>7700</v>
      </c>
      <c r="U412" s="18">
        <v>-2986.07</v>
      </c>
      <c r="V412" s="19">
        <f t="shared" si="31"/>
        <v>-0.3878012987012987</v>
      </c>
      <c r="W412" s="19">
        <f t="shared" si="32"/>
        <v>-0.36363636363636365</v>
      </c>
      <c r="X412" s="19">
        <f t="shared" si="33"/>
        <v>0.53246753246753253</v>
      </c>
      <c r="Y412" s="12" t="s">
        <v>444</v>
      </c>
      <c r="Z412" s="12" t="s">
        <v>70</v>
      </c>
      <c r="AA412" s="18">
        <v>-2986.07</v>
      </c>
      <c r="AB412" s="17">
        <v>-1.2999999999999999E-2</v>
      </c>
      <c r="AC412" s="12" t="s">
        <v>71</v>
      </c>
      <c r="AD412" s="12" t="str">
        <f t="shared" si="34"/>
        <v>Rs 2+</v>
      </c>
      <c r="AE412" s="20">
        <v>1</v>
      </c>
    </row>
    <row r="413" spans="1:31" x14ac:dyDescent="0.3">
      <c r="A413" s="12" t="s">
        <v>140</v>
      </c>
      <c r="B413" s="12" t="s">
        <v>444</v>
      </c>
      <c r="C413" s="12" t="s">
        <v>445</v>
      </c>
      <c r="D413" s="12" t="s">
        <v>68</v>
      </c>
      <c r="E413" s="13">
        <v>174.3</v>
      </c>
      <c r="F413" s="13">
        <v>4</v>
      </c>
      <c r="G413" s="13">
        <v>3.1</v>
      </c>
      <c r="H413" s="14">
        <v>105.77</v>
      </c>
      <c r="I413" s="12" t="s">
        <v>438</v>
      </c>
      <c r="J413" s="14">
        <v>104</v>
      </c>
      <c r="K413" s="15">
        <v>2</v>
      </c>
      <c r="L413" s="16">
        <v>8000</v>
      </c>
      <c r="M413" s="16">
        <v>1028</v>
      </c>
      <c r="N413" s="17">
        <v>0.82</v>
      </c>
      <c r="O413" s="17">
        <v>0.83</v>
      </c>
      <c r="P413" s="17">
        <v>0.26</v>
      </c>
      <c r="Q413" s="17">
        <v>0.28000000000000003</v>
      </c>
      <c r="R413" s="17">
        <v>0.87</v>
      </c>
      <c r="S413" s="17">
        <v>0.23</v>
      </c>
      <c r="T413" s="16">
        <f t="shared" si="30"/>
        <v>6960</v>
      </c>
      <c r="U413" s="18">
        <v>-5261.87</v>
      </c>
      <c r="V413" s="19">
        <f t="shared" si="31"/>
        <v>-0.75601580459770112</v>
      </c>
      <c r="W413" s="19">
        <f t="shared" si="32"/>
        <v>-0.73563218390804597</v>
      </c>
      <c r="X413" s="19">
        <f t="shared" si="33"/>
        <v>-4.5977011494252928E-2</v>
      </c>
      <c r="Y413" s="12" t="s">
        <v>444</v>
      </c>
      <c r="Z413" s="12" t="s">
        <v>70</v>
      </c>
      <c r="AA413" s="18">
        <v>-5261.87</v>
      </c>
      <c r="AB413" s="17">
        <v>-3.2330000000000001</v>
      </c>
      <c r="AC413" s="12" t="s">
        <v>102</v>
      </c>
      <c r="AD413" s="12" t="str">
        <f t="shared" si="34"/>
        <v>under Rs 1</v>
      </c>
      <c r="AE413" s="20">
        <v>1</v>
      </c>
    </row>
    <row r="414" spans="1:31" x14ac:dyDescent="0.3">
      <c r="A414" s="12" t="s">
        <v>320</v>
      </c>
      <c r="B414" s="12" t="s">
        <v>446</v>
      </c>
      <c r="C414" s="12" t="s">
        <v>444</v>
      </c>
      <c r="D414" s="12" t="s">
        <v>68</v>
      </c>
      <c r="E414" s="13">
        <v>79.599999999999994</v>
      </c>
      <c r="F414" s="13">
        <v>20.2</v>
      </c>
      <c r="G414" s="13">
        <v>27.7</v>
      </c>
      <c r="H414" s="14">
        <v>1347.5</v>
      </c>
      <c r="I414" s="12" t="s">
        <v>438</v>
      </c>
      <c r="J414" s="14">
        <v>1230</v>
      </c>
      <c r="K414" s="15">
        <v>6</v>
      </c>
      <c r="L414" s="16">
        <v>725</v>
      </c>
      <c r="M414" s="16">
        <v>2483</v>
      </c>
      <c r="N414" s="17">
        <v>6.5</v>
      </c>
      <c r="O414" s="17">
        <v>9.1</v>
      </c>
      <c r="P414" s="17">
        <v>1.9</v>
      </c>
      <c r="Q414" s="17">
        <v>7.2</v>
      </c>
      <c r="R414" s="17">
        <v>6.55</v>
      </c>
      <c r="S414" s="17">
        <v>7.15</v>
      </c>
      <c r="T414" s="16">
        <f t="shared" si="30"/>
        <v>4748.75</v>
      </c>
      <c r="U414" s="18">
        <v>177.06</v>
      </c>
      <c r="V414" s="19">
        <f t="shared" si="31"/>
        <v>3.7285601474072123E-2</v>
      </c>
      <c r="W414" s="19">
        <f t="shared" si="32"/>
        <v>9.1603053435114656E-2</v>
      </c>
      <c r="X414" s="19">
        <f t="shared" si="33"/>
        <v>0.38931297709923673</v>
      </c>
      <c r="Y414" s="12" t="s">
        <v>448</v>
      </c>
      <c r="Z414" s="12" t="s">
        <v>84</v>
      </c>
      <c r="AA414" s="18">
        <v>247.97</v>
      </c>
      <c r="AB414" s="17">
        <v>2.73</v>
      </c>
      <c r="AC414" s="12" t="s">
        <v>71</v>
      </c>
      <c r="AD414" s="12" t="str">
        <f t="shared" si="34"/>
        <v>Rs 2+</v>
      </c>
      <c r="AE414" s="20">
        <v>1</v>
      </c>
    </row>
    <row r="415" spans="1:31" x14ac:dyDescent="0.3">
      <c r="A415" s="12" t="s">
        <v>449</v>
      </c>
      <c r="B415" s="12" t="s">
        <v>447</v>
      </c>
      <c r="C415" s="12" t="s">
        <v>446</v>
      </c>
      <c r="D415" s="12" t="s">
        <v>68</v>
      </c>
      <c r="E415" s="13">
        <v>129.4</v>
      </c>
      <c r="F415" s="13">
        <v>71.099999999999994</v>
      </c>
      <c r="G415" s="13">
        <v>42.4</v>
      </c>
      <c r="H415" s="14">
        <v>1741.6</v>
      </c>
      <c r="I415" s="12" t="s">
        <v>438</v>
      </c>
      <c r="J415" s="14">
        <v>1680</v>
      </c>
      <c r="K415" s="15">
        <v>3</v>
      </c>
      <c r="L415" s="16">
        <v>675</v>
      </c>
      <c r="M415" s="16">
        <v>1467</v>
      </c>
      <c r="N415" s="17">
        <v>9.65</v>
      </c>
      <c r="O415" s="17">
        <v>17</v>
      </c>
      <c r="P415" s="17">
        <v>5.9</v>
      </c>
      <c r="Q415" s="17">
        <v>9.35</v>
      </c>
      <c r="R415" s="17">
        <v>9.6999999999999993</v>
      </c>
      <c r="S415" s="17">
        <v>9.3000000000000007</v>
      </c>
      <c r="T415" s="16">
        <f t="shared" si="30"/>
        <v>6547.4999999999991</v>
      </c>
      <c r="U415" s="18">
        <v>-460.47</v>
      </c>
      <c r="V415" s="19">
        <f t="shared" si="31"/>
        <v>-7.0327605956471945E-2</v>
      </c>
      <c r="W415" s="19">
        <f t="shared" si="32"/>
        <v>-4.1237113402061709E-2</v>
      </c>
      <c r="X415" s="19">
        <f t="shared" si="33"/>
        <v>0.75257731958762908</v>
      </c>
      <c r="Y415" s="12" t="s">
        <v>450</v>
      </c>
      <c r="Z415" s="12" t="s">
        <v>70</v>
      </c>
      <c r="AA415" s="18">
        <v>-3295.01</v>
      </c>
      <c r="AB415" s="17">
        <v>1.48</v>
      </c>
      <c r="AC415" s="12" t="s">
        <v>71</v>
      </c>
      <c r="AD415" s="12" t="str">
        <f t="shared" si="34"/>
        <v>Rs 2+</v>
      </c>
      <c r="AE415" s="20">
        <v>1</v>
      </c>
    </row>
    <row r="416" spans="1:31" x14ac:dyDescent="0.3">
      <c r="A416" s="12" t="s">
        <v>120</v>
      </c>
      <c r="B416" s="12" t="s">
        <v>447</v>
      </c>
      <c r="C416" s="12" t="s">
        <v>446</v>
      </c>
      <c r="D416" s="12" t="s">
        <v>68</v>
      </c>
      <c r="E416" s="13">
        <v>64.5</v>
      </c>
      <c r="F416" s="13">
        <v>29</v>
      </c>
      <c r="G416" s="13">
        <v>33.5</v>
      </c>
      <c r="H416" s="14">
        <v>3792</v>
      </c>
      <c r="I416" s="12" t="s">
        <v>438</v>
      </c>
      <c r="J416" s="14">
        <v>3780</v>
      </c>
      <c r="K416" s="15">
        <v>1</v>
      </c>
      <c r="L416" s="16">
        <v>175</v>
      </c>
      <c r="M416" s="16">
        <v>4552</v>
      </c>
      <c r="N416" s="17">
        <v>44.4</v>
      </c>
      <c r="O416" s="17">
        <v>44.4</v>
      </c>
      <c r="P416" s="17">
        <v>9.4499999999999993</v>
      </c>
      <c r="Q416" s="17">
        <v>10.65</v>
      </c>
      <c r="R416" s="17">
        <v>44.45</v>
      </c>
      <c r="S416" s="17">
        <v>10.6</v>
      </c>
      <c r="T416" s="16">
        <f t="shared" si="30"/>
        <v>7778.7500000000009</v>
      </c>
      <c r="U416" s="18">
        <v>-6074.35</v>
      </c>
      <c r="V416" s="19">
        <f t="shared" si="31"/>
        <v>-0.7808902458621243</v>
      </c>
      <c r="W416" s="19">
        <f t="shared" si="32"/>
        <v>-0.76152980877390331</v>
      </c>
      <c r="X416" s="19">
        <f t="shared" si="33"/>
        <v>-1.1248593925760053E-3</v>
      </c>
      <c r="Y416" s="12" t="s">
        <v>447</v>
      </c>
      <c r="Z416" s="12" t="s">
        <v>70</v>
      </c>
      <c r="AA416" s="18">
        <v>-6074.35</v>
      </c>
      <c r="AB416" s="17">
        <v>-1.478</v>
      </c>
      <c r="AC416" s="12" t="s">
        <v>71</v>
      </c>
      <c r="AD416" s="12" t="str">
        <f t="shared" si="34"/>
        <v>Rs 2+</v>
      </c>
      <c r="AE416" s="20">
        <v>1</v>
      </c>
    </row>
    <row r="417" spans="1:31" x14ac:dyDescent="0.3">
      <c r="A417" s="12" t="s">
        <v>451</v>
      </c>
      <c r="B417" s="12" t="s">
        <v>448</v>
      </c>
      <c r="C417" s="12" t="s">
        <v>447</v>
      </c>
      <c r="D417" s="12" t="s">
        <v>68</v>
      </c>
      <c r="E417" s="13">
        <v>47.2</v>
      </c>
      <c r="F417" s="13">
        <v>13.9</v>
      </c>
      <c r="G417" s="13">
        <v>34</v>
      </c>
      <c r="H417" s="14">
        <v>216.95</v>
      </c>
      <c r="I417" s="12" t="s">
        <v>438</v>
      </c>
      <c r="J417" s="14">
        <v>210</v>
      </c>
      <c r="K417" s="15">
        <v>3</v>
      </c>
      <c r="L417" s="16">
        <v>3550</v>
      </c>
      <c r="M417" s="16">
        <v>2768</v>
      </c>
      <c r="N417" s="17">
        <v>2.2000000000000002</v>
      </c>
      <c r="O417" s="17">
        <v>2.73</v>
      </c>
      <c r="P417" s="17">
        <v>0.66</v>
      </c>
      <c r="Q417" s="17">
        <v>1.78</v>
      </c>
      <c r="R417" s="17">
        <v>2.25</v>
      </c>
      <c r="S417" s="17">
        <v>1.73</v>
      </c>
      <c r="T417" s="16">
        <f t="shared" si="30"/>
        <v>7987.5</v>
      </c>
      <c r="U417" s="18">
        <v>-2049.88</v>
      </c>
      <c r="V417" s="19">
        <f t="shared" si="31"/>
        <v>-0.25663599374021911</v>
      </c>
      <c r="W417" s="19">
        <f t="shared" si="32"/>
        <v>-0.23111111111111116</v>
      </c>
      <c r="X417" s="19">
        <f t="shared" si="33"/>
        <v>0.21333333333333337</v>
      </c>
      <c r="Y417" s="12" t="s">
        <v>448</v>
      </c>
      <c r="Z417" s="12" t="s">
        <v>70</v>
      </c>
      <c r="AA417" s="18">
        <v>-2049.88</v>
      </c>
      <c r="AB417" s="17">
        <v>2.2789999999999999</v>
      </c>
      <c r="AC417" s="12" t="s">
        <v>71</v>
      </c>
      <c r="AD417" s="12" t="str">
        <f t="shared" si="34"/>
        <v>Rs 2+</v>
      </c>
      <c r="AE417" s="20">
        <v>1</v>
      </c>
    </row>
    <row r="418" spans="1:31" x14ac:dyDescent="0.3">
      <c r="A418" s="12" t="s">
        <v>279</v>
      </c>
      <c r="B418" s="12" t="s">
        <v>448</v>
      </c>
      <c r="C418" s="12" t="s">
        <v>447</v>
      </c>
      <c r="D418" s="12" t="s">
        <v>77</v>
      </c>
      <c r="E418" s="13">
        <v>-127.4</v>
      </c>
      <c r="F418" s="13">
        <v>-133.30000000000001</v>
      </c>
      <c r="G418" s="13">
        <v>23.1</v>
      </c>
      <c r="H418" s="14">
        <v>314</v>
      </c>
      <c r="I418" s="12" t="s">
        <v>438</v>
      </c>
      <c r="J418" s="14">
        <v>315</v>
      </c>
      <c r="K418" s="15">
        <v>0</v>
      </c>
      <c r="L418" s="16">
        <v>1975</v>
      </c>
      <c r="M418" s="16">
        <v>3150</v>
      </c>
      <c r="N418" s="17">
        <v>2.75</v>
      </c>
      <c r="O418" s="17">
        <v>6.2</v>
      </c>
      <c r="P418" s="17">
        <v>1.2</v>
      </c>
      <c r="Q418" s="17">
        <v>1.5</v>
      </c>
      <c r="R418" s="17">
        <v>2.8</v>
      </c>
      <c r="S418" s="17">
        <v>1.45</v>
      </c>
      <c r="T418" s="16">
        <f t="shared" si="30"/>
        <v>5530</v>
      </c>
      <c r="U418" s="18">
        <v>-2805.38</v>
      </c>
      <c r="V418" s="19">
        <f t="shared" si="31"/>
        <v>-0.50730198915009039</v>
      </c>
      <c r="W418" s="19">
        <f t="shared" si="32"/>
        <v>-0.4821428571428571</v>
      </c>
      <c r="X418" s="19">
        <f t="shared" si="33"/>
        <v>1.2142857142857144</v>
      </c>
      <c r="Y418" s="12" t="s">
        <v>448</v>
      </c>
      <c r="Z418" s="12" t="s">
        <v>70</v>
      </c>
      <c r="AA418" s="18">
        <v>-2805.38</v>
      </c>
      <c r="AB418" s="17">
        <v>1.4570000000000001</v>
      </c>
      <c r="AC418" s="12" t="s">
        <v>71</v>
      </c>
      <c r="AD418" s="12" t="str">
        <f t="shared" si="34"/>
        <v>Rs 2+</v>
      </c>
      <c r="AE418" s="20">
        <v>1</v>
      </c>
    </row>
    <row r="419" spans="1:31" x14ac:dyDescent="0.3">
      <c r="A419" s="12" t="s">
        <v>94</v>
      </c>
      <c r="B419" s="12" t="s">
        <v>448</v>
      </c>
      <c r="C419" s="12" t="s">
        <v>447</v>
      </c>
      <c r="D419" s="12" t="s">
        <v>77</v>
      </c>
      <c r="E419" s="13">
        <v>-398.3</v>
      </c>
      <c r="F419" s="13">
        <v>-302.2</v>
      </c>
      <c r="G419" s="13">
        <v>20.8</v>
      </c>
      <c r="H419" s="14">
        <v>395.2</v>
      </c>
      <c r="I419" s="12" t="s">
        <v>438</v>
      </c>
      <c r="J419" s="14">
        <v>395</v>
      </c>
      <c r="K419" s="15">
        <v>0</v>
      </c>
      <c r="L419" s="16">
        <v>2025</v>
      </c>
      <c r="M419" s="16">
        <v>3164</v>
      </c>
      <c r="N419" s="17">
        <v>1.7</v>
      </c>
      <c r="O419" s="17">
        <v>3.3</v>
      </c>
      <c r="P419" s="17">
        <v>0.75</v>
      </c>
      <c r="Q419" s="17">
        <v>1.2</v>
      </c>
      <c r="R419" s="17">
        <v>1.75</v>
      </c>
      <c r="S419" s="17">
        <v>1.1499999999999999</v>
      </c>
      <c r="T419" s="16">
        <f t="shared" si="30"/>
        <v>3543.75</v>
      </c>
      <c r="U419" s="18">
        <v>-1385.72</v>
      </c>
      <c r="V419" s="19">
        <f t="shared" si="31"/>
        <v>-0.3910320987654321</v>
      </c>
      <c r="W419" s="19">
        <f t="shared" si="32"/>
        <v>-0.34285714285714286</v>
      </c>
      <c r="X419" s="19">
        <f t="shared" si="33"/>
        <v>0.88571428571428568</v>
      </c>
      <c r="Y419" s="12" t="s">
        <v>448</v>
      </c>
      <c r="Z419" s="12" t="s">
        <v>70</v>
      </c>
      <c r="AA419" s="18">
        <v>-1385.72</v>
      </c>
      <c r="AB419" s="17">
        <v>3.9E-2</v>
      </c>
      <c r="AC419" s="12" t="s">
        <v>102</v>
      </c>
      <c r="AD419" s="12" t="str">
        <f t="shared" si="34"/>
        <v>Rs 1-2</v>
      </c>
      <c r="AE419" s="20">
        <v>1</v>
      </c>
    </row>
    <row r="420" spans="1:31" x14ac:dyDescent="0.3">
      <c r="A420" s="12" t="s">
        <v>452</v>
      </c>
      <c r="B420" s="12" t="s">
        <v>448</v>
      </c>
      <c r="C420" s="12" t="s">
        <v>447</v>
      </c>
      <c r="D420" s="12" t="s">
        <v>68</v>
      </c>
      <c r="E420" s="13">
        <v>27.2</v>
      </c>
      <c r="F420" s="13">
        <v>30.9</v>
      </c>
      <c r="G420" s="13">
        <v>26.4</v>
      </c>
      <c r="H420" s="14">
        <v>1147.9000000000001</v>
      </c>
      <c r="I420" s="12" t="s">
        <v>438</v>
      </c>
      <c r="J420" s="14">
        <v>1080</v>
      </c>
      <c r="K420" s="15">
        <v>3</v>
      </c>
      <c r="L420" s="16">
        <v>625</v>
      </c>
      <c r="M420" s="16">
        <v>1441</v>
      </c>
      <c r="N420" s="17">
        <v>6.25</v>
      </c>
      <c r="O420" s="17">
        <v>16</v>
      </c>
      <c r="P420" s="17">
        <v>4.8</v>
      </c>
      <c r="Q420" s="17">
        <v>6.15</v>
      </c>
      <c r="R420" s="17">
        <v>6.3</v>
      </c>
      <c r="S420" s="17">
        <v>6.1</v>
      </c>
      <c r="T420" s="16">
        <f t="shared" si="30"/>
        <v>3937.5</v>
      </c>
      <c r="U420" s="18">
        <v>-336.28</v>
      </c>
      <c r="V420" s="19">
        <f t="shared" si="31"/>
        <v>-8.5404444444444436E-2</v>
      </c>
      <c r="W420" s="19">
        <f t="shared" si="32"/>
        <v>-3.1746031746031744E-2</v>
      </c>
      <c r="X420" s="19">
        <f t="shared" si="33"/>
        <v>1.5396825396825395</v>
      </c>
      <c r="Y420" s="12" t="s">
        <v>450</v>
      </c>
      <c r="Z420" s="12" t="s">
        <v>70</v>
      </c>
      <c r="AA420" s="18">
        <v>-1344.93</v>
      </c>
      <c r="AB420" s="17">
        <v>2.2189999999999999</v>
      </c>
      <c r="AC420" s="12" t="s">
        <v>71</v>
      </c>
      <c r="AD420" s="12" t="str">
        <f t="shared" si="34"/>
        <v>Rs 2+</v>
      </c>
      <c r="AE420" s="20">
        <v>1</v>
      </c>
    </row>
    <row r="421" spans="1:31" x14ac:dyDescent="0.3">
      <c r="A421" s="12" t="s">
        <v>75</v>
      </c>
      <c r="B421" s="12" t="s">
        <v>448</v>
      </c>
      <c r="C421" s="12" t="s">
        <v>447</v>
      </c>
      <c r="D421" s="12" t="s">
        <v>68</v>
      </c>
      <c r="E421" s="13">
        <v>120.5</v>
      </c>
      <c r="F421" s="13">
        <v>68.2</v>
      </c>
      <c r="G421" s="13">
        <v>68.7</v>
      </c>
      <c r="H421" s="14">
        <v>10851</v>
      </c>
      <c r="I421" s="12" t="s">
        <v>438</v>
      </c>
      <c r="J421" s="14">
        <v>10700</v>
      </c>
      <c r="K421" s="15">
        <v>2</v>
      </c>
      <c r="L421" s="16">
        <v>100</v>
      </c>
      <c r="M421" s="16">
        <v>7090</v>
      </c>
      <c r="N421" s="17">
        <v>67.650000000000006</v>
      </c>
      <c r="O421" s="17">
        <v>850.35</v>
      </c>
      <c r="P421" s="17">
        <v>67.05</v>
      </c>
      <c r="Q421" s="17">
        <v>187.95</v>
      </c>
      <c r="R421" s="17">
        <v>67.7</v>
      </c>
      <c r="S421" s="17">
        <v>187.9</v>
      </c>
      <c r="T421" s="16">
        <f t="shared" si="30"/>
        <v>6770</v>
      </c>
      <c r="U421" s="18">
        <v>11422.45</v>
      </c>
      <c r="V421" s="19">
        <f t="shared" si="31"/>
        <v>1.6872156573116692</v>
      </c>
      <c r="W421" s="19">
        <f t="shared" si="32"/>
        <v>1.7754800590841948</v>
      </c>
      <c r="X421" s="19">
        <f t="shared" si="33"/>
        <v>11.560561299852289</v>
      </c>
      <c r="Y421" s="12" t="s">
        <v>453</v>
      </c>
      <c r="Z421" s="12" t="s">
        <v>70</v>
      </c>
      <c r="AA421" s="18">
        <v>-5532.54</v>
      </c>
      <c r="AB421" s="17">
        <v>4.0359999999999996</v>
      </c>
      <c r="AC421" s="12" t="s">
        <v>71</v>
      </c>
      <c r="AD421" s="12" t="str">
        <f t="shared" si="34"/>
        <v>Rs 2+</v>
      </c>
      <c r="AE421" s="20">
        <v>1</v>
      </c>
    </row>
    <row r="422" spans="1:31" x14ac:dyDescent="0.3">
      <c r="A422" s="12" t="s">
        <v>349</v>
      </c>
      <c r="B422" s="12" t="s">
        <v>448</v>
      </c>
      <c r="C422" s="12" t="s">
        <v>447</v>
      </c>
      <c r="D422" s="12" t="s">
        <v>68</v>
      </c>
      <c r="E422" s="13">
        <v>75.5</v>
      </c>
      <c r="F422" s="13">
        <v>30.4</v>
      </c>
      <c r="G422" s="13">
        <v>31.8</v>
      </c>
      <c r="H422" s="14">
        <v>2867.4</v>
      </c>
      <c r="I422" s="12" t="s">
        <v>438</v>
      </c>
      <c r="J422" s="14">
        <v>2780</v>
      </c>
      <c r="K422" s="15">
        <v>5</v>
      </c>
      <c r="L422" s="16">
        <v>200</v>
      </c>
      <c r="M422" s="16">
        <v>2241</v>
      </c>
      <c r="N422" s="17">
        <v>28.4</v>
      </c>
      <c r="O422" s="17">
        <v>160.15</v>
      </c>
      <c r="P422" s="17">
        <v>16.45</v>
      </c>
      <c r="Q422" s="17">
        <v>155.5</v>
      </c>
      <c r="R422" s="17">
        <v>28.45</v>
      </c>
      <c r="S422" s="17">
        <v>155.44999999999999</v>
      </c>
      <c r="T422" s="16">
        <f t="shared" si="30"/>
        <v>5690</v>
      </c>
      <c r="U422" s="18">
        <v>24554.94</v>
      </c>
      <c r="V422" s="19">
        <f t="shared" si="31"/>
        <v>4.3154551845342706</v>
      </c>
      <c r="W422" s="19">
        <f t="shared" si="32"/>
        <v>4.4639718804920907</v>
      </c>
      <c r="X422" s="19">
        <f t="shared" si="33"/>
        <v>4.6291739894551851</v>
      </c>
      <c r="Y422" s="12" t="s">
        <v>450</v>
      </c>
      <c r="Z422" s="12" t="s">
        <v>84</v>
      </c>
      <c r="AA422" s="18">
        <v>16710.73</v>
      </c>
      <c r="AB422" s="17">
        <v>7.7779999999999996</v>
      </c>
      <c r="AC422" s="12" t="s">
        <v>71</v>
      </c>
      <c r="AD422" s="12" t="str">
        <f t="shared" si="34"/>
        <v>Rs 2+</v>
      </c>
      <c r="AE422" s="20">
        <v>1</v>
      </c>
    </row>
    <row r="423" spans="1:31" x14ac:dyDescent="0.3">
      <c r="A423" s="12" t="s">
        <v>243</v>
      </c>
      <c r="B423" s="12" t="s">
        <v>450</v>
      </c>
      <c r="C423" s="12" t="s">
        <v>448</v>
      </c>
      <c r="D423" s="12" t="s">
        <v>68</v>
      </c>
      <c r="E423" s="13">
        <v>11.6</v>
      </c>
      <c r="F423" s="13">
        <v>3.8</v>
      </c>
      <c r="G423" s="13">
        <v>11.4</v>
      </c>
      <c r="H423" s="14">
        <v>121.94</v>
      </c>
      <c r="I423" s="12" t="s">
        <v>438</v>
      </c>
      <c r="J423" s="14">
        <v>120</v>
      </c>
      <c r="K423" s="15">
        <v>1</v>
      </c>
      <c r="L423" s="16">
        <v>4350</v>
      </c>
      <c r="M423" s="16">
        <v>4730</v>
      </c>
      <c r="N423" s="17">
        <v>1.52</v>
      </c>
      <c r="O423" s="17">
        <v>2</v>
      </c>
      <c r="P423" s="17">
        <v>0.2</v>
      </c>
      <c r="Q423" s="17">
        <v>0.21</v>
      </c>
      <c r="R423" s="17">
        <v>1.57</v>
      </c>
      <c r="S423" s="17">
        <v>0.16</v>
      </c>
      <c r="T423" s="16">
        <f t="shared" si="30"/>
        <v>6829.5</v>
      </c>
      <c r="U423" s="18">
        <v>-6410.88</v>
      </c>
      <c r="V423" s="19">
        <f t="shared" si="31"/>
        <v>-0.93870415110915884</v>
      </c>
      <c r="W423" s="19">
        <f t="shared" si="32"/>
        <v>-0.89808917197452232</v>
      </c>
      <c r="X423" s="19">
        <f t="shared" si="33"/>
        <v>0.27388535031847128</v>
      </c>
      <c r="Y423" s="12" t="s">
        <v>450</v>
      </c>
      <c r="Z423" s="12" t="s">
        <v>70</v>
      </c>
      <c r="AA423" s="18">
        <v>-6410.88</v>
      </c>
      <c r="AB423" s="17">
        <v>-3.12</v>
      </c>
      <c r="AC423" s="12" t="s">
        <v>102</v>
      </c>
      <c r="AD423" s="12" t="str">
        <f t="shared" si="34"/>
        <v>Rs 1-2</v>
      </c>
      <c r="AE423" s="20">
        <v>1</v>
      </c>
    </row>
    <row r="424" spans="1:31" x14ac:dyDescent="0.3">
      <c r="A424" s="12" t="s">
        <v>454</v>
      </c>
      <c r="B424" s="12" t="s">
        <v>450</v>
      </c>
      <c r="C424" s="12" t="s">
        <v>448</v>
      </c>
      <c r="D424" s="12" t="s">
        <v>68</v>
      </c>
      <c r="E424" s="13">
        <v>25.6</v>
      </c>
      <c r="F424" s="13">
        <v>54.1</v>
      </c>
      <c r="G424" s="13">
        <v>18.7</v>
      </c>
      <c r="H424" s="14">
        <v>109.87</v>
      </c>
      <c r="I424" s="12" t="s">
        <v>438</v>
      </c>
      <c r="J424" s="14">
        <v>107.5</v>
      </c>
      <c r="K424" s="15">
        <v>1</v>
      </c>
      <c r="L424" s="16">
        <v>4850</v>
      </c>
      <c r="M424" s="16">
        <v>269</v>
      </c>
      <c r="N424" s="17">
        <v>1.49</v>
      </c>
      <c r="O424" s="17">
        <v>2.2999999999999998</v>
      </c>
      <c r="P424" s="17">
        <v>1.01</v>
      </c>
      <c r="Q424" s="17">
        <v>1.41</v>
      </c>
      <c r="R424" s="17">
        <v>1.54</v>
      </c>
      <c r="S424" s="17">
        <v>1.36</v>
      </c>
      <c r="T424" s="16">
        <f t="shared" si="30"/>
        <v>7469</v>
      </c>
      <c r="U424" s="18">
        <v>-1217.52</v>
      </c>
      <c r="V424" s="19">
        <f t="shared" si="31"/>
        <v>-0.16300977373142322</v>
      </c>
      <c r="W424" s="19">
        <f t="shared" si="32"/>
        <v>-0.11688311688311681</v>
      </c>
      <c r="X424" s="19">
        <f t="shared" si="33"/>
        <v>0.49350649350649345</v>
      </c>
      <c r="Y424" s="12" t="s">
        <v>453</v>
      </c>
      <c r="Z424" s="12" t="s">
        <v>70</v>
      </c>
      <c r="AA424" s="18">
        <v>-7099.7</v>
      </c>
      <c r="AB424" s="17">
        <v>0.98099999999999998</v>
      </c>
      <c r="AC424" s="12" t="s">
        <v>102</v>
      </c>
      <c r="AD424" s="12" t="str">
        <f t="shared" si="34"/>
        <v>Rs 1-2</v>
      </c>
      <c r="AE424" s="20">
        <v>1</v>
      </c>
    </row>
    <row r="425" spans="1:31" x14ac:dyDescent="0.3">
      <c r="A425" s="12" t="s">
        <v>246</v>
      </c>
      <c r="B425" s="12" t="s">
        <v>453</v>
      </c>
      <c r="C425" s="12" t="s">
        <v>450</v>
      </c>
      <c r="D425" s="12" t="s">
        <v>77</v>
      </c>
      <c r="E425" s="13">
        <v>-48.6</v>
      </c>
      <c r="F425" s="13">
        <v>-68.400000000000006</v>
      </c>
      <c r="G425" s="13">
        <v>6.8</v>
      </c>
      <c r="H425" s="14">
        <v>246.45</v>
      </c>
      <c r="I425" s="12" t="s">
        <v>455</v>
      </c>
      <c r="J425" s="14">
        <v>265</v>
      </c>
      <c r="K425" s="15">
        <v>4</v>
      </c>
      <c r="L425" s="16">
        <v>2925</v>
      </c>
      <c r="M425" s="16">
        <v>712</v>
      </c>
      <c r="N425" s="17">
        <v>2.65</v>
      </c>
      <c r="O425" s="17">
        <v>2.65</v>
      </c>
      <c r="P425" s="17">
        <v>1.4</v>
      </c>
      <c r="Q425" s="17">
        <v>1.65</v>
      </c>
      <c r="R425" s="17">
        <v>2.7</v>
      </c>
      <c r="S425" s="17">
        <v>1.6</v>
      </c>
      <c r="T425" s="16">
        <f t="shared" si="30"/>
        <v>7897.5000000000009</v>
      </c>
      <c r="U425" s="18">
        <v>-3403.03</v>
      </c>
      <c r="V425" s="19">
        <f t="shared" si="31"/>
        <v>-0.43089965178854067</v>
      </c>
      <c r="W425" s="19">
        <f t="shared" si="32"/>
        <v>-0.40740740740740744</v>
      </c>
      <c r="X425" s="19">
        <f t="shared" si="33"/>
        <v>-1.8518518518518601E-2</v>
      </c>
      <c r="Y425" s="12" t="s">
        <v>453</v>
      </c>
      <c r="Z425" s="12" t="s">
        <v>70</v>
      </c>
      <c r="AA425" s="18">
        <v>-3403.03</v>
      </c>
      <c r="AB425" s="17">
        <v>0.20499999999999999</v>
      </c>
      <c r="AC425" s="12" t="s">
        <v>71</v>
      </c>
      <c r="AD425" s="12" t="str">
        <f t="shared" si="34"/>
        <v>Rs 2+</v>
      </c>
      <c r="AE425" s="20">
        <v>1</v>
      </c>
    </row>
    <row r="426" spans="1:31" x14ac:dyDescent="0.3">
      <c r="A426" s="12" t="s">
        <v>100</v>
      </c>
      <c r="B426" s="12" t="s">
        <v>453</v>
      </c>
      <c r="C426" s="12" t="s">
        <v>450</v>
      </c>
      <c r="D426" s="12" t="s">
        <v>68</v>
      </c>
      <c r="E426" s="13">
        <v>80.5</v>
      </c>
      <c r="F426" s="13">
        <v>7</v>
      </c>
      <c r="G426" s="13">
        <v>8.8000000000000007</v>
      </c>
      <c r="H426" s="14">
        <v>142.62</v>
      </c>
      <c r="I426" s="12" t="s">
        <v>455</v>
      </c>
      <c r="J426" s="14">
        <v>130</v>
      </c>
      <c r="K426" s="15">
        <v>5</v>
      </c>
      <c r="L426" s="16">
        <v>5200</v>
      </c>
      <c r="M426" s="16">
        <v>971</v>
      </c>
      <c r="N426" s="17">
        <v>1.18</v>
      </c>
      <c r="O426" s="17">
        <v>1.83</v>
      </c>
      <c r="P426" s="17">
        <v>1.1399999999999999</v>
      </c>
      <c r="Q426" s="17">
        <v>1.5</v>
      </c>
      <c r="R426" s="17">
        <v>1.23</v>
      </c>
      <c r="S426" s="17">
        <v>1.45</v>
      </c>
      <c r="T426" s="16">
        <f t="shared" si="30"/>
        <v>6396</v>
      </c>
      <c r="U426" s="18">
        <v>800.72</v>
      </c>
      <c r="V426" s="19">
        <f t="shared" si="31"/>
        <v>0.12519074421513446</v>
      </c>
      <c r="W426" s="19">
        <f t="shared" si="32"/>
        <v>0.17886178861788626</v>
      </c>
      <c r="X426" s="19">
        <f t="shared" si="33"/>
        <v>0.48780487804878048</v>
      </c>
      <c r="Y426" s="12" t="s">
        <v>456</v>
      </c>
      <c r="Z426" s="12" t="s">
        <v>84</v>
      </c>
      <c r="AA426" s="18">
        <v>292.12</v>
      </c>
      <c r="AB426" s="17">
        <v>4.9169999999999998</v>
      </c>
      <c r="AC426" s="12" t="s">
        <v>102</v>
      </c>
      <c r="AD426" s="12" t="str">
        <f t="shared" si="34"/>
        <v>Rs 1-2</v>
      </c>
      <c r="AE426" s="20">
        <v>1</v>
      </c>
    </row>
    <row r="427" spans="1:31" x14ac:dyDescent="0.3">
      <c r="A427" s="12" t="s">
        <v>292</v>
      </c>
      <c r="B427" s="12" t="s">
        <v>453</v>
      </c>
      <c r="C427" s="12" t="s">
        <v>450</v>
      </c>
      <c r="D427" s="12" t="s">
        <v>68</v>
      </c>
      <c r="E427" s="13">
        <v>144.80000000000001</v>
      </c>
      <c r="F427" s="13">
        <v>8.6999999999999993</v>
      </c>
      <c r="G427" s="13">
        <v>76.900000000000006</v>
      </c>
      <c r="H427" s="14">
        <v>531.95000000000005</v>
      </c>
      <c r="I427" s="12" t="s">
        <v>455</v>
      </c>
      <c r="J427" s="14">
        <v>510</v>
      </c>
      <c r="K427" s="15">
        <v>2</v>
      </c>
      <c r="L427" s="16">
        <v>1225</v>
      </c>
      <c r="M427" s="16">
        <v>366</v>
      </c>
      <c r="N427" s="17">
        <v>6.2</v>
      </c>
      <c r="O427" s="17">
        <v>8.6</v>
      </c>
      <c r="P427" s="17">
        <v>5.85</v>
      </c>
      <c r="Q427" s="17">
        <v>8.5</v>
      </c>
      <c r="R427" s="17">
        <v>6.25</v>
      </c>
      <c r="S427" s="17">
        <v>8.4499999999999993</v>
      </c>
      <c r="T427" s="16">
        <f t="shared" si="30"/>
        <v>7656.25</v>
      </c>
      <c r="U427" s="18">
        <v>2444.39</v>
      </c>
      <c r="V427" s="19">
        <f t="shared" si="31"/>
        <v>0.31926726530612243</v>
      </c>
      <c r="W427" s="19">
        <f t="shared" si="32"/>
        <v>0.35199999999999987</v>
      </c>
      <c r="X427" s="19">
        <f t="shared" si="33"/>
        <v>0.37599999999999989</v>
      </c>
      <c r="Y427" s="12" t="s">
        <v>456</v>
      </c>
      <c r="Z427" s="12" t="s">
        <v>84</v>
      </c>
      <c r="AA427" s="18">
        <v>-581.6</v>
      </c>
      <c r="AB427" s="17">
        <v>2.1070000000000002</v>
      </c>
      <c r="AC427" s="12" t="s">
        <v>71</v>
      </c>
      <c r="AD427" s="12" t="str">
        <f t="shared" si="34"/>
        <v>Rs 2+</v>
      </c>
      <c r="AE427" s="20">
        <v>1</v>
      </c>
    </row>
    <row r="428" spans="1:31" x14ac:dyDescent="0.3">
      <c r="A428" s="12" t="s">
        <v>365</v>
      </c>
      <c r="B428" s="12" t="s">
        <v>453</v>
      </c>
      <c r="C428" s="12" t="s">
        <v>457</v>
      </c>
      <c r="D428" s="12" t="s">
        <v>68</v>
      </c>
      <c r="E428" s="13">
        <v>153.1</v>
      </c>
      <c r="F428" s="13">
        <v>247.2</v>
      </c>
      <c r="G428" s="13">
        <v>14.6</v>
      </c>
      <c r="H428" s="14">
        <v>80.790000000000006</v>
      </c>
      <c r="I428" s="12" t="s">
        <v>455</v>
      </c>
      <c r="J428" s="14">
        <v>79</v>
      </c>
      <c r="K428" s="15">
        <v>2</v>
      </c>
      <c r="L428" s="16">
        <v>9275</v>
      </c>
      <c r="M428" s="16">
        <v>518</v>
      </c>
      <c r="N428" s="17">
        <v>0.56000000000000005</v>
      </c>
      <c r="O428" s="17">
        <v>0.75</v>
      </c>
      <c r="P428" s="17">
        <v>0.33</v>
      </c>
      <c r="Q428" s="17">
        <v>0.71</v>
      </c>
      <c r="R428" s="17">
        <v>0.61</v>
      </c>
      <c r="S428" s="17">
        <v>0.66</v>
      </c>
      <c r="T428" s="16">
        <f t="shared" si="30"/>
        <v>5657.75</v>
      </c>
      <c r="U428" s="18">
        <v>166.67</v>
      </c>
      <c r="V428" s="19">
        <f t="shared" si="31"/>
        <v>2.9458707083204451E-2</v>
      </c>
      <c r="W428" s="19">
        <f t="shared" si="32"/>
        <v>8.1967213114754189E-2</v>
      </c>
      <c r="X428" s="19">
        <f t="shared" si="33"/>
        <v>0.22950819672131151</v>
      </c>
      <c r="Y428" s="12" t="s">
        <v>438</v>
      </c>
      <c r="Z428" s="12" t="s">
        <v>84</v>
      </c>
      <c r="AA428" s="18">
        <v>-1647.67</v>
      </c>
      <c r="AB428" s="17">
        <v>1.645</v>
      </c>
      <c r="AC428" s="12" t="s">
        <v>102</v>
      </c>
      <c r="AD428" s="12" t="str">
        <f t="shared" si="34"/>
        <v>under Rs 1</v>
      </c>
      <c r="AE428" s="20">
        <v>1</v>
      </c>
    </row>
    <row r="429" spans="1:31" x14ac:dyDescent="0.3">
      <c r="A429" s="12" t="s">
        <v>304</v>
      </c>
      <c r="B429" s="12" t="s">
        <v>453</v>
      </c>
      <c r="C429" s="12" t="s">
        <v>450</v>
      </c>
      <c r="D429" s="12" t="s">
        <v>77</v>
      </c>
      <c r="E429" s="13">
        <v>-43.6</v>
      </c>
      <c r="F429" s="13">
        <v>-19</v>
      </c>
      <c r="G429" s="13">
        <v>25.9</v>
      </c>
      <c r="H429" s="14">
        <v>1035.8</v>
      </c>
      <c r="I429" s="12" t="s">
        <v>455</v>
      </c>
      <c r="J429" s="14">
        <v>1140</v>
      </c>
      <c r="K429" s="15">
        <v>5</v>
      </c>
      <c r="L429" s="16">
        <v>625</v>
      </c>
      <c r="M429" s="16">
        <v>236</v>
      </c>
      <c r="N429" s="17">
        <v>8.15</v>
      </c>
      <c r="O429" s="17">
        <v>9.8000000000000007</v>
      </c>
      <c r="P429" s="17">
        <v>6.4</v>
      </c>
      <c r="Q429" s="17">
        <v>7.05</v>
      </c>
      <c r="R429" s="17">
        <v>8.1999999999999993</v>
      </c>
      <c r="S429" s="17">
        <v>7</v>
      </c>
      <c r="T429" s="16">
        <f t="shared" si="30"/>
        <v>5125</v>
      </c>
      <c r="U429" s="18">
        <v>-997.9</v>
      </c>
      <c r="V429" s="19">
        <f t="shared" si="31"/>
        <v>-0.1947121951219512</v>
      </c>
      <c r="W429" s="19">
        <f t="shared" si="32"/>
        <v>-0.14634146341463405</v>
      </c>
      <c r="X429" s="19">
        <f t="shared" si="33"/>
        <v>0.19512195121951237</v>
      </c>
      <c r="Y429" s="12" t="s">
        <v>438</v>
      </c>
      <c r="Z429" s="12" t="s">
        <v>70</v>
      </c>
      <c r="AA429" s="18">
        <v>-2556.7199999999998</v>
      </c>
      <c r="AB429" s="17">
        <v>1.014</v>
      </c>
      <c r="AC429" s="12" t="s">
        <v>71</v>
      </c>
      <c r="AD429" s="12" t="str">
        <f t="shared" si="34"/>
        <v>Rs 2+</v>
      </c>
      <c r="AE429" s="20">
        <v>1</v>
      </c>
    </row>
    <row r="430" spans="1:31" x14ac:dyDescent="0.3">
      <c r="A430" s="12" t="s">
        <v>103</v>
      </c>
      <c r="B430" s="12" t="s">
        <v>453</v>
      </c>
      <c r="C430" s="12" t="s">
        <v>450</v>
      </c>
      <c r="D430" s="12" t="s">
        <v>68</v>
      </c>
      <c r="E430" s="13">
        <v>123.9</v>
      </c>
      <c r="F430" s="13">
        <v>28.4</v>
      </c>
      <c r="G430" s="13">
        <v>29.1</v>
      </c>
      <c r="H430" s="14">
        <v>1601.2</v>
      </c>
      <c r="I430" s="12" t="s">
        <v>455</v>
      </c>
      <c r="J430" s="14">
        <v>1480</v>
      </c>
      <c r="K430" s="15">
        <v>6</v>
      </c>
      <c r="L430" s="16">
        <v>850</v>
      </c>
      <c r="M430" s="16">
        <v>96</v>
      </c>
      <c r="N430" s="17">
        <v>8</v>
      </c>
      <c r="O430" s="17">
        <v>8</v>
      </c>
      <c r="P430" s="17">
        <v>3.75</v>
      </c>
      <c r="Q430" s="17">
        <v>3.95</v>
      </c>
      <c r="R430" s="17">
        <v>8.0500000000000007</v>
      </c>
      <c r="S430" s="17">
        <v>3.9</v>
      </c>
      <c r="T430" s="16">
        <f t="shared" si="30"/>
        <v>6842.5000000000009</v>
      </c>
      <c r="U430" s="18">
        <v>-3787.3</v>
      </c>
      <c r="V430" s="19">
        <f t="shared" si="31"/>
        <v>-0.55349652904640112</v>
      </c>
      <c r="W430" s="19">
        <f t="shared" si="32"/>
        <v>-0.51552795031055898</v>
      </c>
      <c r="X430" s="19">
        <f t="shared" si="33"/>
        <v>-6.2111801242237252E-3</v>
      </c>
      <c r="Y430" s="12" t="s">
        <v>453</v>
      </c>
      <c r="Z430" s="12" t="s">
        <v>70</v>
      </c>
      <c r="AA430" s="18">
        <v>-3787.3</v>
      </c>
      <c r="AB430" s="17">
        <v>-5.4530000000000003</v>
      </c>
      <c r="AC430" s="12" t="s">
        <v>71</v>
      </c>
      <c r="AD430" s="12" t="str">
        <f t="shared" si="34"/>
        <v>Rs 2+</v>
      </c>
      <c r="AE430" s="20">
        <v>1</v>
      </c>
    </row>
    <row r="431" spans="1:31" x14ac:dyDescent="0.3">
      <c r="A431" s="12" t="s">
        <v>105</v>
      </c>
      <c r="B431" s="12" t="s">
        <v>453</v>
      </c>
      <c r="C431" s="12" t="s">
        <v>450</v>
      </c>
      <c r="D431" s="12" t="s">
        <v>68</v>
      </c>
      <c r="E431" s="13">
        <v>103.4</v>
      </c>
      <c r="F431" s="13">
        <v>36.200000000000003</v>
      </c>
      <c r="G431" s="13">
        <v>43.1</v>
      </c>
      <c r="H431" s="14">
        <v>1144.0999999999999</v>
      </c>
      <c r="I431" s="12" t="s">
        <v>455</v>
      </c>
      <c r="J431" s="14">
        <v>1000</v>
      </c>
      <c r="K431" s="15">
        <v>7</v>
      </c>
      <c r="L431" s="16">
        <v>625</v>
      </c>
      <c r="M431" s="16">
        <v>474</v>
      </c>
      <c r="N431" s="17">
        <v>11.45</v>
      </c>
      <c r="O431" s="17">
        <v>12.8</v>
      </c>
      <c r="P431" s="17">
        <v>5.8</v>
      </c>
      <c r="Q431" s="17">
        <v>6.4</v>
      </c>
      <c r="R431" s="17">
        <v>11.5</v>
      </c>
      <c r="S431" s="17">
        <v>6.35</v>
      </c>
      <c r="T431" s="16">
        <f t="shared" si="30"/>
        <v>7187.5</v>
      </c>
      <c r="U431" s="18">
        <v>-3388.36</v>
      </c>
      <c r="V431" s="19">
        <f t="shared" si="31"/>
        <v>-0.47142400000000001</v>
      </c>
      <c r="W431" s="19">
        <f t="shared" si="32"/>
        <v>-0.44782608695652182</v>
      </c>
      <c r="X431" s="19">
        <f t="shared" si="33"/>
        <v>0.11304347826086958</v>
      </c>
      <c r="Y431" s="12" t="s">
        <v>453</v>
      </c>
      <c r="Z431" s="12" t="s">
        <v>70</v>
      </c>
      <c r="AA431" s="18">
        <v>-3388.36</v>
      </c>
      <c r="AB431" s="17">
        <v>-3.7839999999999998</v>
      </c>
      <c r="AC431" s="12" t="s">
        <v>71</v>
      </c>
      <c r="AD431" s="12" t="str">
        <f t="shared" si="34"/>
        <v>Rs 2+</v>
      </c>
      <c r="AE431" s="20">
        <v>1</v>
      </c>
    </row>
    <row r="432" spans="1:31" x14ac:dyDescent="0.3">
      <c r="A432" s="12" t="s">
        <v>118</v>
      </c>
      <c r="B432" s="12" t="s">
        <v>453</v>
      </c>
      <c r="C432" s="12" t="s">
        <v>450</v>
      </c>
      <c r="D432" s="12" t="s">
        <v>68</v>
      </c>
      <c r="E432" s="13">
        <v>19.5</v>
      </c>
      <c r="F432" s="13">
        <v>9</v>
      </c>
      <c r="G432" s="13">
        <v>3.4</v>
      </c>
      <c r="H432" s="14">
        <v>618.75</v>
      </c>
      <c r="I432" s="12" t="s">
        <v>455</v>
      </c>
      <c r="J432" s="14">
        <v>590</v>
      </c>
      <c r="K432" s="15">
        <v>3</v>
      </c>
      <c r="L432" s="16">
        <v>800</v>
      </c>
      <c r="M432" s="16">
        <v>385</v>
      </c>
      <c r="N432" s="17">
        <v>7</v>
      </c>
      <c r="O432" s="17">
        <v>7.8</v>
      </c>
      <c r="P432" s="17">
        <v>3.55</v>
      </c>
      <c r="Q432" s="17">
        <v>3.75</v>
      </c>
      <c r="R432" s="17">
        <v>7.05</v>
      </c>
      <c r="S432" s="17">
        <v>3.7</v>
      </c>
      <c r="T432" s="16">
        <f t="shared" si="30"/>
        <v>5640</v>
      </c>
      <c r="U432" s="18">
        <v>-2907.42</v>
      </c>
      <c r="V432" s="19">
        <f t="shared" si="31"/>
        <v>-0.51549999999999996</v>
      </c>
      <c r="W432" s="19">
        <f t="shared" si="32"/>
        <v>-0.47517730496453892</v>
      </c>
      <c r="X432" s="19">
        <f t="shared" si="33"/>
        <v>0.1063829787234043</v>
      </c>
      <c r="Y432" s="12" t="s">
        <v>453</v>
      </c>
      <c r="Z432" s="12" t="s">
        <v>70</v>
      </c>
      <c r="AA432" s="18">
        <v>-2907.42</v>
      </c>
      <c r="AB432" s="17">
        <v>-2.2749999999999999</v>
      </c>
      <c r="AC432" s="12" t="s">
        <v>71</v>
      </c>
      <c r="AD432" s="12" t="str">
        <f t="shared" si="34"/>
        <v>Rs 2+</v>
      </c>
      <c r="AE432" s="20">
        <v>1</v>
      </c>
    </row>
    <row r="433" spans="1:31" x14ac:dyDescent="0.3">
      <c r="A433" s="12" t="s">
        <v>107</v>
      </c>
      <c r="B433" s="12" t="s">
        <v>453</v>
      </c>
      <c r="C433" s="12" t="s">
        <v>450</v>
      </c>
      <c r="D433" s="12" t="s">
        <v>68</v>
      </c>
      <c r="E433" s="13">
        <v>59.9</v>
      </c>
      <c r="F433" s="13">
        <v>14.3</v>
      </c>
      <c r="G433" s="13">
        <v>16.2</v>
      </c>
      <c r="H433" s="14">
        <v>1005.1</v>
      </c>
      <c r="I433" s="12" t="s">
        <v>455</v>
      </c>
      <c r="J433" s="14">
        <v>920</v>
      </c>
      <c r="K433" s="15">
        <v>4</v>
      </c>
      <c r="L433" s="16">
        <v>825</v>
      </c>
      <c r="M433" s="16">
        <v>422</v>
      </c>
      <c r="N433" s="17">
        <v>9.0500000000000007</v>
      </c>
      <c r="O433" s="17">
        <v>9.0500000000000007</v>
      </c>
      <c r="P433" s="17">
        <v>4.05</v>
      </c>
      <c r="Q433" s="17">
        <v>4.25</v>
      </c>
      <c r="R433" s="17">
        <v>9.1</v>
      </c>
      <c r="S433" s="17">
        <v>4.2</v>
      </c>
      <c r="T433" s="16">
        <f t="shared" si="30"/>
        <v>7507.5</v>
      </c>
      <c r="U433" s="18">
        <v>-4209.47</v>
      </c>
      <c r="V433" s="19">
        <f t="shared" si="31"/>
        <v>-0.56070196470196476</v>
      </c>
      <c r="W433" s="19">
        <f t="shared" si="32"/>
        <v>-0.53846153846153844</v>
      </c>
      <c r="X433" s="19">
        <f t="shared" si="33"/>
        <v>-5.494505494505364E-3</v>
      </c>
      <c r="Y433" s="12" t="s">
        <v>453</v>
      </c>
      <c r="Z433" s="12" t="s">
        <v>70</v>
      </c>
      <c r="AA433" s="18">
        <v>-4209.47</v>
      </c>
      <c r="AB433" s="17">
        <v>-1.784</v>
      </c>
      <c r="AC433" s="12" t="s">
        <v>71</v>
      </c>
      <c r="AD433" s="12" t="str">
        <f t="shared" si="34"/>
        <v>Rs 2+</v>
      </c>
      <c r="AE433" s="20">
        <v>1</v>
      </c>
    </row>
    <row r="434" spans="1:31" x14ac:dyDescent="0.3">
      <c r="A434" s="12" t="s">
        <v>316</v>
      </c>
      <c r="B434" s="12" t="s">
        <v>453</v>
      </c>
      <c r="C434" s="12" t="s">
        <v>450</v>
      </c>
      <c r="D434" s="12" t="s">
        <v>68</v>
      </c>
      <c r="E434" s="13">
        <v>28.8</v>
      </c>
      <c r="F434" s="13">
        <v>0.7</v>
      </c>
      <c r="G434" s="13">
        <v>11.9</v>
      </c>
      <c r="H434" s="14">
        <v>1088</v>
      </c>
      <c r="I434" s="12" t="s">
        <v>455</v>
      </c>
      <c r="J434" s="14">
        <v>1070</v>
      </c>
      <c r="K434" s="15">
        <v>2</v>
      </c>
      <c r="L434" s="16">
        <v>550</v>
      </c>
      <c r="M434" s="16">
        <v>387</v>
      </c>
      <c r="N434" s="17">
        <v>13</v>
      </c>
      <c r="O434" s="17">
        <v>15.15</v>
      </c>
      <c r="P434" s="17">
        <v>11.55</v>
      </c>
      <c r="Q434" s="17">
        <v>12.7</v>
      </c>
      <c r="R434" s="17">
        <v>13.05</v>
      </c>
      <c r="S434" s="17">
        <v>12.65</v>
      </c>
      <c r="T434" s="16">
        <f t="shared" si="30"/>
        <v>7177.5</v>
      </c>
      <c r="U434" s="18">
        <v>-425.16</v>
      </c>
      <c r="V434" s="19">
        <f t="shared" si="31"/>
        <v>-5.9235109717868342E-2</v>
      </c>
      <c r="W434" s="19">
        <f t="shared" si="32"/>
        <v>-3.0651340996168619E-2</v>
      </c>
      <c r="X434" s="19">
        <f t="shared" si="33"/>
        <v>0.16091954022988508</v>
      </c>
      <c r="Y434" s="12" t="s">
        <v>456</v>
      </c>
      <c r="Z434" s="12" t="s">
        <v>84</v>
      </c>
      <c r="AA434" s="18">
        <v>-126.27</v>
      </c>
      <c r="AB434" s="17">
        <v>0.69099999999999995</v>
      </c>
      <c r="AC434" s="12" t="s">
        <v>71</v>
      </c>
      <c r="AD434" s="12" t="str">
        <f t="shared" si="34"/>
        <v>Rs 2+</v>
      </c>
      <c r="AE434" s="20">
        <v>1</v>
      </c>
    </row>
    <row r="435" spans="1:31" x14ac:dyDescent="0.3">
      <c r="A435" s="12" t="s">
        <v>110</v>
      </c>
      <c r="B435" s="12" t="s">
        <v>438</v>
      </c>
      <c r="C435" s="12" t="s">
        <v>453</v>
      </c>
      <c r="D435" s="12" t="s">
        <v>68</v>
      </c>
      <c r="E435" s="13">
        <v>62.2</v>
      </c>
      <c r="F435" s="13">
        <v>13.3</v>
      </c>
      <c r="G435" s="13">
        <v>4.5</v>
      </c>
      <c r="H435" s="14">
        <v>127.24</v>
      </c>
      <c r="I435" s="12" t="s">
        <v>455</v>
      </c>
      <c r="J435" s="14">
        <v>117.5</v>
      </c>
      <c r="K435" s="15">
        <v>4</v>
      </c>
      <c r="L435" s="16">
        <v>6750</v>
      </c>
      <c r="M435" s="16">
        <v>358</v>
      </c>
      <c r="N435" s="17">
        <v>0.85</v>
      </c>
      <c r="O435" s="17">
        <v>1.42</v>
      </c>
      <c r="P435" s="17">
        <v>0.85</v>
      </c>
      <c r="Q435" s="17">
        <v>1.33</v>
      </c>
      <c r="R435" s="17">
        <v>0.9</v>
      </c>
      <c r="S435" s="17">
        <v>1.28</v>
      </c>
      <c r="T435" s="16">
        <f t="shared" si="30"/>
        <v>6075</v>
      </c>
      <c r="U435" s="18">
        <v>2351.3200000000002</v>
      </c>
      <c r="V435" s="19">
        <f t="shared" si="31"/>
        <v>0.38704855967078194</v>
      </c>
      <c r="W435" s="19">
        <f t="shared" si="32"/>
        <v>0.42222222222222228</v>
      </c>
      <c r="X435" s="19">
        <f t="shared" si="33"/>
        <v>0.57777777777777772</v>
      </c>
      <c r="Y435" s="12" t="s">
        <v>458</v>
      </c>
      <c r="Z435" s="12" t="s">
        <v>70</v>
      </c>
      <c r="AA435" s="18">
        <v>-2050.58</v>
      </c>
      <c r="AB435" s="17">
        <v>2.3039999999999998</v>
      </c>
      <c r="AC435" s="12" t="s">
        <v>102</v>
      </c>
      <c r="AD435" s="12" t="str">
        <f t="shared" si="34"/>
        <v>under Rs 1</v>
      </c>
      <c r="AE435" s="20">
        <v>1</v>
      </c>
    </row>
    <row r="436" spans="1:31" x14ac:dyDescent="0.3">
      <c r="A436" s="12" t="s">
        <v>419</v>
      </c>
      <c r="B436" s="12" t="s">
        <v>438</v>
      </c>
      <c r="C436" s="12" t="s">
        <v>453</v>
      </c>
      <c r="D436" s="12" t="s">
        <v>77</v>
      </c>
      <c r="E436" s="13">
        <v>-44.3</v>
      </c>
      <c r="F436" s="13">
        <v>-62</v>
      </c>
      <c r="G436" s="13">
        <v>110.6</v>
      </c>
      <c r="H436" s="14">
        <v>2208.9</v>
      </c>
      <c r="I436" s="12" t="s">
        <v>455</v>
      </c>
      <c r="J436" s="14">
        <v>2300</v>
      </c>
      <c r="K436" s="15">
        <v>2</v>
      </c>
      <c r="L436" s="16">
        <v>275</v>
      </c>
      <c r="M436" s="16">
        <v>2279</v>
      </c>
      <c r="N436" s="17">
        <v>25</v>
      </c>
      <c r="O436" s="17">
        <v>28.4</v>
      </c>
      <c r="P436" s="17">
        <v>9.9</v>
      </c>
      <c r="Q436" s="17">
        <v>10.5</v>
      </c>
      <c r="R436" s="17">
        <v>25.05</v>
      </c>
      <c r="S436" s="17">
        <v>10.45</v>
      </c>
      <c r="T436" s="16">
        <f t="shared" si="30"/>
        <v>6888.75</v>
      </c>
      <c r="U436" s="18">
        <v>-4266.07</v>
      </c>
      <c r="V436" s="19">
        <f t="shared" si="31"/>
        <v>-0.61928071130466333</v>
      </c>
      <c r="W436" s="19">
        <f t="shared" si="32"/>
        <v>-0.58283433133732543</v>
      </c>
      <c r="X436" s="19">
        <f t="shared" si="33"/>
        <v>0.1337325349301397</v>
      </c>
      <c r="Y436" s="12" t="s">
        <v>438</v>
      </c>
      <c r="Z436" s="12" t="s">
        <v>70</v>
      </c>
      <c r="AA436" s="18">
        <v>-4266.07</v>
      </c>
      <c r="AB436" s="17">
        <v>-4.9640000000000004</v>
      </c>
      <c r="AC436" s="12" t="s">
        <v>71</v>
      </c>
      <c r="AD436" s="12" t="str">
        <f t="shared" si="34"/>
        <v>Rs 2+</v>
      </c>
      <c r="AE436" s="20">
        <v>1</v>
      </c>
    </row>
    <row r="437" spans="1:31" x14ac:dyDescent="0.3">
      <c r="A437" s="12" t="s">
        <v>121</v>
      </c>
      <c r="B437" s="12" t="s">
        <v>456</v>
      </c>
      <c r="C437" s="12" t="s">
        <v>438</v>
      </c>
      <c r="D437" s="12" t="s">
        <v>77</v>
      </c>
      <c r="E437" s="13">
        <v>-31.9</v>
      </c>
      <c r="F437" s="13">
        <v>-64.5</v>
      </c>
      <c r="G437" s="13">
        <v>-7.7</v>
      </c>
      <c r="H437" s="14">
        <v>426</v>
      </c>
      <c r="I437" s="12" t="s">
        <v>455</v>
      </c>
      <c r="J437" s="14">
        <v>450</v>
      </c>
      <c r="K437" s="15">
        <v>5</v>
      </c>
      <c r="L437" s="16">
        <v>1200</v>
      </c>
      <c r="M437" s="16">
        <v>3746</v>
      </c>
      <c r="N437" s="17">
        <v>5.3</v>
      </c>
      <c r="O437" s="17">
        <v>10.1</v>
      </c>
      <c r="P437" s="17">
        <v>3.9</v>
      </c>
      <c r="Q437" s="17">
        <v>6.05</v>
      </c>
      <c r="R437" s="17">
        <v>5.35</v>
      </c>
      <c r="S437" s="17">
        <v>6</v>
      </c>
      <c r="T437" s="16">
        <f t="shared" si="30"/>
        <v>6420</v>
      </c>
      <c r="U437" s="18">
        <v>579.88</v>
      </c>
      <c r="V437" s="19">
        <f t="shared" si="31"/>
        <v>9.0323987538940803E-2</v>
      </c>
      <c r="W437" s="19">
        <f t="shared" si="32"/>
        <v>0.12149532710280386</v>
      </c>
      <c r="X437" s="19">
        <f t="shared" si="33"/>
        <v>0.88785046728971961</v>
      </c>
      <c r="Y437" s="12" t="s">
        <v>459</v>
      </c>
      <c r="Z437" s="12" t="s">
        <v>84</v>
      </c>
      <c r="AA437" s="18">
        <v>1528.44</v>
      </c>
      <c r="AB437" s="17">
        <v>2.593</v>
      </c>
      <c r="AC437" s="12" t="s">
        <v>71</v>
      </c>
      <c r="AD437" s="12" t="str">
        <f t="shared" si="34"/>
        <v>Rs 2+</v>
      </c>
      <c r="AE437" s="20">
        <v>1</v>
      </c>
    </row>
    <row r="438" spans="1:31" x14ac:dyDescent="0.3">
      <c r="A438" s="12" t="s">
        <v>138</v>
      </c>
      <c r="B438" s="12" t="s">
        <v>456</v>
      </c>
      <c r="C438" s="12" t="s">
        <v>438</v>
      </c>
      <c r="D438" s="12" t="s">
        <v>68</v>
      </c>
      <c r="E438" s="13">
        <v>45.6</v>
      </c>
      <c r="F438" s="13">
        <v>0.7</v>
      </c>
      <c r="G438" s="13">
        <v>21.9</v>
      </c>
      <c r="H438" s="14">
        <v>1752.9</v>
      </c>
      <c r="I438" s="12" t="s">
        <v>455</v>
      </c>
      <c r="J438" s="14">
        <v>1660</v>
      </c>
      <c r="K438" s="15">
        <v>5</v>
      </c>
      <c r="L438" s="16">
        <v>625</v>
      </c>
      <c r="M438" s="16">
        <v>425</v>
      </c>
      <c r="N438" s="17">
        <v>11.65</v>
      </c>
      <c r="O438" s="17">
        <v>15.95</v>
      </c>
      <c r="P438" s="17">
        <v>9.4</v>
      </c>
      <c r="Q438" s="17">
        <v>11.1</v>
      </c>
      <c r="R438" s="17">
        <v>11.7</v>
      </c>
      <c r="S438" s="17">
        <v>11.05</v>
      </c>
      <c r="T438" s="16">
        <f t="shared" si="30"/>
        <v>7312.5</v>
      </c>
      <c r="U438" s="18">
        <v>-612.20000000000005</v>
      </c>
      <c r="V438" s="19">
        <f t="shared" si="31"/>
        <v>-8.3719658119658119E-2</v>
      </c>
      <c r="W438" s="19">
        <f t="shared" si="32"/>
        <v>-5.5555555555555469E-2</v>
      </c>
      <c r="X438" s="19">
        <f t="shared" si="33"/>
        <v>0.36324786324786329</v>
      </c>
      <c r="Y438" s="12" t="s">
        <v>460</v>
      </c>
      <c r="Z438" s="12" t="s">
        <v>70</v>
      </c>
      <c r="AA438" s="18">
        <v>-3020.64</v>
      </c>
      <c r="AB438" s="17">
        <v>0.11600000000000001</v>
      </c>
      <c r="AC438" s="12" t="s">
        <v>71</v>
      </c>
      <c r="AD438" s="12" t="str">
        <f t="shared" si="34"/>
        <v>Rs 2+</v>
      </c>
      <c r="AE438" s="20">
        <v>1</v>
      </c>
    </row>
    <row r="439" spans="1:31" x14ac:dyDescent="0.3">
      <c r="A439" s="12" t="s">
        <v>461</v>
      </c>
      <c r="B439" s="12" t="s">
        <v>456</v>
      </c>
      <c r="C439" s="12" t="s">
        <v>438</v>
      </c>
      <c r="D439" s="12" t="s">
        <v>68</v>
      </c>
      <c r="E439" s="13">
        <v>75.900000000000006</v>
      </c>
      <c r="F439" s="13">
        <v>27.9</v>
      </c>
      <c r="G439" s="13">
        <v>10.4</v>
      </c>
      <c r="H439" s="14">
        <v>4289.6000000000004</v>
      </c>
      <c r="I439" s="12" t="s">
        <v>455</v>
      </c>
      <c r="J439" s="14">
        <v>3900</v>
      </c>
      <c r="K439" s="15">
        <v>8</v>
      </c>
      <c r="L439" s="16">
        <v>150</v>
      </c>
      <c r="M439" s="16">
        <v>293</v>
      </c>
      <c r="N439" s="17">
        <v>29.3</v>
      </c>
      <c r="O439" s="17">
        <v>37.450000000000003</v>
      </c>
      <c r="P439" s="17">
        <v>18.05</v>
      </c>
      <c r="Q439" s="17">
        <v>19.850000000000001</v>
      </c>
      <c r="R439" s="17">
        <v>29.35</v>
      </c>
      <c r="S439" s="17">
        <v>19.8</v>
      </c>
      <c r="T439" s="16">
        <f t="shared" si="30"/>
        <v>4402.5</v>
      </c>
      <c r="U439" s="18">
        <v>-1634.83</v>
      </c>
      <c r="V439" s="19">
        <f t="shared" si="31"/>
        <v>-0.37134128336172628</v>
      </c>
      <c r="W439" s="19">
        <f t="shared" si="32"/>
        <v>-0.32538330494037482</v>
      </c>
      <c r="X439" s="19">
        <f t="shared" si="33"/>
        <v>0.27597955706984667</v>
      </c>
      <c r="Y439" s="12" t="s">
        <v>456</v>
      </c>
      <c r="Z439" s="12" t="s">
        <v>70</v>
      </c>
      <c r="AA439" s="18">
        <v>-1634.83</v>
      </c>
      <c r="AB439" s="17">
        <v>-0.81100000000000005</v>
      </c>
      <c r="AC439" s="12" t="s">
        <v>71</v>
      </c>
      <c r="AD439" s="12" t="str">
        <f t="shared" si="34"/>
        <v>Rs 2+</v>
      </c>
      <c r="AE439" s="20">
        <v>1</v>
      </c>
    </row>
    <row r="440" spans="1:31" x14ac:dyDescent="0.3">
      <c r="A440" s="12" t="s">
        <v>191</v>
      </c>
      <c r="B440" s="12" t="s">
        <v>456</v>
      </c>
      <c r="C440" s="12" t="s">
        <v>438</v>
      </c>
      <c r="D440" s="12" t="s">
        <v>68</v>
      </c>
      <c r="E440" s="13">
        <v>15.1</v>
      </c>
      <c r="F440" s="13">
        <v>73.599999999999994</v>
      </c>
      <c r="G440" s="13">
        <v>20.8</v>
      </c>
      <c r="H440" s="14">
        <v>430</v>
      </c>
      <c r="I440" s="12" t="s">
        <v>455</v>
      </c>
      <c r="J440" s="14">
        <v>410</v>
      </c>
      <c r="K440" s="15">
        <v>2</v>
      </c>
      <c r="L440" s="16">
        <v>1275</v>
      </c>
      <c r="M440" s="16">
        <v>1947</v>
      </c>
      <c r="N440" s="17">
        <v>5.25</v>
      </c>
      <c r="O440" s="17">
        <v>5.3</v>
      </c>
      <c r="P440" s="17">
        <v>2.4</v>
      </c>
      <c r="Q440" s="17">
        <v>2.5499999999999998</v>
      </c>
      <c r="R440" s="17">
        <v>5.3</v>
      </c>
      <c r="S440" s="17">
        <v>2.5</v>
      </c>
      <c r="T440" s="16">
        <f t="shared" si="30"/>
        <v>6757.5</v>
      </c>
      <c r="U440" s="18">
        <v>-3725.8</v>
      </c>
      <c r="V440" s="19">
        <f t="shared" si="31"/>
        <v>-0.55135775064742876</v>
      </c>
      <c r="W440" s="19">
        <f t="shared" si="32"/>
        <v>-0.52830188679245282</v>
      </c>
      <c r="X440" s="19">
        <f t="shared" si="33"/>
        <v>0</v>
      </c>
      <c r="Y440" s="12" t="s">
        <v>456</v>
      </c>
      <c r="Z440" s="12" t="s">
        <v>70</v>
      </c>
      <c r="AA440" s="18">
        <v>-3725.8</v>
      </c>
      <c r="AB440" s="17">
        <v>-1.8560000000000001</v>
      </c>
      <c r="AC440" s="12" t="s">
        <v>71</v>
      </c>
      <c r="AD440" s="12" t="str">
        <f t="shared" si="34"/>
        <v>Rs 2+</v>
      </c>
      <c r="AE440" s="20">
        <v>1</v>
      </c>
    </row>
    <row r="441" spans="1:31" x14ac:dyDescent="0.3">
      <c r="A441" s="12" t="s">
        <v>129</v>
      </c>
      <c r="B441" s="12" t="s">
        <v>462</v>
      </c>
      <c r="C441" s="12" t="s">
        <v>456</v>
      </c>
      <c r="D441" s="12" t="s">
        <v>68</v>
      </c>
      <c r="E441" s="13">
        <v>10.199999999999999</v>
      </c>
      <c r="F441" s="13">
        <v>10.3</v>
      </c>
      <c r="G441" s="13">
        <v>18.600000000000001</v>
      </c>
      <c r="H441" s="14">
        <v>1719.7</v>
      </c>
      <c r="I441" s="12" t="s">
        <v>455</v>
      </c>
      <c r="J441" s="14">
        <v>1600</v>
      </c>
      <c r="K441" s="15">
        <v>6</v>
      </c>
      <c r="L441" s="16">
        <v>475</v>
      </c>
      <c r="M441" s="16">
        <v>4985</v>
      </c>
      <c r="N441" s="17">
        <v>9</v>
      </c>
      <c r="O441" s="17">
        <v>22.05</v>
      </c>
      <c r="P441" s="17">
        <v>6.7</v>
      </c>
      <c r="Q441" s="17">
        <v>19.5</v>
      </c>
      <c r="R441" s="17">
        <v>9.0500000000000007</v>
      </c>
      <c r="S441" s="17">
        <v>19.45</v>
      </c>
      <c r="T441" s="16">
        <f t="shared" si="30"/>
        <v>4298.75</v>
      </c>
      <c r="U441" s="18">
        <v>4737.74</v>
      </c>
      <c r="V441" s="19">
        <f t="shared" si="31"/>
        <v>1.1021203838325093</v>
      </c>
      <c r="W441" s="19">
        <f t="shared" si="32"/>
        <v>1.1491712707182318</v>
      </c>
      <c r="X441" s="19">
        <f t="shared" si="33"/>
        <v>1.4364640883977899</v>
      </c>
      <c r="Y441" s="12" t="s">
        <v>460</v>
      </c>
      <c r="Z441" s="12" t="s">
        <v>84</v>
      </c>
      <c r="AA441" s="18">
        <v>701.43</v>
      </c>
      <c r="AB441" s="17">
        <v>3.625</v>
      </c>
      <c r="AC441" s="12" t="s">
        <v>71</v>
      </c>
      <c r="AD441" s="12" t="str">
        <f t="shared" si="34"/>
        <v>Rs 2+</v>
      </c>
      <c r="AE441" s="20">
        <v>1</v>
      </c>
    </row>
    <row r="442" spans="1:31" x14ac:dyDescent="0.3">
      <c r="A442" s="12" t="s">
        <v>433</v>
      </c>
      <c r="B442" s="12" t="s">
        <v>462</v>
      </c>
      <c r="C442" s="12" t="s">
        <v>456</v>
      </c>
      <c r="D442" s="12" t="s">
        <v>68</v>
      </c>
      <c r="E442" s="13">
        <v>39.6</v>
      </c>
      <c r="F442" s="13">
        <v>31.5</v>
      </c>
      <c r="G442" s="13">
        <v>17.899999999999999</v>
      </c>
      <c r="H442" s="14">
        <v>2758.4</v>
      </c>
      <c r="I442" s="12" t="s">
        <v>455</v>
      </c>
      <c r="J442" s="14">
        <v>2600</v>
      </c>
      <c r="K442" s="15">
        <v>8</v>
      </c>
      <c r="L442" s="16">
        <v>250</v>
      </c>
      <c r="M442" s="16">
        <v>5938</v>
      </c>
      <c r="N442" s="17">
        <v>20.95</v>
      </c>
      <c r="O442" s="17">
        <v>37.049999999999997</v>
      </c>
      <c r="P442" s="17">
        <v>13.4</v>
      </c>
      <c r="Q442" s="17">
        <v>15.95</v>
      </c>
      <c r="R442" s="17">
        <v>21</v>
      </c>
      <c r="S442" s="17">
        <v>15.9</v>
      </c>
      <c r="T442" s="16">
        <f t="shared" si="30"/>
        <v>5250</v>
      </c>
      <c r="U442" s="18">
        <v>-1424.45</v>
      </c>
      <c r="V442" s="19">
        <f t="shared" si="31"/>
        <v>-0.27132380952380952</v>
      </c>
      <c r="W442" s="19">
        <f t="shared" si="32"/>
        <v>-0.24285714285714288</v>
      </c>
      <c r="X442" s="19">
        <f t="shared" si="33"/>
        <v>0.76428571428571423</v>
      </c>
      <c r="Y442" s="12" t="s">
        <v>462</v>
      </c>
      <c r="Z442" s="12" t="s">
        <v>70</v>
      </c>
      <c r="AA442" s="18">
        <v>-1424.45</v>
      </c>
      <c r="AB442" s="17">
        <v>0.43099999999999999</v>
      </c>
      <c r="AC442" s="12" t="s">
        <v>71</v>
      </c>
      <c r="AD442" s="12" t="str">
        <f t="shared" si="34"/>
        <v>Rs 2+</v>
      </c>
      <c r="AE442" s="20">
        <v>1</v>
      </c>
    </row>
    <row r="443" spans="1:31" x14ac:dyDescent="0.3">
      <c r="A443" s="12" t="s">
        <v>463</v>
      </c>
      <c r="B443" s="12" t="s">
        <v>462</v>
      </c>
      <c r="C443" s="12" t="s">
        <v>456</v>
      </c>
      <c r="D443" s="12" t="s">
        <v>68</v>
      </c>
      <c r="E443" s="13">
        <v>15.3</v>
      </c>
      <c r="F443" s="13">
        <v>61.9</v>
      </c>
      <c r="G443" s="13">
        <v>10.6</v>
      </c>
      <c r="H443" s="14">
        <v>433.7</v>
      </c>
      <c r="I443" s="12" t="s">
        <v>455</v>
      </c>
      <c r="J443" s="14">
        <v>415</v>
      </c>
      <c r="K443" s="15">
        <v>4</v>
      </c>
      <c r="L443" s="16">
        <v>1250</v>
      </c>
      <c r="M443" s="16">
        <v>2964</v>
      </c>
      <c r="N443" s="17">
        <v>5.5</v>
      </c>
      <c r="O443" s="17">
        <v>10.4</v>
      </c>
      <c r="P443" s="17">
        <v>4.6500000000000004</v>
      </c>
      <c r="Q443" s="17">
        <v>4.9000000000000004</v>
      </c>
      <c r="R443" s="17">
        <v>5.55</v>
      </c>
      <c r="S443" s="17">
        <v>4.8499999999999996</v>
      </c>
      <c r="T443" s="16">
        <f t="shared" si="30"/>
        <v>6937.5</v>
      </c>
      <c r="U443" s="18">
        <v>-1196.96</v>
      </c>
      <c r="V443" s="19">
        <f t="shared" si="31"/>
        <v>-0.17253477477477477</v>
      </c>
      <c r="W443" s="19">
        <f t="shared" si="32"/>
        <v>-0.12612612612612617</v>
      </c>
      <c r="X443" s="19">
        <f t="shared" si="33"/>
        <v>0.87387387387387405</v>
      </c>
      <c r="Y443" s="12" t="s">
        <v>458</v>
      </c>
      <c r="Z443" s="12" t="s">
        <v>84</v>
      </c>
      <c r="AA443" s="18">
        <v>-1624.88</v>
      </c>
      <c r="AB443" s="17">
        <v>1.5940000000000001</v>
      </c>
      <c r="AC443" s="12" t="s">
        <v>71</v>
      </c>
      <c r="AD443" s="12" t="str">
        <f t="shared" si="34"/>
        <v>Rs 2+</v>
      </c>
      <c r="AE443" s="20">
        <v>1</v>
      </c>
    </row>
    <row r="444" spans="1:31" x14ac:dyDescent="0.3">
      <c r="A444" s="12" t="s">
        <v>183</v>
      </c>
      <c r="B444" s="12" t="s">
        <v>462</v>
      </c>
      <c r="C444" s="12" t="s">
        <v>456</v>
      </c>
      <c r="D444" s="12" t="s">
        <v>77</v>
      </c>
      <c r="E444" s="13">
        <v>-32.299999999999997</v>
      </c>
      <c r="F444" s="13">
        <v>-28.6</v>
      </c>
      <c r="G444" s="13">
        <v>8.9</v>
      </c>
      <c r="H444" s="14">
        <v>638.75</v>
      </c>
      <c r="I444" s="12" t="s">
        <v>455</v>
      </c>
      <c r="J444" s="14">
        <v>660</v>
      </c>
      <c r="K444" s="15">
        <v>2</v>
      </c>
      <c r="L444" s="16">
        <v>775</v>
      </c>
      <c r="M444" s="16">
        <v>3989</v>
      </c>
      <c r="N444" s="17">
        <v>10.050000000000001</v>
      </c>
      <c r="O444" s="17">
        <v>11.6</v>
      </c>
      <c r="P444" s="17">
        <v>3.7</v>
      </c>
      <c r="Q444" s="17">
        <v>4.4000000000000004</v>
      </c>
      <c r="R444" s="17">
        <v>10.1</v>
      </c>
      <c r="S444" s="17">
        <v>4.3499999999999996</v>
      </c>
      <c r="T444" s="16">
        <f t="shared" si="30"/>
        <v>7827.5</v>
      </c>
      <c r="U444" s="18">
        <v>-4849.41</v>
      </c>
      <c r="V444" s="19">
        <f t="shared" si="31"/>
        <v>-0.61953497285212389</v>
      </c>
      <c r="W444" s="19">
        <f t="shared" si="32"/>
        <v>-0.56930693069306937</v>
      </c>
      <c r="X444" s="19">
        <f t="shared" si="33"/>
        <v>0.14851485148514842</v>
      </c>
      <c r="Y444" s="12" t="s">
        <v>462</v>
      </c>
      <c r="Z444" s="12" t="s">
        <v>70</v>
      </c>
      <c r="AA444" s="18">
        <v>-4849.41</v>
      </c>
      <c r="AB444" s="17">
        <v>-3.32</v>
      </c>
      <c r="AC444" s="12" t="s">
        <v>71</v>
      </c>
      <c r="AD444" s="12" t="str">
        <f t="shared" si="34"/>
        <v>Rs 2+</v>
      </c>
      <c r="AE444" s="20">
        <v>1</v>
      </c>
    </row>
    <row r="445" spans="1:31" x14ac:dyDescent="0.3">
      <c r="A445" s="12" t="s">
        <v>135</v>
      </c>
      <c r="B445" s="12" t="s">
        <v>462</v>
      </c>
      <c r="C445" s="12" t="s">
        <v>456</v>
      </c>
      <c r="D445" s="12" t="s">
        <v>77</v>
      </c>
      <c r="E445" s="13">
        <v>-12.9</v>
      </c>
      <c r="F445" s="13">
        <v>-7</v>
      </c>
      <c r="G445" s="13">
        <v>15.9</v>
      </c>
      <c r="H445" s="14">
        <v>1673</v>
      </c>
      <c r="I445" s="12" t="s">
        <v>455</v>
      </c>
      <c r="J445" s="14">
        <v>1780</v>
      </c>
      <c r="K445" s="15">
        <v>5</v>
      </c>
      <c r="L445" s="16">
        <v>450</v>
      </c>
      <c r="M445" s="16">
        <v>718</v>
      </c>
      <c r="N445" s="17">
        <v>13</v>
      </c>
      <c r="O445" s="17">
        <v>13</v>
      </c>
      <c r="P445" s="17">
        <v>7.65</v>
      </c>
      <c r="Q445" s="17">
        <v>9.1</v>
      </c>
      <c r="R445" s="17">
        <v>13.05</v>
      </c>
      <c r="S445" s="17">
        <v>9.0500000000000007</v>
      </c>
      <c r="T445" s="16">
        <f t="shared" si="30"/>
        <v>5872.5</v>
      </c>
      <c r="U445" s="18">
        <v>-2056.58</v>
      </c>
      <c r="V445" s="19">
        <f t="shared" si="31"/>
        <v>-0.35020519369944658</v>
      </c>
      <c r="W445" s="19">
        <f t="shared" si="32"/>
        <v>-0.30651340996168586</v>
      </c>
      <c r="X445" s="19">
        <f t="shared" si="33"/>
        <v>-3.8314176245211051E-3</v>
      </c>
      <c r="Y445" s="12" t="s">
        <v>462</v>
      </c>
      <c r="Z445" s="12" t="s">
        <v>70</v>
      </c>
      <c r="AA445" s="18">
        <v>-2056.58</v>
      </c>
      <c r="AB445" s="17">
        <v>-0.76500000000000001</v>
      </c>
      <c r="AC445" s="12" t="s">
        <v>71</v>
      </c>
      <c r="AD445" s="12" t="str">
        <f t="shared" si="34"/>
        <v>Rs 2+</v>
      </c>
      <c r="AE445" s="20">
        <v>1</v>
      </c>
    </row>
    <row r="446" spans="1:31" x14ac:dyDescent="0.3">
      <c r="A446" s="12" t="s">
        <v>123</v>
      </c>
      <c r="B446" s="12" t="s">
        <v>460</v>
      </c>
      <c r="C446" s="12" t="s">
        <v>462</v>
      </c>
      <c r="D446" s="12" t="s">
        <v>68</v>
      </c>
      <c r="E446" s="13">
        <v>27.6</v>
      </c>
      <c r="F446" s="13">
        <v>9.5</v>
      </c>
      <c r="G446" s="13">
        <v>18.7</v>
      </c>
      <c r="H446" s="14">
        <v>1053.7</v>
      </c>
      <c r="I446" s="12" t="s">
        <v>455</v>
      </c>
      <c r="J446" s="14">
        <v>1040</v>
      </c>
      <c r="K446" s="15">
        <v>1</v>
      </c>
      <c r="L446" s="16">
        <v>750</v>
      </c>
      <c r="M446" s="16">
        <v>6717</v>
      </c>
      <c r="N446" s="17">
        <v>6.85</v>
      </c>
      <c r="O446" s="17">
        <v>18</v>
      </c>
      <c r="P446" s="17">
        <v>3.7</v>
      </c>
      <c r="Q446" s="17">
        <v>3.9</v>
      </c>
      <c r="R446" s="17">
        <v>6.9</v>
      </c>
      <c r="S446" s="17">
        <v>3.85</v>
      </c>
      <c r="T446" s="16">
        <f t="shared" si="30"/>
        <v>5175</v>
      </c>
      <c r="U446" s="18">
        <v>-2423.2199999999998</v>
      </c>
      <c r="V446" s="19">
        <f t="shared" si="31"/>
        <v>-0.46825507246376807</v>
      </c>
      <c r="W446" s="19">
        <f t="shared" si="32"/>
        <v>-0.44202898550724634</v>
      </c>
      <c r="X446" s="19">
        <f t="shared" si="33"/>
        <v>1.6086956521739131</v>
      </c>
      <c r="Y446" s="12" t="s">
        <v>460</v>
      </c>
      <c r="Z446" s="12" t="s">
        <v>70</v>
      </c>
      <c r="AA446" s="18">
        <v>-2423.2199999999998</v>
      </c>
      <c r="AB446" s="17">
        <v>-4.2190000000000003</v>
      </c>
      <c r="AC446" s="12" t="s">
        <v>71</v>
      </c>
      <c r="AD446" s="12" t="str">
        <f t="shared" si="34"/>
        <v>Rs 2+</v>
      </c>
      <c r="AE446" s="20">
        <v>1</v>
      </c>
    </row>
    <row r="447" spans="1:31" x14ac:dyDescent="0.3">
      <c r="A447" s="12" t="s">
        <v>464</v>
      </c>
      <c r="B447" s="12" t="s">
        <v>460</v>
      </c>
      <c r="C447" s="12" t="s">
        <v>462</v>
      </c>
      <c r="D447" s="12" t="s">
        <v>77</v>
      </c>
      <c r="E447" s="13">
        <v>-35.1</v>
      </c>
      <c r="F447" s="13">
        <v>-29.2</v>
      </c>
      <c r="G447" s="13">
        <v>-0.5</v>
      </c>
      <c r="H447" s="14">
        <v>2018.5</v>
      </c>
      <c r="I447" s="12" t="s">
        <v>455</v>
      </c>
      <c r="J447" s="14">
        <v>2220</v>
      </c>
      <c r="K447" s="15">
        <v>10</v>
      </c>
      <c r="L447" s="16">
        <v>275</v>
      </c>
      <c r="M447" s="16">
        <v>5011</v>
      </c>
      <c r="N447" s="17">
        <v>19.95</v>
      </c>
      <c r="O447" s="17">
        <v>64.95</v>
      </c>
      <c r="P447" s="17">
        <v>19.95</v>
      </c>
      <c r="Q447" s="17">
        <v>42.45</v>
      </c>
      <c r="R447" s="17">
        <v>20</v>
      </c>
      <c r="S447" s="17">
        <v>42.4</v>
      </c>
      <c r="T447" s="16">
        <f t="shared" si="30"/>
        <v>5500</v>
      </c>
      <c r="U447" s="18">
        <v>5916.33</v>
      </c>
      <c r="V447" s="19">
        <f t="shared" si="31"/>
        <v>1.0756963636363637</v>
      </c>
      <c r="W447" s="19">
        <f t="shared" si="32"/>
        <v>1.1200000000000001</v>
      </c>
      <c r="X447" s="19">
        <f t="shared" si="33"/>
        <v>2.2475000000000001</v>
      </c>
      <c r="Y447" s="12" t="s">
        <v>465</v>
      </c>
      <c r="Z447" s="12" t="s">
        <v>84</v>
      </c>
      <c r="AA447" s="18">
        <v>3987.1</v>
      </c>
      <c r="AB447" s="17">
        <v>3.8919999999999999</v>
      </c>
      <c r="AC447" s="12" t="s">
        <v>71</v>
      </c>
      <c r="AD447" s="12" t="str">
        <f t="shared" si="34"/>
        <v>Rs 2+</v>
      </c>
      <c r="AE447" s="20">
        <v>1</v>
      </c>
    </row>
    <row r="448" spans="1:31" x14ac:dyDescent="0.3">
      <c r="A448" s="12" t="s">
        <v>239</v>
      </c>
      <c r="B448" s="12" t="s">
        <v>460</v>
      </c>
      <c r="C448" s="12" t="s">
        <v>462</v>
      </c>
      <c r="D448" s="12" t="s">
        <v>68</v>
      </c>
      <c r="E448" s="13">
        <v>10.4</v>
      </c>
      <c r="F448" s="13">
        <v>14.4</v>
      </c>
      <c r="G448" s="13">
        <v>19.5</v>
      </c>
      <c r="H448" s="14">
        <v>88.92</v>
      </c>
      <c r="I448" s="12" t="s">
        <v>455</v>
      </c>
      <c r="J448" s="14">
        <v>86</v>
      </c>
      <c r="K448" s="15">
        <v>3</v>
      </c>
      <c r="L448" s="16">
        <v>5425</v>
      </c>
      <c r="M448" s="16">
        <v>549</v>
      </c>
      <c r="N448" s="17">
        <v>1.21</v>
      </c>
      <c r="O448" s="17">
        <v>1.41</v>
      </c>
      <c r="P448" s="17">
        <v>1.01</v>
      </c>
      <c r="Q448" s="17">
        <v>1.23</v>
      </c>
      <c r="R448" s="17">
        <v>1.26</v>
      </c>
      <c r="S448" s="17">
        <v>1.18</v>
      </c>
      <c r="T448" s="16">
        <f t="shared" si="30"/>
        <v>6835.5</v>
      </c>
      <c r="U448" s="18">
        <v>-628.95000000000005</v>
      </c>
      <c r="V448" s="19">
        <f t="shared" si="31"/>
        <v>-9.2012288786482335E-2</v>
      </c>
      <c r="W448" s="19">
        <f t="shared" si="32"/>
        <v>-6.34920634920636E-2</v>
      </c>
      <c r="X448" s="19">
        <f t="shared" si="33"/>
        <v>0.11904761904761907</v>
      </c>
      <c r="Y448" s="12" t="s">
        <v>458</v>
      </c>
      <c r="Z448" s="12" t="s">
        <v>70</v>
      </c>
      <c r="AA448" s="18">
        <v>-3094.7</v>
      </c>
      <c r="AB448" s="17">
        <v>0.39100000000000001</v>
      </c>
      <c r="AC448" s="12" t="s">
        <v>102</v>
      </c>
      <c r="AD448" s="12" t="str">
        <f t="shared" si="34"/>
        <v>Rs 1-2</v>
      </c>
      <c r="AE448" s="20">
        <v>1</v>
      </c>
    </row>
    <row r="449" spans="1:31" x14ac:dyDescent="0.3">
      <c r="A449" s="12" t="s">
        <v>162</v>
      </c>
      <c r="B449" s="12" t="s">
        <v>460</v>
      </c>
      <c r="C449" s="12" t="s">
        <v>462</v>
      </c>
      <c r="D449" s="12" t="s">
        <v>68</v>
      </c>
      <c r="E449" s="13">
        <v>37</v>
      </c>
      <c r="F449" s="13">
        <v>14</v>
      </c>
      <c r="G449" s="13">
        <v>27.8</v>
      </c>
      <c r="H449" s="14">
        <v>3283.2</v>
      </c>
      <c r="I449" s="12" t="s">
        <v>455</v>
      </c>
      <c r="J449" s="14">
        <v>3250</v>
      </c>
      <c r="K449" s="15">
        <v>1</v>
      </c>
      <c r="L449" s="16">
        <v>200</v>
      </c>
      <c r="M449" s="16">
        <v>6897</v>
      </c>
      <c r="N449" s="17">
        <v>35</v>
      </c>
      <c r="O449" s="17">
        <v>85.45</v>
      </c>
      <c r="P449" s="17">
        <v>24.05</v>
      </c>
      <c r="Q449" s="17">
        <v>30.4</v>
      </c>
      <c r="R449" s="17">
        <v>35.049999999999997</v>
      </c>
      <c r="S449" s="17">
        <v>30.35</v>
      </c>
      <c r="T449" s="16">
        <f t="shared" si="30"/>
        <v>7009.9999999999991</v>
      </c>
      <c r="U449" s="18">
        <v>-1132.83</v>
      </c>
      <c r="V449" s="19">
        <f t="shared" si="31"/>
        <v>-0.16160199714693296</v>
      </c>
      <c r="W449" s="19">
        <f t="shared" si="32"/>
        <v>-0.13409415121255341</v>
      </c>
      <c r="X449" s="19">
        <f t="shared" si="33"/>
        <v>1.437945791726106</v>
      </c>
      <c r="Y449" s="12" t="s">
        <v>458</v>
      </c>
      <c r="Z449" s="12" t="s">
        <v>70</v>
      </c>
      <c r="AA449" s="18">
        <v>-1962.81</v>
      </c>
      <c r="AB449" s="17">
        <v>-0.55000000000000004</v>
      </c>
      <c r="AC449" s="12" t="s">
        <v>71</v>
      </c>
      <c r="AD449" s="12" t="str">
        <f t="shared" si="34"/>
        <v>Rs 2+</v>
      </c>
      <c r="AE449" s="20">
        <v>1</v>
      </c>
    </row>
    <row r="450" spans="1:31" x14ac:dyDescent="0.3">
      <c r="A450" s="12" t="s">
        <v>423</v>
      </c>
      <c r="B450" s="12" t="s">
        <v>460</v>
      </c>
      <c r="C450" s="12" t="s">
        <v>462</v>
      </c>
      <c r="D450" s="12" t="s">
        <v>68</v>
      </c>
      <c r="E450" s="13">
        <v>29.1</v>
      </c>
      <c r="F450" s="13">
        <v>2.6</v>
      </c>
      <c r="G450" s="13">
        <v>12.9</v>
      </c>
      <c r="H450" s="14">
        <v>2575.9</v>
      </c>
      <c r="I450" s="12" t="s">
        <v>455</v>
      </c>
      <c r="J450" s="14">
        <v>2400</v>
      </c>
      <c r="K450" s="15">
        <v>9</v>
      </c>
      <c r="L450" s="16">
        <v>250</v>
      </c>
      <c r="M450" s="16">
        <v>4251</v>
      </c>
      <c r="N450" s="17">
        <v>18</v>
      </c>
      <c r="O450" s="17">
        <v>63</v>
      </c>
      <c r="P450" s="17">
        <v>18</v>
      </c>
      <c r="Q450" s="17">
        <v>43</v>
      </c>
      <c r="R450" s="17">
        <v>18.05</v>
      </c>
      <c r="S450" s="17">
        <v>42.95</v>
      </c>
      <c r="T450" s="16">
        <f t="shared" ref="T450:T494" si="35">R450*L450</f>
        <v>4512.5</v>
      </c>
      <c r="U450" s="18">
        <v>5850.14</v>
      </c>
      <c r="V450" s="19">
        <f t="shared" ref="V450:V513" si="36">U450/T450</f>
        <v>1.2964299168975071</v>
      </c>
      <c r="W450" s="19">
        <f t="shared" ref="W450:W494" si="37">S450/R450-1</f>
        <v>1.3795013850415514</v>
      </c>
      <c r="X450" s="19">
        <f t="shared" ref="X450:X494" si="38">IF(O450="","",O450/R450-1)</f>
        <v>2.4903047091412742</v>
      </c>
      <c r="Y450" s="12" t="s">
        <v>466</v>
      </c>
      <c r="Z450" s="12" t="s">
        <v>84</v>
      </c>
      <c r="AA450" s="18">
        <v>3258.24</v>
      </c>
      <c r="AB450" s="17">
        <v>5.1609999999999996</v>
      </c>
      <c r="AC450" s="12" t="s">
        <v>71</v>
      </c>
      <c r="AD450" s="12" t="str">
        <f t="shared" ref="AD450:AD494" si="39">IF(R450&lt;1,"under Rs 1",IF(R450&lt;2,"Rs 1-2","Rs 2+"))</f>
        <v>Rs 2+</v>
      </c>
      <c r="AE450" s="20">
        <v>1</v>
      </c>
    </row>
    <row r="451" spans="1:31" x14ac:dyDescent="0.3">
      <c r="A451" s="12" t="s">
        <v>371</v>
      </c>
      <c r="B451" s="12" t="s">
        <v>458</v>
      </c>
      <c r="C451" s="12" t="s">
        <v>460</v>
      </c>
      <c r="D451" s="12" t="s">
        <v>68</v>
      </c>
      <c r="E451" s="13">
        <v>43.9</v>
      </c>
      <c r="F451" s="13">
        <v>5.0999999999999996</v>
      </c>
      <c r="G451" s="13">
        <v>28.2</v>
      </c>
      <c r="H451" s="14">
        <v>404.3</v>
      </c>
      <c r="I451" s="12" t="s">
        <v>455</v>
      </c>
      <c r="J451" s="14">
        <v>385</v>
      </c>
      <c r="K451" s="15">
        <v>4</v>
      </c>
      <c r="L451" s="16">
        <v>3100</v>
      </c>
      <c r="M451" s="16">
        <v>352</v>
      </c>
      <c r="N451" s="17">
        <v>2.1</v>
      </c>
      <c r="O451" s="17">
        <v>2.25</v>
      </c>
      <c r="P451" s="17">
        <v>0.95</v>
      </c>
      <c r="Q451" s="17">
        <v>1.65</v>
      </c>
      <c r="R451" s="17">
        <v>2.15</v>
      </c>
      <c r="S451" s="17">
        <v>1.6</v>
      </c>
      <c r="T451" s="16">
        <f t="shared" si="35"/>
        <v>6665</v>
      </c>
      <c r="U451" s="18">
        <v>-1997.23</v>
      </c>
      <c r="V451" s="19">
        <f t="shared" si="36"/>
        <v>-0.29965941485371345</v>
      </c>
      <c r="W451" s="19">
        <f t="shared" si="37"/>
        <v>-0.25581395348837199</v>
      </c>
      <c r="X451" s="19">
        <f t="shared" si="38"/>
        <v>4.6511627906976827E-2</v>
      </c>
      <c r="Y451" s="12" t="s">
        <v>458</v>
      </c>
      <c r="Z451" s="12" t="s">
        <v>70</v>
      </c>
      <c r="AA451" s="18">
        <v>-1997.23</v>
      </c>
      <c r="AB451" s="17">
        <v>-3.5</v>
      </c>
      <c r="AC451" s="12" t="s">
        <v>71</v>
      </c>
      <c r="AD451" s="12" t="str">
        <f t="shared" si="39"/>
        <v>Rs 2+</v>
      </c>
      <c r="AE451" s="20">
        <v>1</v>
      </c>
    </row>
    <row r="452" spans="1:31" x14ac:dyDescent="0.3">
      <c r="A452" s="12" t="s">
        <v>244</v>
      </c>
      <c r="B452" s="12" t="s">
        <v>458</v>
      </c>
      <c r="C452" s="12" t="s">
        <v>460</v>
      </c>
      <c r="D452" s="12" t="s">
        <v>68</v>
      </c>
      <c r="E452" s="13">
        <v>18.2</v>
      </c>
      <c r="F452" s="13">
        <v>20.5</v>
      </c>
      <c r="G452" s="13">
        <v>18.600000000000001</v>
      </c>
      <c r="H452" s="14">
        <v>2029.1</v>
      </c>
      <c r="I452" s="12" t="s">
        <v>455</v>
      </c>
      <c r="J452" s="14">
        <v>2000</v>
      </c>
      <c r="K452" s="15">
        <v>1</v>
      </c>
      <c r="L452" s="16">
        <v>300</v>
      </c>
      <c r="M452" s="16">
        <v>4823</v>
      </c>
      <c r="N452" s="17">
        <v>25.95</v>
      </c>
      <c r="O452" s="17">
        <v>33</v>
      </c>
      <c r="P452" s="17">
        <v>15</v>
      </c>
      <c r="Q452" s="17">
        <v>17.45</v>
      </c>
      <c r="R452" s="17">
        <v>26</v>
      </c>
      <c r="S452" s="17">
        <v>17.399999999999999</v>
      </c>
      <c r="T452" s="16">
        <f t="shared" si="35"/>
        <v>7800</v>
      </c>
      <c r="U452" s="18">
        <v>-2770.93</v>
      </c>
      <c r="V452" s="19">
        <f t="shared" si="36"/>
        <v>-0.3552474358974359</v>
      </c>
      <c r="W452" s="19">
        <f t="shared" si="37"/>
        <v>-0.33076923076923082</v>
      </c>
      <c r="X452" s="19">
        <f t="shared" si="38"/>
        <v>0.26923076923076916</v>
      </c>
      <c r="Y452" s="12" t="s">
        <v>458</v>
      </c>
      <c r="Z452" s="12" t="s">
        <v>70</v>
      </c>
      <c r="AA452" s="18">
        <v>-2770.93</v>
      </c>
      <c r="AB452" s="17">
        <v>-2.2189999999999999</v>
      </c>
      <c r="AC452" s="12" t="s">
        <v>71</v>
      </c>
      <c r="AD452" s="12" t="str">
        <f t="shared" si="39"/>
        <v>Rs 2+</v>
      </c>
      <c r="AE452" s="20">
        <v>1</v>
      </c>
    </row>
    <row r="453" spans="1:31" x14ac:dyDescent="0.3">
      <c r="A453" s="12" t="s">
        <v>192</v>
      </c>
      <c r="B453" s="12" t="s">
        <v>458</v>
      </c>
      <c r="C453" s="12" t="s">
        <v>467</v>
      </c>
      <c r="D453" s="12" t="s">
        <v>68</v>
      </c>
      <c r="E453" s="13">
        <v>14.9</v>
      </c>
      <c r="F453" s="13">
        <v>47.5</v>
      </c>
      <c r="G453" s="13">
        <v>13.1</v>
      </c>
      <c r="H453" s="14">
        <v>1333</v>
      </c>
      <c r="I453" s="12" t="s">
        <v>455</v>
      </c>
      <c r="J453" s="14">
        <v>1260</v>
      </c>
      <c r="K453" s="15">
        <v>4</v>
      </c>
      <c r="L453" s="16">
        <v>475</v>
      </c>
      <c r="M453" s="16">
        <v>994</v>
      </c>
      <c r="N453" s="17">
        <v>15</v>
      </c>
      <c r="O453" s="17">
        <v>17.100000000000001</v>
      </c>
      <c r="P453" s="17">
        <v>10.199999999999999</v>
      </c>
      <c r="Q453" s="17">
        <v>15.25</v>
      </c>
      <c r="R453" s="17">
        <v>15.05</v>
      </c>
      <c r="S453" s="17">
        <v>15.2</v>
      </c>
      <c r="T453" s="16">
        <f t="shared" si="35"/>
        <v>7148.75</v>
      </c>
      <c r="U453" s="18">
        <v>-424.1</v>
      </c>
      <c r="V453" s="19">
        <f t="shared" si="36"/>
        <v>-5.9325056828116805E-2</v>
      </c>
      <c r="W453" s="19">
        <f t="shared" si="37"/>
        <v>9.966777408637828E-3</v>
      </c>
      <c r="X453" s="19">
        <f t="shared" si="38"/>
        <v>0.13621262458471772</v>
      </c>
      <c r="Y453" s="12" t="s">
        <v>468</v>
      </c>
      <c r="Z453" s="12" t="s">
        <v>70</v>
      </c>
      <c r="AA453" s="18">
        <v>-2125.5</v>
      </c>
      <c r="AB453" s="17">
        <v>1.468</v>
      </c>
      <c r="AC453" s="12" t="s">
        <v>71</v>
      </c>
      <c r="AD453" s="12" t="str">
        <f t="shared" si="39"/>
        <v>Rs 2+</v>
      </c>
      <c r="AE453" s="20">
        <v>1</v>
      </c>
    </row>
    <row r="454" spans="1:31" x14ac:dyDescent="0.3">
      <c r="A454" s="12" t="s">
        <v>141</v>
      </c>
      <c r="B454" s="12" t="s">
        <v>458</v>
      </c>
      <c r="C454" s="12" t="s">
        <v>467</v>
      </c>
      <c r="D454" s="12" t="s">
        <v>68</v>
      </c>
      <c r="E454" s="13">
        <v>65.5</v>
      </c>
      <c r="F454" s="13">
        <v>20.100000000000001</v>
      </c>
      <c r="G454" s="13">
        <v>27.8</v>
      </c>
      <c r="H454" s="14">
        <v>8056</v>
      </c>
      <c r="I454" s="12" t="s">
        <v>455</v>
      </c>
      <c r="J454" s="14">
        <v>7700</v>
      </c>
      <c r="K454" s="15">
        <v>4</v>
      </c>
      <c r="L454" s="16">
        <v>100</v>
      </c>
      <c r="M454" s="16">
        <v>2736</v>
      </c>
      <c r="N454" s="17">
        <v>64.95</v>
      </c>
      <c r="O454" s="17">
        <v>86.55</v>
      </c>
      <c r="P454" s="17">
        <v>27.9</v>
      </c>
      <c r="Q454" s="17">
        <v>31.3</v>
      </c>
      <c r="R454" s="17">
        <v>65</v>
      </c>
      <c r="S454" s="17">
        <v>31.25</v>
      </c>
      <c r="T454" s="16">
        <f t="shared" si="35"/>
        <v>6500</v>
      </c>
      <c r="U454" s="18">
        <v>-3527.39</v>
      </c>
      <c r="V454" s="19">
        <f t="shared" si="36"/>
        <v>-0.54267538461538456</v>
      </c>
      <c r="W454" s="19">
        <f t="shared" si="37"/>
        <v>-0.51923076923076916</v>
      </c>
      <c r="X454" s="19">
        <f t="shared" si="38"/>
        <v>0.33153846153846156</v>
      </c>
      <c r="Y454" s="12" t="s">
        <v>458</v>
      </c>
      <c r="Z454" s="12" t="s">
        <v>70</v>
      </c>
      <c r="AA454" s="18">
        <v>-3527.39</v>
      </c>
      <c r="AB454" s="17">
        <v>-2.4460000000000002</v>
      </c>
      <c r="AC454" s="12" t="s">
        <v>71</v>
      </c>
      <c r="AD454" s="12" t="str">
        <f t="shared" si="39"/>
        <v>Rs 2+</v>
      </c>
      <c r="AE454" s="20">
        <v>1</v>
      </c>
    </row>
    <row r="455" spans="1:31" x14ac:dyDescent="0.3">
      <c r="A455" s="12" t="s">
        <v>202</v>
      </c>
      <c r="B455" s="12" t="s">
        <v>458</v>
      </c>
      <c r="C455" s="12" t="s">
        <v>460</v>
      </c>
      <c r="D455" s="12" t="s">
        <v>68</v>
      </c>
      <c r="E455" s="13">
        <v>156.30000000000001</v>
      </c>
      <c r="F455" s="13">
        <v>140.9</v>
      </c>
      <c r="G455" s="13">
        <v>21.1</v>
      </c>
      <c r="H455" s="14">
        <v>14052</v>
      </c>
      <c r="I455" s="12" t="s">
        <v>455</v>
      </c>
      <c r="J455" s="14">
        <v>12250</v>
      </c>
      <c r="K455" s="15">
        <v>7</v>
      </c>
      <c r="L455" s="16">
        <v>50</v>
      </c>
      <c r="M455" s="16">
        <v>3177</v>
      </c>
      <c r="N455" s="17">
        <v>116.15</v>
      </c>
      <c r="O455" s="17">
        <v>130.94999999999999</v>
      </c>
      <c r="P455" s="17">
        <v>50.15</v>
      </c>
      <c r="Q455" s="17">
        <v>53.5</v>
      </c>
      <c r="R455" s="17">
        <v>116.2</v>
      </c>
      <c r="S455" s="17">
        <v>53.45</v>
      </c>
      <c r="T455" s="16">
        <f t="shared" si="35"/>
        <v>5810</v>
      </c>
      <c r="U455" s="18">
        <v>-3362.09</v>
      </c>
      <c r="V455" s="19">
        <f t="shared" si="36"/>
        <v>-0.57867297762478487</v>
      </c>
      <c r="W455" s="19">
        <f t="shared" si="37"/>
        <v>-0.54001721170395867</v>
      </c>
      <c r="X455" s="19">
        <f t="shared" si="38"/>
        <v>0.12693631669535277</v>
      </c>
      <c r="Y455" s="12" t="s">
        <v>458</v>
      </c>
      <c r="Z455" s="12" t="s">
        <v>70</v>
      </c>
      <c r="AA455" s="18">
        <v>-3362.09</v>
      </c>
      <c r="AB455" s="17">
        <v>-0.123</v>
      </c>
      <c r="AC455" s="12" t="s">
        <v>71</v>
      </c>
      <c r="AD455" s="12" t="str">
        <f t="shared" si="39"/>
        <v>Rs 2+</v>
      </c>
      <c r="AE455" s="20">
        <v>1</v>
      </c>
    </row>
    <row r="456" spans="1:31" x14ac:dyDescent="0.3">
      <c r="A456" s="12" t="s">
        <v>131</v>
      </c>
      <c r="B456" s="12" t="s">
        <v>458</v>
      </c>
      <c r="C456" s="12" t="s">
        <v>460</v>
      </c>
      <c r="D456" s="12" t="s">
        <v>68</v>
      </c>
      <c r="E456" s="13">
        <v>96.1</v>
      </c>
      <c r="F456" s="13">
        <v>215.3</v>
      </c>
      <c r="G456" s="13">
        <v>16.7</v>
      </c>
      <c r="H456" s="14">
        <v>181.44</v>
      </c>
      <c r="I456" s="12" t="s">
        <v>455</v>
      </c>
      <c r="J456" s="14">
        <v>172.5</v>
      </c>
      <c r="K456" s="15">
        <v>4</v>
      </c>
      <c r="L456" s="16">
        <v>3550</v>
      </c>
      <c r="M456" s="16">
        <v>2410</v>
      </c>
      <c r="N456" s="17">
        <v>1.66</v>
      </c>
      <c r="O456" s="17">
        <v>4.66</v>
      </c>
      <c r="P456" s="17">
        <v>1.65</v>
      </c>
      <c r="Q456" s="17">
        <v>3.8</v>
      </c>
      <c r="R456" s="17">
        <v>1.71</v>
      </c>
      <c r="S456" s="17">
        <v>3.75</v>
      </c>
      <c r="T456" s="16">
        <f t="shared" si="35"/>
        <v>6070.5</v>
      </c>
      <c r="U456" s="18">
        <v>6972.67</v>
      </c>
      <c r="V456" s="19">
        <f t="shared" si="36"/>
        <v>1.1486154353018696</v>
      </c>
      <c r="W456" s="19">
        <f t="shared" si="37"/>
        <v>1.192982456140351</v>
      </c>
      <c r="X456" s="19">
        <f t="shared" si="38"/>
        <v>1.7251461988304095</v>
      </c>
      <c r="Y456" s="12" t="s">
        <v>468</v>
      </c>
      <c r="Z456" s="12" t="s">
        <v>84</v>
      </c>
      <c r="AA456" s="18">
        <v>2938.83</v>
      </c>
      <c r="AB456" s="17">
        <v>4.2830000000000004</v>
      </c>
      <c r="AC456" s="12" t="s">
        <v>102</v>
      </c>
      <c r="AD456" s="12" t="str">
        <f t="shared" si="39"/>
        <v>Rs 1-2</v>
      </c>
      <c r="AE456" s="20">
        <v>1</v>
      </c>
    </row>
    <row r="457" spans="1:31" x14ac:dyDescent="0.3">
      <c r="A457" s="12" t="s">
        <v>332</v>
      </c>
      <c r="B457" s="12" t="s">
        <v>458</v>
      </c>
      <c r="C457" s="12" t="s">
        <v>460</v>
      </c>
      <c r="D457" s="12" t="s">
        <v>68</v>
      </c>
      <c r="E457" s="13">
        <v>928</v>
      </c>
      <c r="F457" s="13">
        <v>60.2</v>
      </c>
      <c r="G457" s="13">
        <v>23.1</v>
      </c>
      <c r="H457" s="14">
        <v>2233.9</v>
      </c>
      <c r="I457" s="12" t="s">
        <v>455</v>
      </c>
      <c r="J457" s="14">
        <v>2100</v>
      </c>
      <c r="K457" s="15">
        <v>7</v>
      </c>
      <c r="L457" s="16">
        <v>375</v>
      </c>
      <c r="M457" s="16">
        <v>1123</v>
      </c>
      <c r="N457" s="17">
        <v>19.8</v>
      </c>
      <c r="O457" s="17">
        <v>37.75</v>
      </c>
      <c r="P457" s="17">
        <v>14.05</v>
      </c>
      <c r="Q457" s="17">
        <v>19.05</v>
      </c>
      <c r="R457" s="17">
        <v>19.850000000000001</v>
      </c>
      <c r="S457" s="17">
        <v>19</v>
      </c>
      <c r="T457" s="16">
        <f t="shared" si="35"/>
        <v>7443.7500000000009</v>
      </c>
      <c r="U457" s="18">
        <v>-674.37</v>
      </c>
      <c r="V457" s="19">
        <f t="shared" si="36"/>
        <v>-9.059546599496221E-2</v>
      </c>
      <c r="W457" s="19">
        <f t="shared" si="37"/>
        <v>-4.2821158690176442E-2</v>
      </c>
      <c r="X457" s="19">
        <f t="shared" si="38"/>
        <v>0.90176322418136001</v>
      </c>
      <c r="Y457" s="12" t="s">
        <v>468</v>
      </c>
      <c r="Z457" s="12" t="s">
        <v>70</v>
      </c>
      <c r="AA457" s="18">
        <v>-1884.74</v>
      </c>
      <c r="AB457" s="17">
        <v>1.17</v>
      </c>
      <c r="AC457" s="12" t="s">
        <v>71</v>
      </c>
      <c r="AD457" s="12" t="str">
        <f t="shared" si="39"/>
        <v>Rs 2+</v>
      </c>
      <c r="AE457" s="20">
        <v>1</v>
      </c>
    </row>
    <row r="458" spans="1:31" x14ac:dyDescent="0.3">
      <c r="A458" s="12" t="s">
        <v>376</v>
      </c>
      <c r="B458" s="12" t="s">
        <v>458</v>
      </c>
      <c r="C458" s="12" t="s">
        <v>460</v>
      </c>
      <c r="D458" s="12" t="s">
        <v>77</v>
      </c>
      <c r="E458" s="13">
        <v>-116.8</v>
      </c>
      <c r="F458" s="13">
        <v>-107.5</v>
      </c>
      <c r="G458" s="13">
        <v>27.1</v>
      </c>
      <c r="H458" s="14">
        <v>140.16999999999999</v>
      </c>
      <c r="I458" s="12" t="s">
        <v>455</v>
      </c>
      <c r="J458" s="14">
        <v>147.5</v>
      </c>
      <c r="K458" s="15">
        <v>4</v>
      </c>
      <c r="L458" s="16">
        <v>4875</v>
      </c>
      <c r="M458" s="16">
        <v>1266</v>
      </c>
      <c r="N458" s="17">
        <v>1.45</v>
      </c>
      <c r="O458" s="17">
        <v>2.2400000000000002</v>
      </c>
      <c r="P458" s="17">
        <v>1.24</v>
      </c>
      <c r="Q458" s="17">
        <v>1.3</v>
      </c>
      <c r="R458" s="17">
        <v>1.5</v>
      </c>
      <c r="S458" s="17">
        <v>1.25</v>
      </c>
      <c r="T458" s="16">
        <f t="shared" si="35"/>
        <v>7312.5</v>
      </c>
      <c r="U458" s="18">
        <v>-1415.02</v>
      </c>
      <c r="V458" s="19">
        <f t="shared" si="36"/>
        <v>-0.19350700854700856</v>
      </c>
      <c r="W458" s="19">
        <f t="shared" si="37"/>
        <v>-0.16666666666666663</v>
      </c>
      <c r="X458" s="19">
        <f t="shared" si="38"/>
        <v>0.4933333333333334</v>
      </c>
      <c r="Y458" s="12" t="s">
        <v>468</v>
      </c>
      <c r="Z458" s="12" t="s">
        <v>70</v>
      </c>
      <c r="AA458" s="18">
        <v>-2715.58</v>
      </c>
      <c r="AB458" s="17">
        <v>0.82799999999999996</v>
      </c>
      <c r="AC458" s="12" t="s">
        <v>102</v>
      </c>
      <c r="AD458" s="12" t="str">
        <f t="shared" si="39"/>
        <v>Rs 1-2</v>
      </c>
      <c r="AE458" s="20">
        <v>1</v>
      </c>
    </row>
    <row r="459" spans="1:31" x14ac:dyDescent="0.3">
      <c r="A459" s="12" t="s">
        <v>212</v>
      </c>
      <c r="B459" s="12" t="s">
        <v>458</v>
      </c>
      <c r="C459" s="12" t="s">
        <v>460</v>
      </c>
      <c r="D459" s="12" t="s">
        <v>77</v>
      </c>
      <c r="E459" s="13">
        <v>-15.6</v>
      </c>
      <c r="F459" s="13">
        <v>-17.600000000000001</v>
      </c>
      <c r="G459" s="13">
        <v>27.6</v>
      </c>
      <c r="H459" s="14">
        <v>281</v>
      </c>
      <c r="I459" s="12" t="s">
        <v>455</v>
      </c>
      <c r="J459" s="14">
        <v>287.5</v>
      </c>
      <c r="K459" s="15">
        <v>3</v>
      </c>
      <c r="L459" s="16">
        <v>1725</v>
      </c>
      <c r="M459" s="16">
        <v>7688</v>
      </c>
      <c r="N459" s="17">
        <v>4.45</v>
      </c>
      <c r="O459" s="17">
        <v>8.5</v>
      </c>
      <c r="P459" s="17">
        <v>4.25</v>
      </c>
      <c r="Q459" s="17">
        <v>4.7</v>
      </c>
      <c r="R459" s="17">
        <v>4.5</v>
      </c>
      <c r="S459" s="17">
        <v>4.6500000000000004</v>
      </c>
      <c r="T459" s="16">
        <f t="shared" si="35"/>
        <v>7762.5</v>
      </c>
      <c r="U459" s="18">
        <v>34.81</v>
      </c>
      <c r="V459" s="19">
        <f t="shared" si="36"/>
        <v>4.4843800322061193E-3</v>
      </c>
      <c r="W459" s="19">
        <f t="shared" si="37"/>
        <v>3.3333333333333437E-2</v>
      </c>
      <c r="X459" s="19">
        <f t="shared" si="38"/>
        <v>0.88888888888888884</v>
      </c>
      <c r="Y459" s="12" t="s">
        <v>469</v>
      </c>
      <c r="Z459" s="12" t="s">
        <v>70</v>
      </c>
      <c r="AA459" s="18">
        <v>-2266.19</v>
      </c>
      <c r="AB459" s="17">
        <v>0.89600000000000002</v>
      </c>
      <c r="AC459" s="12" t="s">
        <v>71</v>
      </c>
      <c r="AD459" s="12" t="str">
        <f t="shared" si="39"/>
        <v>Rs 2+</v>
      </c>
      <c r="AE459" s="20">
        <v>1</v>
      </c>
    </row>
    <row r="460" spans="1:31" x14ac:dyDescent="0.3">
      <c r="A460" s="12" t="s">
        <v>168</v>
      </c>
      <c r="B460" s="12" t="s">
        <v>458</v>
      </c>
      <c r="C460" s="12" t="s">
        <v>460</v>
      </c>
      <c r="D460" s="12" t="s">
        <v>68</v>
      </c>
      <c r="E460" s="13">
        <v>90.9</v>
      </c>
      <c r="F460" s="13">
        <v>16.3</v>
      </c>
      <c r="G460" s="13">
        <v>39.299999999999997</v>
      </c>
      <c r="H460" s="14">
        <v>350.05</v>
      </c>
      <c r="I460" s="12" t="s">
        <v>455</v>
      </c>
      <c r="J460" s="14">
        <v>330</v>
      </c>
      <c r="K460" s="15">
        <v>2</v>
      </c>
      <c r="L460" s="16">
        <v>1875</v>
      </c>
      <c r="M460" s="16">
        <v>2531</v>
      </c>
      <c r="N460" s="17">
        <v>3.55</v>
      </c>
      <c r="O460" s="17">
        <v>4.5999999999999996</v>
      </c>
      <c r="P460" s="17">
        <v>2.0499999999999998</v>
      </c>
      <c r="Q460" s="17">
        <v>2.2000000000000002</v>
      </c>
      <c r="R460" s="17">
        <v>3.6</v>
      </c>
      <c r="S460" s="17">
        <v>2.15</v>
      </c>
      <c r="T460" s="16">
        <f t="shared" si="35"/>
        <v>6750</v>
      </c>
      <c r="U460" s="18">
        <v>-2992.36</v>
      </c>
      <c r="V460" s="19">
        <f t="shared" si="36"/>
        <v>-0.44331259259259259</v>
      </c>
      <c r="W460" s="19">
        <f t="shared" si="37"/>
        <v>-0.40277777777777779</v>
      </c>
      <c r="X460" s="19">
        <f t="shared" si="38"/>
        <v>0.27777777777777768</v>
      </c>
      <c r="Y460" s="12" t="s">
        <v>458</v>
      </c>
      <c r="Z460" s="12" t="s">
        <v>70</v>
      </c>
      <c r="AA460" s="18">
        <v>-2992.36</v>
      </c>
      <c r="AB460" s="17">
        <v>-3.0870000000000002</v>
      </c>
      <c r="AC460" s="12" t="s">
        <v>71</v>
      </c>
      <c r="AD460" s="12" t="str">
        <f t="shared" si="39"/>
        <v>Rs 2+</v>
      </c>
      <c r="AE460" s="20">
        <v>1</v>
      </c>
    </row>
    <row r="461" spans="1:31" x14ac:dyDescent="0.3">
      <c r="A461" s="12" t="s">
        <v>213</v>
      </c>
      <c r="B461" s="12" t="s">
        <v>458</v>
      </c>
      <c r="C461" s="12" t="s">
        <v>460</v>
      </c>
      <c r="D461" s="12" t="s">
        <v>68</v>
      </c>
      <c r="E461" s="13">
        <v>26.5</v>
      </c>
      <c r="F461" s="13">
        <v>7.1</v>
      </c>
      <c r="G461" s="13">
        <v>10.5</v>
      </c>
      <c r="H461" s="14">
        <v>1990.5</v>
      </c>
      <c r="I461" s="12" t="s">
        <v>455</v>
      </c>
      <c r="J461" s="14">
        <v>1940</v>
      </c>
      <c r="K461" s="15">
        <v>3</v>
      </c>
      <c r="L461" s="16">
        <v>350</v>
      </c>
      <c r="M461" s="16">
        <v>7384</v>
      </c>
      <c r="N461" s="17">
        <v>19.25</v>
      </c>
      <c r="O461" s="17">
        <v>35.1</v>
      </c>
      <c r="P461" s="17">
        <v>18.45</v>
      </c>
      <c r="Q461" s="17">
        <v>28.95</v>
      </c>
      <c r="R461" s="17">
        <v>19.3</v>
      </c>
      <c r="S461" s="17">
        <v>28.9</v>
      </c>
      <c r="T461" s="16">
        <f t="shared" si="35"/>
        <v>6755</v>
      </c>
      <c r="U461" s="18">
        <v>3121.64</v>
      </c>
      <c r="V461" s="19">
        <f t="shared" si="36"/>
        <v>0.46212287194670615</v>
      </c>
      <c r="W461" s="19">
        <f t="shared" si="37"/>
        <v>0.49740932642487024</v>
      </c>
      <c r="X461" s="19">
        <f t="shared" si="38"/>
        <v>0.81865284974093266</v>
      </c>
      <c r="Y461" s="12" t="s">
        <v>470</v>
      </c>
      <c r="Z461" s="12" t="s">
        <v>84</v>
      </c>
      <c r="AA461" s="18">
        <v>7600.12</v>
      </c>
      <c r="AB461" s="17">
        <v>0.99299999999999999</v>
      </c>
      <c r="AC461" s="12" t="s">
        <v>71</v>
      </c>
      <c r="AD461" s="12" t="str">
        <f t="shared" si="39"/>
        <v>Rs 2+</v>
      </c>
      <c r="AE461" s="20">
        <v>1</v>
      </c>
    </row>
    <row r="462" spans="1:31" x14ac:dyDescent="0.3">
      <c r="A462" s="12" t="s">
        <v>124</v>
      </c>
      <c r="B462" s="12" t="s">
        <v>468</v>
      </c>
      <c r="C462" s="12" t="s">
        <v>458</v>
      </c>
      <c r="D462" s="12" t="s">
        <v>68</v>
      </c>
      <c r="E462" s="13">
        <v>17.600000000000001</v>
      </c>
      <c r="F462" s="13">
        <v>1.3</v>
      </c>
      <c r="G462" s="13">
        <v>11.5</v>
      </c>
      <c r="H462" s="14">
        <v>791.07</v>
      </c>
      <c r="I462" s="12" t="s">
        <v>455</v>
      </c>
      <c r="J462" s="14">
        <v>760</v>
      </c>
      <c r="K462" s="15">
        <v>3</v>
      </c>
      <c r="L462" s="16">
        <v>825</v>
      </c>
      <c r="M462" s="16">
        <v>558</v>
      </c>
      <c r="N462" s="17">
        <v>8.1</v>
      </c>
      <c r="O462" s="17">
        <v>9.8000000000000007</v>
      </c>
      <c r="P462" s="17">
        <v>3.35</v>
      </c>
      <c r="Q462" s="17">
        <v>5.45</v>
      </c>
      <c r="R462" s="17">
        <v>8.15</v>
      </c>
      <c r="S462" s="17">
        <v>5.4</v>
      </c>
      <c r="T462" s="16">
        <f t="shared" si="35"/>
        <v>6723.75</v>
      </c>
      <c r="U462" s="18">
        <v>-2662.89</v>
      </c>
      <c r="V462" s="19">
        <f t="shared" si="36"/>
        <v>-0.39604238706079192</v>
      </c>
      <c r="W462" s="19">
        <f t="shared" si="37"/>
        <v>-0.33742331288343552</v>
      </c>
      <c r="X462" s="19">
        <f t="shared" si="38"/>
        <v>0.20245398773006129</v>
      </c>
      <c r="Y462" s="12" t="s">
        <v>468</v>
      </c>
      <c r="Z462" s="12" t="s">
        <v>70</v>
      </c>
      <c r="AA462" s="18">
        <v>-2662.89</v>
      </c>
      <c r="AB462" s="17">
        <v>-2.262</v>
      </c>
      <c r="AC462" s="12" t="s">
        <v>71</v>
      </c>
      <c r="AD462" s="12" t="str">
        <f t="shared" si="39"/>
        <v>Rs 2+</v>
      </c>
      <c r="AE462" s="20">
        <v>1</v>
      </c>
    </row>
    <row r="463" spans="1:31" x14ac:dyDescent="0.3">
      <c r="A463" s="12" t="s">
        <v>155</v>
      </c>
      <c r="B463" s="12" t="s">
        <v>471</v>
      </c>
      <c r="C463" s="12" t="s">
        <v>468</v>
      </c>
      <c r="D463" s="12" t="s">
        <v>68</v>
      </c>
      <c r="E463" s="13">
        <v>34.9</v>
      </c>
      <c r="F463" s="13">
        <v>8.3000000000000007</v>
      </c>
      <c r="G463" s="13">
        <v>18.399999999999999</v>
      </c>
      <c r="H463" s="14">
        <v>1970.09</v>
      </c>
      <c r="I463" s="12" t="s">
        <v>455</v>
      </c>
      <c r="J463" s="14">
        <v>1960</v>
      </c>
      <c r="K463" s="15">
        <v>1</v>
      </c>
      <c r="L463" s="16">
        <v>475</v>
      </c>
      <c r="M463" s="16">
        <v>11485</v>
      </c>
      <c r="N463" s="17">
        <v>12.25</v>
      </c>
      <c r="O463" s="17">
        <v>37.6</v>
      </c>
      <c r="P463" s="17">
        <v>5.25</v>
      </c>
      <c r="Q463" s="17">
        <v>35.450000000000003</v>
      </c>
      <c r="R463" s="17">
        <v>12.3</v>
      </c>
      <c r="S463" s="17">
        <v>35.4</v>
      </c>
      <c r="T463" s="16">
        <f t="shared" si="35"/>
        <v>5842.5</v>
      </c>
      <c r="U463" s="18">
        <v>10663.79</v>
      </c>
      <c r="V463" s="19">
        <f t="shared" si="36"/>
        <v>1.8252100984167738</v>
      </c>
      <c r="W463" s="19">
        <f t="shared" si="37"/>
        <v>1.8780487804878048</v>
      </c>
      <c r="X463" s="19">
        <f t="shared" si="38"/>
        <v>2.0569105691056908</v>
      </c>
      <c r="Y463" s="12" t="s">
        <v>466</v>
      </c>
      <c r="Z463" s="12" t="s">
        <v>84</v>
      </c>
      <c r="AA463" s="18">
        <v>9818.99</v>
      </c>
      <c r="AB463" s="17">
        <v>2.0790000000000002</v>
      </c>
      <c r="AC463" s="12" t="s">
        <v>71</v>
      </c>
      <c r="AD463" s="12" t="str">
        <f t="shared" si="39"/>
        <v>Rs 2+</v>
      </c>
      <c r="AE463" s="20">
        <v>1</v>
      </c>
    </row>
    <row r="464" spans="1:31" x14ac:dyDescent="0.3">
      <c r="A464" s="12" t="s">
        <v>267</v>
      </c>
      <c r="B464" s="12" t="s">
        <v>471</v>
      </c>
      <c r="C464" s="12" t="s">
        <v>468</v>
      </c>
      <c r="D464" s="12" t="s">
        <v>68</v>
      </c>
      <c r="E464" s="13">
        <v>62.2</v>
      </c>
      <c r="F464" s="13">
        <v>9.6999999999999993</v>
      </c>
      <c r="G464" s="13">
        <v>63.4</v>
      </c>
      <c r="H464" s="14">
        <v>3618</v>
      </c>
      <c r="I464" s="12" t="s">
        <v>455</v>
      </c>
      <c r="J464" s="14">
        <v>3300</v>
      </c>
      <c r="K464" s="15">
        <v>3</v>
      </c>
      <c r="L464" s="16">
        <v>200</v>
      </c>
      <c r="M464" s="16">
        <v>12553</v>
      </c>
      <c r="N464" s="17">
        <v>32</v>
      </c>
      <c r="O464" s="17">
        <v>52.55</v>
      </c>
      <c r="P464" s="17">
        <v>25.1</v>
      </c>
      <c r="Q464" s="17">
        <v>42.6</v>
      </c>
      <c r="R464" s="17">
        <v>32.049999999999997</v>
      </c>
      <c r="S464" s="17">
        <v>42.55</v>
      </c>
      <c r="T464" s="16">
        <f t="shared" si="35"/>
        <v>6409.9999999999991</v>
      </c>
      <c r="U464" s="18">
        <v>1735.16</v>
      </c>
      <c r="V464" s="19">
        <f t="shared" si="36"/>
        <v>0.27069578783151332</v>
      </c>
      <c r="W464" s="19">
        <f t="shared" si="37"/>
        <v>0.32761310452418102</v>
      </c>
      <c r="X464" s="19">
        <f t="shared" si="38"/>
        <v>0.63962558502340094</v>
      </c>
      <c r="Y464" s="12" t="s">
        <v>472</v>
      </c>
      <c r="Z464" s="12" t="s">
        <v>70</v>
      </c>
      <c r="AA464" s="18">
        <v>-2822.69</v>
      </c>
      <c r="AB464" s="17">
        <v>3.5339999999999998</v>
      </c>
      <c r="AC464" s="12" t="s">
        <v>71</v>
      </c>
      <c r="AD464" s="12" t="str">
        <f t="shared" si="39"/>
        <v>Rs 2+</v>
      </c>
      <c r="AE464" s="20">
        <v>1</v>
      </c>
    </row>
    <row r="465" spans="1:31" x14ac:dyDescent="0.3">
      <c r="A465" s="12" t="s">
        <v>409</v>
      </c>
      <c r="B465" s="12" t="s">
        <v>471</v>
      </c>
      <c r="C465" s="12" t="s">
        <v>468</v>
      </c>
      <c r="D465" s="12" t="s">
        <v>77</v>
      </c>
      <c r="E465" s="13">
        <v>-41.6</v>
      </c>
      <c r="F465" s="13">
        <v>-45.9</v>
      </c>
      <c r="G465" s="13">
        <v>16.5</v>
      </c>
      <c r="H465" s="14">
        <v>2033.6</v>
      </c>
      <c r="I465" s="12" t="s">
        <v>455</v>
      </c>
      <c r="J465" s="14">
        <v>2180</v>
      </c>
      <c r="K465" s="15">
        <v>7</v>
      </c>
      <c r="L465" s="16">
        <v>325</v>
      </c>
      <c r="M465" s="16">
        <v>1583</v>
      </c>
      <c r="N465" s="17">
        <v>22.5</v>
      </c>
      <c r="O465" s="17">
        <v>52.75</v>
      </c>
      <c r="P465" s="17">
        <v>22.2</v>
      </c>
      <c r="Q465" s="17">
        <v>37.700000000000003</v>
      </c>
      <c r="R465" s="17">
        <v>22.55</v>
      </c>
      <c r="S465" s="17">
        <v>37.65</v>
      </c>
      <c r="T465" s="16">
        <f t="shared" si="35"/>
        <v>7328.75</v>
      </c>
      <c r="U465" s="18">
        <v>4442.21</v>
      </c>
      <c r="V465" s="19">
        <f t="shared" si="36"/>
        <v>0.60613474330547501</v>
      </c>
      <c r="W465" s="19">
        <f t="shared" si="37"/>
        <v>0.66962305986696213</v>
      </c>
      <c r="X465" s="19">
        <f t="shared" si="38"/>
        <v>1.3392461197339247</v>
      </c>
      <c r="Y465" s="12" t="s">
        <v>469</v>
      </c>
      <c r="Z465" s="12" t="s">
        <v>84</v>
      </c>
      <c r="AA465" s="18">
        <v>-596.13</v>
      </c>
      <c r="AB465" s="17">
        <v>2.1059999999999999</v>
      </c>
      <c r="AC465" s="12" t="s">
        <v>71</v>
      </c>
      <c r="AD465" s="12" t="str">
        <f t="shared" si="39"/>
        <v>Rs 2+</v>
      </c>
      <c r="AE465" s="20">
        <v>1</v>
      </c>
    </row>
    <row r="466" spans="1:31" x14ac:dyDescent="0.3">
      <c r="A466" s="12" t="s">
        <v>170</v>
      </c>
      <c r="B466" s="12" t="s">
        <v>471</v>
      </c>
      <c r="C466" s="12" t="s">
        <v>468</v>
      </c>
      <c r="D466" s="12" t="s">
        <v>68</v>
      </c>
      <c r="E466" s="13">
        <v>226</v>
      </c>
      <c r="F466" s="13">
        <v>1.3</v>
      </c>
      <c r="G466" s="13">
        <v>29.1</v>
      </c>
      <c r="H466" s="14">
        <v>342.58</v>
      </c>
      <c r="I466" s="12" t="s">
        <v>455</v>
      </c>
      <c r="J466" s="14">
        <v>315</v>
      </c>
      <c r="K466" s="15">
        <v>6</v>
      </c>
      <c r="L466" s="16">
        <v>3125</v>
      </c>
      <c r="M466" s="16">
        <v>869</v>
      </c>
      <c r="N466" s="17">
        <v>2</v>
      </c>
      <c r="O466" s="17">
        <v>4.5</v>
      </c>
      <c r="P466" s="17">
        <v>1.7</v>
      </c>
      <c r="Q466" s="17">
        <v>2.6</v>
      </c>
      <c r="R466" s="17">
        <v>2.0499999999999998</v>
      </c>
      <c r="S466" s="17">
        <v>2.5499999999999998</v>
      </c>
      <c r="T466" s="16">
        <f t="shared" si="35"/>
        <v>6406.2499999999991</v>
      </c>
      <c r="U466" s="18">
        <v>1209.6099999999999</v>
      </c>
      <c r="V466" s="19">
        <f t="shared" si="36"/>
        <v>0.18881717073170734</v>
      </c>
      <c r="W466" s="19">
        <f t="shared" si="37"/>
        <v>0.24390243902439024</v>
      </c>
      <c r="X466" s="19">
        <f t="shared" si="38"/>
        <v>1.1951219512195124</v>
      </c>
      <c r="Y466" s="12" t="s">
        <v>466</v>
      </c>
      <c r="Z466" s="12" t="s">
        <v>84</v>
      </c>
      <c r="AA466" s="18">
        <v>1668.08</v>
      </c>
      <c r="AB466" s="17">
        <v>3.6349999999999998</v>
      </c>
      <c r="AC466" s="12" t="s">
        <v>71</v>
      </c>
      <c r="AD466" s="12" t="str">
        <f t="shared" si="39"/>
        <v>Rs 2+</v>
      </c>
      <c r="AE466" s="20">
        <v>1</v>
      </c>
    </row>
    <row r="467" spans="1:31" x14ac:dyDescent="0.3">
      <c r="A467" s="12" t="s">
        <v>211</v>
      </c>
      <c r="B467" s="12" t="s">
        <v>471</v>
      </c>
      <c r="C467" s="12" t="s">
        <v>468</v>
      </c>
      <c r="D467" s="12" t="s">
        <v>77</v>
      </c>
      <c r="E467" s="13">
        <v>-43.3</v>
      </c>
      <c r="F467" s="13">
        <v>-52.1</v>
      </c>
      <c r="G467" s="13">
        <v>25.7</v>
      </c>
      <c r="H467" s="14">
        <v>242</v>
      </c>
      <c r="I467" s="12" t="s">
        <v>455</v>
      </c>
      <c r="J467" s="14">
        <v>250</v>
      </c>
      <c r="K467" s="15">
        <v>3</v>
      </c>
      <c r="L467" s="16">
        <v>2250</v>
      </c>
      <c r="M467" s="16">
        <v>7244</v>
      </c>
      <c r="N467" s="17">
        <v>3.01</v>
      </c>
      <c r="O467" s="17">
        <v>3.01</v>
      </c>
      <c r="P467" s="17">
        <v>1.71</v>
      </c>
      <c r="Q467" s="17">
        <v>1.77</v>
      </c>
      <c r="R467" s="17">
        <v>3.06</v>
      </c>
      <c r="S467" s="17">
        <v>1.72</v>
      </c>
      <c r="T467" s="16">
        <f t="shared" si="35"/>
        <v>6885</v>
      </c>
      <c r="U467" s="18">
        <v>-3180.29</v>
      </c>
      <c r="V467" s="19">
        <f t="shared" si="36"/>
        <v>-0.46191575889615105</v>
      </c>
      <c r="W467" s="19">
        <f t="shared" si="37"/>
        <v>-0.43790849673202614</v>
      </c>
      <c r="X467" s="19">
        <f t="shared" si="38"/>
        <v>-1.6339869281045805E-2</v>
      </c>
      <c r="Y467" s="12" t="s">
        <v>471</v>
      </c>
      <c r="Z467" s="12" t="s">
        <v>70</v>
      </c>
      <c r="AA467" s="18">
        <v>-3180.29</v>
      </c>
      <c r="AB467" s="17">
        <v>-1.9590000000000001</v>
      </c>
      <c r="AC467" s="12" t="s">
        <v>71</v>
      </c>
      <c r="AD467" s="12" t="str">
        <f t="shared" si="39"/>
        <v>Rs 2+</v>
      </c>
      <c r="AE467" s="20">
        <v>1</v>
      </c>
    </row>
    <row r="468" spans="1:31" x14ac:dyDescent="0.3">
      <c r="A468" s="12" t="s">
        <v>264</v>
      </c>
      <c r="B468" s="12" t="s">
        <v>471</v>
      </c>
      <c r="C468" s="12" t="s">
        <v>468</v>
      </c>
      <c r="D468" s="12" t="s">
        <v>68</v>
      </c>
      <c r="E468" s="13">
        <v>30.3</v>
      </c>
      <c r="F468" s="13">
        <v>51.2</v>
      </c>
      <c r="G468" s="13">
        <v>21.3</v>
      </c>
      <c r="H468" s="14">
        <v>1620</v>
      </c>
      <c r="I468" s="12" t="s">
        <v>455</v>
      </c>
      <c r="J468" s="14">
        <v>1560</v>
      </c>
      <c r="K468" s="15">
        <v>3</v>
      </c>
      <c r="L468" s="16">
        <v>500</v>
      </c>
      <c r="M468" s="16">
        <v>1181</v>
      </c>
      <c r="N468" s="17">
        <v>11.7</v>
      </c>
      <c r="O468" s="17">
        <v>16.600000000000001</v>
      </c>
      <c r="P468" s="17">
        <v>7</v>
      </c>
      <c r="Q468" s="17">
        <v>9</v>
      </c>
      <c r="R468" s="17">
        <v>11.75</v>
      </c>
      <c r="S468" s="17">
        <v>8.9499999999999993</v>
      </c>
      <c r="T468" s="16">
        <f t="shared" si="35"/>
        <v>5875</v>
      </c>
      <c r="U468" s="18">
        <v>-1561.95</v>
      </c>
      <c r="V468" s="19">
        <f t="shared" si="36"/>
        <v>-0.26586382978723405</v>
      </c>
      <c r="W468" s="19">
        <f t="shared" si="37"/>
        <v>-0.23829787234042554</v>
      </c>
      <c r="X468" s="19">
        <f t="shared" si="38"/>
        <v>0.41276595744680855</v>
      </c>
      <c r="Y468" s="12" t="s">
        <v>471</v>
      </c>
      <c r="Z468" s="12" t="s">
        <v>70</v>
      </c>
      <c r="AA468" s="18">
        <v>-1561.95</v>
      </c>
      <c r="AB468" s="17">
        <v>-1.6479999999999999</v>
      </c>
      <c r="AC468" s="12" t="s">
        <v>71</v>
      </c>
      <c r="AD468" s="12" t="str">
        <f t="shared" si="39"/>
        <v>Rs 2+</v>
      </c>
      <c r="AE468" s="20">
        <v>1</v>
      </c>
    </row>
    <row r="469" spans="1:31" x14ac:dyDescent="0.3">
      <c r="A469" s="12" t="s">
        <v>256</v>
      </c>
      <c r="B469" s="12" t="s">
        <v>459</v>
      </c>
      <c r="C469" s="12" t="s">
        <v>471</v>
      </c>
      <c r="D469" s="12" t="s">
        <v>68</v>
      </c>
      <c r="E469" s="13">
        <v>25.2</v>
      </c>
      <c r="F469" s="13">
        <v>12.1</v>
      </c>
      <c r="G469" s="13">
        <v>16.3</v>
      </c>
      <c r="H469" s="14">
        <v>1613.4</v>
      </c>
      <c r="I469" s="12" t="s">
        <v>455</v>
      </c>
      <c r="J469" s="14">
        <v>1540</v>
      </c>
      <c r="K469" s="15">
        <v>4</v>
      </c>
      <c r="L469" s="16">
        <v>550</v>
      </c>
      <c r="M469" s="16">
        <v>945</v>
      </c>
      <c r="N469" s="17">
        <v>14.45</v>
      </c>
      <c r="O469" s="17">
        <v>21</v>
      </c>
      <c r="P469" s="17">
        <v>13.55</v>
      </c>
      <c r="Q469" s="17">
        <v>17.100000000000001</v>
      </c>
      <c r="R469" s="17">
        <v>14.5</v>
      </c>
      <c r="S469" s="17">
        <v>17.05</v>
      </c>
      <c r="T469" s="16">
        <f t="shared" si="35"/>
        <v>7975</v>
      </c>
      <c r="U469" s="18">
        <v>986.65</v>
      </c>
      <c r="V469" s="19">
        <f t="shared" si="36"/>
        <v>0.123717868338558</v>
      </c>
      <c r="W469" s="19">
        <f t="shared" si="37"/>
        <v>0.17586206896551726</v>
      </c>
      <c r="X469" s="19">
        <f t="shared" si="38"/>
        <v>0.44827586206896552</v>
      </c>
      <c r="Y469" s="12" t="s">
        <v>469</v>
      </c>
      <c r="Z469" s="12" t="s">
        <v>70</v>
      </c>
      <c r="AA469" s="18">
        <v>-5119</v>
      </c>
      <c r="AB469" s="17">
        <v>2.222</v>
      </c>
      <c r="AC469" s="12" t="s">
        <v>71</v>
      </c>
      <c r="AD469" s="12" t="str">
        <f t="shared" si="39"/>
        <v>Rs 2+</v>
      </c>
      <c r="AE469" s="20">
        <v>1</v>
      </c>
    </row>
    <row r="470" spans="1:31" x14ac:dyDescent="0.3">
      <c r="A470" s="12" t="s">
        <v>473</v>
      </c>
      <c r="B470" s="12" t="s">
        <v>459</v>
      </c>
      <c r="C470" s="12" t="s">
        <v>471</v>
      </c>
      <c r="D470" s="12" t="s">
        <v>68</v>
      </c>
      <c r="E470" s="13">
        <v>24.7</v>
      </c>
      <c r="F470" s="13">
        <v>3.2</v>
      </c>
      <c r="G470" s="13">
        <v>38</v>
      </c>
      <c r="H470" s="14">
        <v>4409.28</v>
      </c>
      <c r="I470" s="12" t="s">
        <v>455</v>
      </c>
      <c r="J470" s="14">
        <v>3700</v>
      </c>
      <c r="K470" s="15">
        <v>7</v>
      </c>
      <c r="L470" s="16">
        <v>125</v>
      </c>
      <c r="M470" s="16">
        <v>3499</v>
      </c>
      <c r="N470" s="17">
        <v>41.1</v>
      </c>
      <c r="O470" s="17">
        <v>47.4</v>
      </c>
      <c r="P470" s="17">
        <v>5.2</v>
      </c>
      <c r="Q470" s="17">
        <v>6.35</v>
      </c>
      <c r="R470" s="17">
        <v>41.15</v>
      </c>
      <c r="S470" s="17">
        <v>6.3</v>
      </c>
      <c r="T470" s="16">
        <f t="shared" si="35"/>
        <v>5143.75</v>
      </c>
      <c r="U470" s="18">
        <v>-4525.8999999999996</v>
      </c>
      <c r="V470" s="19">
        <f t="shared" si="36"/>
        <v>-0.87988335358444703</v>
      </c>
      <c r="W470" s="19">
        <f t="shared" si="37"/>
        <v>-0.84690157958687728</v>
      </c>
      <c r="X470" s="19">
        <f t="shared" si="38"/>
        <v>0.15188335358444705</v>
      </c>
      <c r="Y470" s="12" t="s">
        <v>459</v>
      </c>
      <c r="Z470" s="12" t="s">
        <v>70</v>
      </c>
      <c r="AA470" s="18">
        <v>-4525.8999999999996</v>
      </c>
      <c r="AB470" s="17">
        <v>-5.2220000000000004</v>
      </c>
      <c r="AC470" s="12" t="s">
        <v>71</v>
      </c>
      <c r="AD470" s="12" t="str">
        <f t="shared" si="39"/>
        <v>Rs 2+</v>
      </c>
      <c r="AE470" s="20">
        <v>1</v>
      </c>
    </row>
    <row r="471" spans="1:31" x14ac:dyDescent="0.3">
      <c r="A471" s="12" t="s">
        <v>262</v>
      </c>
      <c r="B471" s="12" t="s">
        <v>469</v>
      </c>
      <c r="C471" s="12" t="s">
        <v>459</v>
      </c>
      <c r="D471" s="12" t="s">
        <v>77</v>
      </c>
      <c r="E471" s="13">
        <v>-15.2</v>
      </c>
      <c r="F471" s="13">
        <v>-54.9</v>
      </c>
      <c r="G471" s="13">
        <v>13.3</v>
      </c>
      <c r="H471" s="14">
        <v>1571.05</v>
      </c>
      <c r="I471" s="12" t="s">
        <v>455</v>
      </c>
      <c r="J471" s="14">
        <v>1660</v>
      </c>
      <c r="K471" s="15">
        <v>4</v>
      </c>
      <c r="L471" s="16">
        <v>325</v>
      </c>
      <c r="M471" s="16">
        <v>2247</v>
      </c>
      <c r="N471" s="17">
        <v>18.149999999999999</v>
      </c>
      <c r="O471" s="17">
        <v>24.7</v>
      </c>
      <c r="P471" s="17">
        <v>7.25</v>
      </c>
      <c r="Q471" s="17">
        <v>7.8</v>
      </c>
      <c r="R471" s="17">
        <v>18.2</v>
      </c>
      <c r="S471" s="17">
        <v>7.75</v>
      </c>
      <c r="T471" s="16">
        <f t="shared" si="35"/>
        <v>5915</v>
      </c>
      <c r="U471" s="18">
        <v>-3619.62</v>
      </c>
      <c r="V471" s="19">
        <f t="shared" si="36"/>
        <v>-0.61193913778529163</v>
      </c>
      <c r="W471" s="19">
        <f t="shared" si="37"/>
        <v>-0.57417582417582413</v>
      </c>
      <c r="X471" s="19">
        <f t="shared" si="38"/>
        <v>0.35714285714285721</v>
      </c>
      <c r="Y471" s="12" t="s">
        <v>469</v>
      </c>
      <c r="Z471" s="12" t="s">
        <v>70</v>
      </c>
      <c r="AA471" s="18">
        <v>-3619.62</v>
      </c>
      <c r="AB471" s="17">
        <v>-3.1850000000000001</v>
      </c>
      <c r="AC471" s="12" t="s">
        <v>71</v>
      </c>
      <c r="AD471" s="12" t="str">
        <f t="shared" si="39"/>
        <v>Rs 2+</v>
      </c>
      <c r="AE471" s="20">
        <v>1</v>
      </c>
    </row>
    <row r="472" spans="1:31" x14ac:dyDescent="0.3">
      <c r="A472" s="12" t="s">
        <v>474</v>
      </c>
      <c r="B472" s="12" t="s">
        <v>469</v>
      </c>
      <c r="C472" s="12" t="s">
        <v>459</v>
      </c>
      <c r="D472" s="12" t="s">
        <v>77</v>
      </c>
      <c r="E472" s="13">
        <v>-16.899999999999999</v>
      </c>
      <c r="F472" s="13">
        <v>-3.8</v>
      </c>
      <c r="G472" s="13">
        <v>34.9</v>
      </c>
      <c r="H472" s="14">
        <v>5551.08</v>
      </c>
      <c r="I472" s="12" t="s">
        <v>455</v>
      </c>
      <c r="J472" s="14">
        <v>6000</v>
      </c>
      <c r="K472" s="15">
        <v>4</v>
      </c>
      <c r="L472" s="16">
        <v>150</v>
      </c>
      <c r="M472" s="16">
        <v>49044</v>
      </c>
      <c r="N472" s="17">
        <v>34.950000000000003</v>
      </c>
      <c r="O472" s="17">
        <v>79.900000000000006</v>
      </c>
      <c r="P472" s="17">
        <v>32</v>
      </c>
      <c r="Q472" s="17">
        <v>48.85</v>
      </c>
      <c r="R472" s="17">
        <v>35</v>
      </c>
      <c r="S472" s="17">
        <v>48.8</v>
      </c>
      <c r="T472" s="16">
        <f t="shared" si="35"/>
        <v>5250</v>
      </c>
      <c r="U472" s="18">
        <v>1880.66</v>
      </c>
      <c r="V472" s="19">
        <f t="shared" si="36"/>
        <v>0.35822095238095242</v>
      </c>
      <c r="W472" s="19">
        <f t="shared" si="37"/>
        <v>0.39428571428571413</v>
      </c>
      <c r="X472" s="19">
        <f t="shared" si="38"/>
        <v>1.2828571428571429</v>
      </c>
      <c r="Y472" s="12" t="s">
        <v>475</v>
      </c>
      <c r="Z472" s="12" t="s">
        <v>84</v>
      </c>
      <c r="AA472" s="18">
        <v>2643.95</v>
      </c>
      <c r="AB472" s="17">
        <v>3.3210000000000002</v>
      </c>
      <c r="AC472" s="12" t="s">
        <v>71</v>
      </c>
      <c r="AD472" s="12" t="str">
        <f t="shared" si="39"/>
        <v>Rs 2+</v>
      </c>
      <c r="AE472" s="20">
        <v>1</v>
      </c>
    </row>
    <row r="473" spans="1:31" x14ac:dyDescent="0.3">
      <c r="A473" s="12" t="s">
        <v>269</v>
      </c>
      <c r="B473" s="12" t="s">
        <v>469</v>
      </c>
      <c r="C473" s="12" t="s">
        <v>459</v>
      </c>
      <c r="D473" s="12" t="s">
        <v>68</v>
      </c>
      <c r="E473" s="13">
        <v>13.8</v>
      </c>
      <c r="F473" s="13">
        <v>17.5</v>
      </c>
      <c r="G473" s="13">
        <v>35.299999999999997</v>
      </c>
      <c r="H473" s="14">
        <v>609.72</v>
      </c>
      <c r="I473" s="12" t="s">
        <v>455</v>
      </c>
      <c r="J473" s="14">
        <v>570</v>
      </c>
      <c r="K473" s="15">
        <v>4</v>
      </c>
      <c r="L473" s="16">
        <v>950</v>
      </c>
      <c r="M473" s="16">
        <v>1546</v>
      </c>
      <c r="N473" s="17">
        <v>8.3000000000000007</v>
      </c>
      <c r="O473" s="17">
        <v>9.75</v>
      </c>
      <c r="P473" s="17">
        <v>2.95</v>
      </c>
      <c r="Q473" s="17">
        <v>3.15</v>
      </c>
      <c r="R473" s="17">
        <v>8.35</v>
      </c>
      <c r="S473" s="17">
        <v>3.1</v>
      </c>
      <c r="T473" s="16">
        <f t="shared" si="35"/>
        <v>7932.5</v>
      </c>
      <c r="U473" s="18">
        <v>-5370.26</v>
      </c>
      <c r="V473" s="19">
        <f t="shared" si="36"/>
        <v>-0.67699464229435868</v>
      </c>
      <c r="W473" s="19">
        <f t="shared" si="37"/>
        <v>-0.62874251497005984</v>
      </c>
      <c r="X473" s="19">
        <f t="shared" si="38"/>
        <v>0.16766467065868262</v>
      </c>
      <c r="Y473" s="12" t="s">
        <v>469</v>
      </c>
      <c r="Z473" s="12" t="s">
        <v>70</v>
      </c>
      <c r="AA473" s="18">
        <v>-5370.26</v>
      </c>
      <c r="AB473" s="17">
        <v>-2.6619999999999999</v>
      </c>
      <c r="AC473" s="12" t="s">
        <v>71</v>
      </c>
      <c r="AD473" s="12" t="str">
        <f t="shared" si="39"/>
        <v>Rs 2+</v>
      </c>
      <c r="AE473" s="20">
        <v>1</v>
      </c>
    </row>
    <row r="474" spans="1:31" x14ac:dyDescent="0.3">
      <c r="A474" s="12" t="s">
        <v>354</v>
      </c>
      <c r="B474" s="12" t="s">
        <v>469</v>
      </c>
      <c r="C474" s="12" t="s">
        <v>459</v>
      </c>
      <c r="D474" s="12" t="s">
        <v>68</v>
      </c>
      <c r="E474" s="13">
        <v>53.3</v>
      </c>
      <c r="F474" s="13">
        <v>3.3</v>
      </c>
      <c r="G474" s="13">
        <v>35.299999999999997</v>
      </c>
      <c r="H474" s="14">
        <v>1041.8599999999999</v>
      </c>
      <c r="I474" s="12" t="s">
        <v>455</v>
      </c>
      <c r="J474" s="14">
        <v>1000</v>
      </c>
      <c r="K474" s="15">
        <v>2</v>
      </c>
      <c r="L474" s="16">
        <v>650</v>
      </c>
      <c r="M474" s="16">
        <v>1903</v>
      </c>
      <c r="N474" s="17">
        <v>10.95</v>
      </c>
      <c r="O474" s="17">
        <v>22.1</v>
      </c>
      <c r="P474" s="17">
        <v>7.1</v>
      </c>
      <c r="Q474" s="17">
        <v>8.9499999999999993</v>
      </c>
      <c r="R474" s="17">
        <v>11</v>
      </c>
      <c r="S474" s="17">
        <v>8.9</v>
      </c>
      <c r="T474" s="16">
        <f t="shared" si="35"/>
        <v>7150</v>
      </c>
      <c r="U474" s="18">
        <v>-1685.24</v>
      </c>
      <c r="V474" s="19">
        <f t="shared" si="36"/>
        <v>-0.23569790209790209</v>
      </c>
      <c r="W474" s="19">
        <f t="shared" si="37"/>
        <v>-0.19090909090909092</v>
      </c>
      <c r="X474" s="19">
        <f t="shared" si="38"/>
        <v>1.0090909090909093</v>
      </c>
      <c r="Y474" s="12" t="s">
        <v>472</v>
      </c>
      <c r="Z474" s="12" t="s">
        <v>70</v>
      </c>
      <c r="AA474" s="18">
        <v>-2066.69</v>
      </c>
      <c r="AB474" s="17">
        <v>0.35199999999999998</v>
      </c>
      <c r="AC474" s="12" t="s">
        <v>71</v>
      </c>
      <c r="AD474" s="12" t="str">
        <f t="shared" si="39"/>
        <v>Rs 2+</v>
      </c>
      <c r="AE474" s="20">
        <v>1</v>
      </c>
    </row>
    <row r="475" spans="1:31" x14ac:dyDescent="0.3">
      <c r="A475" s="12" t="s">
        <v>161</v>
      </c>
      <c r="B475" s="12" t="s">
        <v>472</v>
      </c>
      <c r="C475" s="12" t="s">
        <v>476</v>
      </c>
      <c r="D475" s="12" t="s">
        <v>77</v>
      </c>
      <c r="E475" s="13">
        <v>-65</v>
      </c>
      <c r="F475" s="13">
        <v>-55.9</v>
      </c>
      <c r="G475" s="13">
        <v>27.8</v>
      </c>
      <c r="H475" s="14">
        <v>473.08</v>
      </c>
      <c r="I475" s="12" t="s">
        <v>455</v>
      </c>
      <c r="J475" s="14">
        <v>500</v>
      </c>
      <c r="K475" s="15">
        <v>5</v>
      </c>
      <c r="L475" s="16">
        <v>2075</v>
      </c>
      <c r="M475" s="16">
        <v>5183</v>
      </c>
      <c r="N475" s="17">
        <v>3.45</v>
      </c>
      <c r="O475" s="17">
        <v>7.05</v>
      </c>
      <c r="P475" s="17">
        <v>1.75</v>
      </c>
      <c r="Q475" s="17">
        <v>6.05</v>
      </c>
      <c r="R475" s="17">
        <v>3.5</v>
      </c>
      <c r="S475" s="17">
        <v>6</v>
      </c>
      <c r="T475" s="16">
        <f t="shared" si="35"/>
        <v>7262.5</v>
      </c>
      <c r="U475" s="18">
        <v>4521.7299999999996</v>
      </c>
      <c r="V475" s="19">
        <f t="shared" si="36"/>
        <v>0.62261342512908768</v>
      </c>
      <c r="W475" s="19">
        <f t="shared" si="37"/>
        <v>0.71428571428571419</v>
      </c>
      <c r="X475" s="19">
        <f t="shared" si="38"/>
        <v>1.0142857142857142</v>
      </c>
      <c r="Y475" s="12" t="s">
        <v>477</v>
      </c>
      <c r="Z475" s="12" t="s">
        <v>84</v>
      </c>
      <c r="AA475" s="18">
        <v>-399.74</v>
      </c>
      <c r="AB475" s="17">
        <v>4.8090000000000002</v>
      </c>
      <c r="AC475" s="12" t="s">
        <v>71</v>
      </c>
      <c r="AD475" s="12" t="str">
        <f t="shared" si="39"/>
        <v>Rs 2+</v>
      </c>
      <c r="AE475" s="20">
        <v>1</v>
      </c>
    </row>
    <row r="476" spans="1:31" x14ac:dyDescent="0.3">
      <c r="A476" s="12" t="s">
        <v>478</v>
      </c>
      <c r="B476" s="12" t="s">
        <v>472</v>
      </c>
      <c r="C476" s="12" t="s">
        <v>469</v>
      </c>
      <c r="D476" s="12" t="s">
        <v>68</v>
      </c>
      <c r="E476" s="13">
        <v>11.5</v>
      </c>
      <c r="F476" s="13">
        <v>11.7</v>
      </c>
      <c r="G476" s="13">
        <v>15.4</v>
      </c>
      <c r="H476" s="14">
        <v>1050</v>
      </c>
      <c r="I476" s="12" t="s">
        <v>455</v>
      </c>
      <c r="J476" s="14">
        <v>1020</v>
      </c>
      <c r="K476" s="15">
        <v>3</v>
      </c>
      <c r="L476" s="16">
        <v>500</v>
      </c>
      <c r="M476" s="16">
        <v>1491</v>
      </c>
      <c r="N476" s="17">
        <v>13.65</v>
      </c>
      <c r="O476" s="17">
        <v>22.15</v>
      </c>
      <c r="P476" s="17">
        <v>11.2</v>
      </c>
      <c r="Q476" s="17">
        <v>16.2</v>
      </c>
      <c r="R476" s="17">
        <v>13.7</v>
      </c>
      <c r="S476" s="17">
        <v>16.149999999999999</v>
      </c>
      <c r="T476" s="16">
        <f t="shared" si="35"/>
        <v>6850</v>
      </c>
      <c r="U476" s="18">
        <v>1009.95</v>
      </c>
      <c r="V476" s="19">
        <f t="shared" si="36"/>
        <v>0.14743795620437958</v>
      </c>
      <c r="W476" s="19">
        <f t="shared" si="37"/>
        <v>0.17883211678832112</v>
      </c>
      <c r="X476" s="19">
        <f t="shared" si="38"/>
        <v>0.61678832116788329</v>
      </c>
      <c r="Y476" s="12" t="s">
        <v>475</v>
      </c>
      <c r="Z476" s="12" t="s">
        <v>84</v>
      </c>
      <c r="AA476" s="18">
        <v>33591.870000000003</v>
      </c>
      <c r="AB476" s="17">
        <v>1.8340000000000001</v>
      </c>
      <c r="AC476" s="12" t="s">
        <v>71</v>
      </c>
      <c r="AD476" s="12" t="str">
        <f t="shared" si="39"/>
        <v>Rs 2+</v>
      </c>
      <c r="AE476" s="20">
        <v>1</v>
      </c>
    </row>
    <row r="477" spans="1:31" x14ac:dyDescent="0.3">
      <c r="A477" s="12" t="s">
        <v>204</v>
      </c>
      <c r="B477" s="12" t="s">
        <v>472</v>
      </c>
      <c r="C477" s="12" t="s">
        <v>469</v>
      </c>
      <c r="D477" s="12" t="s">
        <v>68</v>
      </c>
      <c r="E477" s="13">
        <v>75.099999999999994</v>
      </c>
      <c r="F477" s="13">
        <v>170</v>
      </c>
      <c r="G477" s="13">
        <v>32.1</v>
      </c>
      <c r="H477" s="14">
        <v>1059.58</v>
      </c>
      <c r="I477" s="12" t="s">
        <v>455</v>
      </c>
      <c r="J477" s="14">
        <v>1020</v>
      </c>
      <c r="K477" s="15">
        <v>2</v>
      </c>
      <c r="L477" s="16">
        <v>700</v>
      </c>
      <c r="M477" s="16">
        <v>5885</v>
      </c>
      <c r="N477" s="17">
        <v>9.5</v>
      </c>
      <c r="O477" s="17">
        <v>12.7</v>
      </c>
      <c r="P477" s="17">
        <v>7.45</v>
      </c>
      <c r="Q477" s="17">
        <v>9.1</v>
      </c>
      <c r="R477" s="17">
        <v>9.5500000000000007</v>
      </c>
      <c r="S477" s="17">
        <v>9.0500000000000007</v>
      </c>
      <c r="T477" s="16">
        <f t="shared" si="35"/>
        <v>6685.0000000000009</v>
      </c>
      <c r="U477" s="18">
        <v>-542.59</v>
      </c>
      <c r="V477" s="19">
        <f t="shared" si="36"/>
        <v>-8.1165295437546733E-2</v>
      </c>
      <c r="W477" s="19">
        <f t="shared" si="37"/>
        <v>-5.2356020942408321E-2</v>
      </c>
      <c r="X477" s="19">
        <f t="shared" si="38"/>
        <v>0.32984293193717251</v>
      </c>
      <c r="Y477" s="12" t="s">
        <v>466</v>
      </c>
      <c r="Z477" s="12" t="s">
        <v>70</v>
      </c>
      <c r="AA477" s="18">
        <v>-3655.03</v>
      </c>
      <c r="AB477" s="17">
        <v>1.028</v>
      </c>
      <c r="AC477" s="12" t="s">
        <v>71</v>
      </c>
      <c r="AD477" s="12" t="str">
        <f t="shared" si="39"/>
        <v>Rs 2+</v>
      </c>
      <c r="AE477" s="20">
        <v>1</v>
      </c>
    </row>
    <row r="478" spans="1:31" x14ac:dyDescent="0.3">
      <c r="A478" s="12" t="s">
        <v>223</v>
      </c>
      <c r="B478" s="12" t="s">
        <v>472</v>
      </c>
      <c r="C478" s="12" t="s">
        <v>469</v>
      </c>
      <c r="D478" s="12" t="s">
        <v>77</v>
      </c>
      <c r="E478" s="13">
        <v>-34.200000000000003</v>
      </c>
      <c r="F478" s="13">
        <v>-39.4</v>
      </c>
      <c r="G478" s="13">
        <v>-1.5</v>
      </c>
      <c r="H478" s="14">
        <v>77.989999999999995</v>
      </c>
      <c r="I478" s="12" t="s">
        <v>455</v>
      </c>
      <c r="J478" s="14">
        <v>82.5</v>
      </c>
      <c r="K478" s="15">
        <v>2</v>
      </c>
      <c r="L478" s="16">
        <v>6400</v>
      </c>
      <c r="M478" s="16">
        <v>1799</v>
      </c>
      <c r="N478" s="17">
        <v>1</v>
      </c>
      <c r="O478" s="17">
        <v>1.1599999999999999</v>
      </c>
      <c r="P478" s="17">
        <v>0.4</v>
      </c>
      <c r="Q478" s="17">
        <v>0.45</v>
      </c>
      <c r="R478" s="17">
        <v>1.05</v>
      </c>
      <c r="S478" s="17">
        <v>0.4</v>
      </c>
      <c r="T478" s="16">
        <f t="shared" si="35"/>
        <v>6720</v>
      </c>
      <c r="U478" s="18">
        <v>-4493.54</v>
      </c>
      <c r="V478" s="19">
        <f t="shared" si="36"/>
        <v>-0.66868154761904763</v>
      </c>
      <c r="W478" s="19">
        <f t="shared" si="37"/>
        <v>-0.61904761904761907</v>
      </c>
      <c r="X478" s="19">
        <f t="shared" si="38"/>
        <v>0.10476190476190461</v>
      </c>
      <c r="Y478" s="12" t="s">
        <v>472</v>
      </c>
      <c r="Z478" s="12" t="s">
        <v>70</v>
      </c>
      <c r="AA478" s="18">
        <v>-4493.54</v>
      </c>
      <c r="AB478" s="17">
        <v>-2.6360000000000001</v>
      </c>
      <c r="AC478" s="12" t="s">
        <v>102</v>
      </c>
      <c r="AD478" s="12" t="str">
        <f t="shared" si="39"/>
        <v>Rs 1-2</v>
      </c>
      <c r="AE478" s="20">
        <v>1</v>
      </c>
    </row>
    <row r="479" spans="1:31" x14ac:dyDescent="0.3">
      <c r="A479" s="12" t="s">
        <v>319</v>
      </c>
      <c r="B479" s="12" t="s">
        <v>472</v>
      </c>
      <c r="C479" s="12" t="s">
        <v>469</v>
      </c>
      <c r="D479" s="12" t="s">
        <v>77</v>
      </c>
      <c r="E479" s="13">
        <v>-24.4</v>
      </c>
      <c r="F479" s="13">
        <v>-38.1</v>
      </c>
      <c r="G479" s="13">
        <v>40.5</v>
      </c>
      <c r="H479" s="14">
        <v>3856.02</v>
      </c>
      <c r="I479" s="12" t="s">
        <v>455</v>
      </c>
      <c r="J479" s="14">
        <v>3950</v>
      </c>
      <c r="K479" s="15">
        <v>2</v>
      </c>
      <c r="L479" s="16">
        <v>150</v>
      </c>
      <c r="M479" s="16">
        <v>210</v>
      </c>
      <c r="N479" s="17">
        <v>39.299999999999997</v>
      </c>
      <c r="O479" s="17">
        <v>54.05</v>
      </c>
      <c r="P479" s="17">
        <v>19.05</v>
      </c>
      <c r="Q479" s="17">
        <v>28.8</v>
      </c>
      <c r="R479" s="17">
        <v>39.35</v>
      </c>
      <c r="S479" s="17">
        <v>28.75</v>
      </c>
      <c r="T479" s="16">
        <f t="shared" si="35"/>
        <v>5902.5</v>
      </c>
      <c r="U479" s="18">
        <v>-1852.45</v>
      </c>
      <c r="V479" s="19">
        <f t="shared" si="36"/>
        <v>-0.31384159254553157</v>
      </c>
      <c r="W479" s="19">
        <f t="shared" si="37"/>
        <v>-0.26937738246505716</v>
      </c>
      <c r="X479" s="19">
        <f t="shared" si="38"/>
        <v>0.37357052096569232</v>
      </c>
      <c r="Y479" s="12" t="s">
        <v>472</v>
      </c>
      <c r="Z479" s="12" t="s">
        <v>70</v>
      </c>
      <c r="AA479" s="18">
        <v>-1852.45</v>
      </c>
      <c r="AB479" s="17">
        <v>5.6609999999999996</v>
      </c>
      <c r="AC479" s="12" t="s">
        <v>71</v>
      </c>
      <c r="AD479" s="12" t="str">
        <f t="shared" si="39"/>
        <v>Rs 2+</v>
      </c>
      <c r="AE479" s="20">
        <v>1</v>
      </c>
    </row>
    <row r="480" spans="1:31" x14ac:dyDescent="0.3">
      <c r="A480" s="12" t="s">
        <v>165</v>
      </c>
      <c r="B480" s="12" t="s">
        <v>472</v>
      </c>
      <c r="C480" s="12" t="s">
        <v>469</v>
      </c>
      <c r="D480" s="12" t="s">
        <v>68</v>
      </c>
      <c r="E480" s="13">
        <v>96.8</v>
      </c>
      <c r="F480" s="13">
        <v>66.099999999999994</v>
      </c>
      <c r="G480" s="13">
        <v>47.3</v>
      </c>
      <c r="H480" s="14">
        <v>442.76</v>
      </c>
      <c r="I480" s="12" t="s">
        <v>455</v>
      </c>
      <c r="J480" s="14">
        <v>435</v>
      </c>
      <c r="K480" s="15">
        <v>2</v>
      </c>
      <c r="L480" s="16">
        <v>1400</v>
      </c>
      <c r="M480" s="16">
        <v>898</v>
      </c>
      <c r="N480" s="17">
        <v>5.2</v>
      </c>
      <c r="O480" s="17">
        <v>6.7</v>
      </c>
      <c r="P480" s="17">
        <v>2.85</v>
      </c>
      <c r="Q480" s="17">
        <v>3.45</v>
      </c>
      <c r="R480" s="17">
        <v>5.25</v>
      </c>
      <c r="S480" s="17">
        <v>3.4</v>
      </c>
      <c r="T480" s="16">
        <f t="shared" si="35"/>
        <v>7350</v>
      </c>
      <c r="U480" s="18">
        <v>-2891.85</v>
      </c>
      <c r="V480" s="19">
        <f t="shared" si="36"/>
        <v>-0.39344897959183672</v>
      </c>
      <c r="W480" s="19">
        <f t="shared" si="37"/>
        <v>-0.35238095238095235</v>
      </c>
      <c r="X480" s="19">
        <f t="shared" si="38"/>
        <v>0.27619047619047632</v>
      </c>
      <c r="Y480" s="12" t="s">
        <v>472</v>
      </c>
      <c r="Z480" s="12" t="s">
        <v>70</v>
      </c>
      <c r="AA480" s="18">
        <v>-2891.85</v>
      </c>
      <c r="AB480" s="17">
        <v>-0.66700000000000004</v>
      </c>
      <c r="AC480" s="12" t="s">
        <v>71</v>
      </c>
      <c r="AD480" s="12" t="str">
        <f t="shared" si="39"/>
        <v>Rs 2+</v>
      </c>
      <c r="AE480" s="20">
        <v>1</v>
      </c>
    </row>
    <row r="481" spans="1:31" x14ac:dyDescent="0.3">
      <c r="A481" s="12" t="s">
        <v>378</v>
      </c>
      <c r="B481" s="12" t="s">
        <v>472</v>
      </c>
      <c r="C481" s="12" t="s">
        <v>469</v>
      </c>
      <c r="D481" s="12" t="s">
        <v>68</v>
      </c>
      <c r="E481" s="13">
        <v>13.7</v>
      </c>
      <c r="F481" s="13">
        <v>22.8</v>
      </c>
      <c r="G481" s="13">
        <v>8.4</v>
      </c>
      <c r="H481" s="14">
        <v>1097.1300000000001</v>
      </c>
      <c r="I481" s="12" t="s">
        <v>455</v>
      </c>
      <c r="J481" s="14">
        <v>1080</v>
      </c>
      <c r="K481" s="15">
        <v>2</v>
      </c>
      <c r="L481" s="16">
        <v>750</v>
      </c>
      <c r="M481" s="16">
        <v>25341</v>
      </c>
      <c r="N481" s="17">
        <v>9.5</v>
      </c>
      <c r="O481" s="17">
        <v>23.2</v>
      </c>
      <c r="P481" s="17">
        <v>7.85</v>
      </c>
      <c r="Q481" s="17">
        <v>21.9</v>
      </c>
      <c r="R481" s="17">
        <v>9.5500000000000007</v>
      </c>
      <c r="S481" s="17">
        <v>21.85</v>
      </c>
      <c r="T481" s="16">
        <f t="shared" si="35"/>
        <v>7162.5000000000009</v>
      </c>
      <c r="U481" s="18">
        <v>8907.61</v>
      </c>
      <c r="V481" s="19">
        <f t="shared" si="36"/>
        <v>1.24364537521815</v>
      </c>
      <c r="W481" s="19">
        <f t="shared" si="37"/>
        <v>1.2879581151832462</v>
      </c>
      <c r="X481" s="19">
        <f t="shared" si="38"/>
        <v>1.4293193717277486</v>
      </c>
      <c r="Y481" s="12" t="s">
        <v>466</v>
      </c>
      <c r="Z481" s="12" t="s">
        <v>84</v>
      </c>
      <c r="AA481" s="18">
        <v>4201.87</v>
      </c>
      <c r="AB481" s="17">
        <v>3.339</v>
      </c>
      <c r="AC481" s="12" t="s">
        <v>71</v>
      </c>
      <c r="AD481" s="12" t="str">
        <f t="shared" si="39"/>
        <v>Rs 2+</v>
      </c>
      <c r="AE481" s="20">
        <v>1</v>
      </c>
    </row>
    <row r="482" spans="1:31" x14ac:dyDescent="0.3">
      <c r="A482" s="12" t="s">
        <v>268</v>
      </c>
      <c r="B482" s="12" t="s">
        <v>472</v>
      </c>
      <c r="C482" s="12" t="s">
        <v>469</v>
      </c>
      <c r="D482" s="12" t="s">
        <v>68</v>
      </c>
      <c r="E482" s="13">
        <v>62.9</v>
      </c>
      <c r="F482" s="13">
        <v>50.7</v>
      </c>
      <c r="G482" s="13">
        <v>29.3</v>
      </c>
      <c r="H482" s="14">
        <v>4941.01</v>
      </c>
      <c r="I482" s="12" t="s">
        <v>455</v>
      </c>
      <c r="J482" s="14">
        <v>4750</v>
      </c>
      <c r="K482" s="15">
        <v>4</v>
      </c>
      <c r="L482" s="16">
        <v>175</v>
      </c>
      <c r="M482" s="16">
        <v>3467</v>
      </c>
      <c r="N482" s="17">
        <v>33</v>
      </c>
      <c r="O482" s="17">
        <v>36</v>
      </c>
      <c r="P482" s="17">
        <v>9.25</v>
      </c>
      <c r="Q482" s="17">
        <v>10.050000000000001</v>
      </c>
      <c r="R482" s="17">
        <v>33.049999999999997</v>
      </c>
      <c r="S482" s="17">
        <v>10</v>
      </c>
      <c r="T482" s="16">
        <f t="shared" si="35"/>
        <v>5783.7499999999991</v>
      </c>
      <c r="U482" s="18">
        <v>-4162.24</v>
      </c>
      <c r="V482" s="19">
        <f t="shared" si="36"/>
        <v>-0.71964382969526697</v>
      </c>
      <c r="W482" s="19">
        <f t="shared" si="37"/>
        <v>-0.69742813918305591</v>
      </c>
      <c r="X482" s="19">
        <f t="shared" si="38"/>
        <v>8.9258698940998471E-2</v>
      </c>
      <c r="Y482" s="12" t="s">
        <v>472</v>
      </c>
      <c r="Z482" s="12" t="s">
        <v>70</v>
      </c>
      <c r="AA482" s="18">
        <v>-4162.24</v>
      </c>
      <c r="AB482" s="17">
        <v>-3.2040000000000002</v>
      </c>
      <c r="AC482" s="12" t="s">
        <v>71</v>
      </c>
      <c r="AD482" s="12" t="str">
        <f t="shared" si="39"/>
        <v>Rs 2+</v>
      </c>
      <c r="AE482" s="20">
        <v>1</v>
      </c>
    </row>
    <row r="483" spans="1:31" x14ac:dyDescent="0.3">
      <c r="A483" s="12" t="s">
        <v>176</v>
      </c>
      <c r="B483" s="12" t="s">
        <v>477</v>
      </c>
      <c r="C483" s="12" t="s">
        <v>472</v>
      </c>
      <c r="D483" s="12" t="s">
        <v>77</v>
      </c>
      <c r="E483" s="13">
        <v>-131.69999999999999</v>
      </c>
      <c r="F483" s="13">
        <v>-138.5</v>
      </c>
      <c r="G483" s="13">
        <v>18.7</v>
      </c>
      <c r="H483" s="14">
        <v>2093.77</v>
      </c>
      <c r="I483" s="12" t="s">
        <v>455</v>
      </c>
      <c r="J483" s="14">
        <v>2260</v>
      </c>
      <c r="K483" s="15">
        <v>8</v>
      </c>
      <c r="L483" s="16">
        <v>500</v>
      </c>
      <c r="M483" s="16">
        <v>2382</v>
      </c>
      <c r="N483" s="17">
        <v>15.25</v>
      </c>
      <c r="O483" s="17">
        <v>18.600000000000001</v>
      </c>
      <c r="P483" s="17">
        <v>4.2</v>
      </c>
      <c r="Q483" s="17">
        <v>5.2</v>
      </c>
      <c r="R483" s="17">
        <v>15.3</v>
      </c>
      <c r="S483" s="17">
        <v>5.15</v>
      </c>
      <c r="T483" s="16">
        <f t="shared" si="35"/>
        <v>7650</v>
      </c>
      <c r="U483" s="18">
        <v>-5335.09</v>
      </c>
      <c r="V483" s="19">
        <f t="shared" si="36"/>
        <v>-0.69739738562091502</v>
      </c>
      <c r="W483" s="19">
        <f t="shared" si="37"/>
        <v>-0.66339869281045749</v>
      </c>
      <c r="X483" s="19">
        <f t="shared" si="38"/>
        <v>0.21568627450980404</v>
      </c>
      <c r="Y483" s="12" t="s">
        <v>477</v>
      </c>
      <c r="Z483" s="12" t="s">
        <v>70</v>
      </c>
      <c r="AA483" s="18">
        <v>-5335.09</v>
      </c>
      <c r="AB483" s="17">
        <v>-3.0209999999999999</v>
      </c>
      <c r="AC483" s="12" t="s">
        <v>71</v>
      </c>
      <c r="AD483" s="12" t="str">
        <f t="shared" si="39"/>
        <v>Rs 2+</v>
      </c>
      <c r="AE483" s="20">
        <v>1</v>
      </c>
    </row>
    <row r="484" spans="1:31" x14ac:dyDescent="0.3">
      <c r="A484" s="12" t="s">
        <v>181</v>
      </c>
      <c r="B484" s="12" t="s">
        <v>466</v>
      </c>
      <c r="C484" s="12" t="s">
        <v>477</v>
      </c>
      <c r="D484" s="12" t="s">
        <v>68</v>
      </c>
      <c r="E484" s="13">
        <v>341.4</v>
      </c>
      <c r="F484" s="13">
        <v>44.5</v>
      </c>
      <c r="G484" s="13">
        <v>34.1</v>
      </c>
      <c r="H484" s="14">
        <v>360.01</v>
      </c>
      <c r="I484" s="12" t="s">
        <v>455</v>
      </c>
      <c r="J484" s="14">
        <v>330</v>
      </c>
      <c r="K484" s="15">
        <v>6</v>
      </c>
      <c r="L484" s="16">
        <v>3000</v>
      </c>
      <c r="M484" s="16">
        <v>1628</v>
      </c>
      <c r="N484" s="17">
        <v>2.1</v>
      </c>
      <c r="O484" s="17">
        <v>3.45</v>
      </c>
      <c r="P484" s="17">
        <v>1.8</v>
      </c>
      <c r="Q484" s="17">
        <v>2.0499999999999998</v>
      </c>
      <c r="R484" s="17">
        <v>2.15</v>
      </c>
      <c r="S484" s="17">
        <v>2</v>
      </c>
      <c r="T484" s="16">
        <f t="shared" si="35"/>
        <v>6450</v>
      </c>
      <c r="U484" s="18">
        <v>-885.12</v>
      </c>
      <c r="V484" s="19">
        <f t="shared" si="36"/>
        <v>-0.1372279069767442</v>
      </c>
      <c r="W484" s="19">
        <f t="shared" si="37"/>
        <v>-6.9767441860465129E-2</v>
      </c>
      <c r="X484" s="19">
        <f t="shared" si="38"/>
        <v>0.60465116279069786</v>
      </c>
      <c r="Y484" s="12" t="s">
        <v>465</v>
      </c>
      <c r="Z484" s="12" t="s">
        <v>84</v>
      </c>
      <c r="AA484" s="18">
        <v>-1030.3499999999999</v>
      </c>
      <c r="AB484" s="17">
        <v>4.6900000000000004</v>
      </c>
      <c r="AC484" s="12" t="s">
        <v>71</v>
      </c>
      <c r="AD484" s="12" t="str">
        <f t="shared" si="39"/>
        <v>Rs 2+</v>
      </c>
      <c r="AE484" s="20">
        <v>1</v>
      </c>
    </row>
    <row r="485" spans="1:31" x14ac:dyDescent="0.3">
      <c r="A485" s="12" t="s">
        <v>270</v>
      </c>
      <c r="B485" s="12" t="s">
        <v>466</v>
      </c>
      <c r="C485" s="12" t="s">
        <v>477</v>
      </c>
      <c r="D485" s="12" t="s">
        <v>68</v>
      </c>
      <c r="E485" s="13">
        <v>406.2</v>
      </c>
      <c r="F485" s="13">
        <v>478.6</v>
      </c>
      <c r="G485" s="13">
        <v>8.4</v>
      </c>
      <c r="H485" s="14">
        <v>4010.92</v>
      </c>
      <c r="I485" s="12" t="s">
        <v>455</v>
      </c>
      <c r="J485" s="14">
        <v>3850</v>
      </c>
      <c r="K485" s="15">
        <v>3</v>
      </c>
      <c r="L485" s="16">
        <v>175</v>
      </c>
      <c r="M485" s="16">
        <v>1627</v>
      </c>
      <c r="N485" s="17">
        <v>36</v>
      </c>
      <c r="O485" s="17">
        <v>43</v>
      </c>
      <c r="P485" s="17">
        <v>26.75</v>
      </c>
      <c r="Q485" s="17">
        <v>30</v>
      </c>
      <c r="R485" s="17">
        <v>36.049999999999997</v>
      </c>
      <c r="S485" s="17">
        <v>29.95</v>
      </c>
      <c r="T485" s="16">
        <f t="shared" si="35"/>
        <v>6308.7499999999991</v>
      </c>
      <c r="U485" s="18">
        <v>-1243.1099999999999</v>
      </c>
      <c r="V485" s="19">
        <f t="shared" si="36"/>
        <v>-0.19704537348920151</v>
      </c>
      <c r="W485" s="19">
        <f t="shared" si="37"/>
        <v>-0.1692094313453536</v>
      </c>
      <c r="X485" s="19">
        <f t="shared" si="38"/>
        <v>0.19278779472954244</v>
      </c>
      <c r="Y485" s="12" t="s">
        <v>479</v>
      </c>
      <c r="Z485" s="12" t="s">
        <v>70</v>
      </c>
      <c r="AA485" s="18">
        <v>-1917.46</v>
      </c>
      <c r="AB485" s="17">
        <v>7.4999999999999997E-2</v>
      </c>
      <c r="AC485" s="12" t="s">
        <v>71</v>
      </c>
      <c r="AD485" s="12" t="str">
        <f t="shared" si="39"/>
        <v>Rs 2+</v>
      </c>
      <c r="AE485" s="20">
        <v>1</v>
      </c>
    </row>
    <row r="486" spans="1:31" x14ac:dyDescent="0.3">
      <c r="A486" s="12" t="s">
        <v>154</v>
      </c>
      <c r="B486" s="12" t="s">
        <v>466</v>
      </c>
      <c r="C486" s="12" t="s">
        <v>477</v>
      </c>
      <c r="D486" s="12" t="s">
        <v>77</v>
      </c>
      <c r="E486" s="13">
        <v>-34.9</v>
      </c>
      <c r="F486" s="13">
        <v>-26.2</v>
      </c>
      <c r="G486" s="13">
        <v>22</v>
      </c>
      <c r="H486" s="14">
        <v>1190.3399999999999</v>
      </c>
      <c r="I486" s="12" t="s">
        <v>455</v>
      </c>
      <c r="J486" s="14">
        <v>1260</v>
      </c>
      <c r="K486" s="15">
        <v>7</v>
      </c>
      <c r="L486" s="16">
        <v>900</v>
      </c>
      <c r="M486" s="16">
        <v>1824</v>
      </c>
      <c r="N486" s="17">
        <v>8.1</v>
      </c>
      <c r="O486" s="17">
        <v>8.85</v>
      </c>
      <c r="P486" s="17">
        <v>2.2000000000000002</v>
      </c>
      <c r="Q486" s="17">
        <v>7.4</v>
      </c>
      <c r="R486" s="17">
        <v>8.15</v>
      </c>
      <c r="S486" s="17">
        <v>7.35</v>
      </c>
      <c r="T486" s="16">
        <f t="shared" si="35"/>
        <v>7335</v>
      </c>
      <c r="U486" s="18">
        <v>-1062.21</v>
      </c>
      <c r="V486" s="19">
        <f t="shared" si="36"/>
        <v>-0.14481390593047036</v>
      </c>
      <c r="W486" s="19">
        <f t="shared" si="37"/>
        <v>-9.8159509202454087E-2</v>
      </c>
      <c r="X486" s="19">
        <f t="shared" si="38"/>
        <v>8.5889570552147187E-2</v>
      </c>
      <c r="Y486" s="12" t="s">
        <v>475</v>
      </c>
      <c r="Z486" s="12" t="s">
        <v>70</v>
      </c>
      <c r="AA486" s="18">
        <v>-5199.49</v>
      </c>
      <c r="AB486" s="17">
        <v>1.2609999999999999</v>
      </c>
      <c r="AC486" s="12" t="s">
        <v>71</v>
      </c>
      <c r="AD486" s="12" t="str">
        <f t="shared" si="39"/>
        <v>Rs 2+</v>
      </c>
      <c r="AE486" s="20">
        <v>1</v>
      </c>
    </row>
    <row r="487" spans="1:31" x14ac:dyDescent="0.3">
      <c r="A487" s="12" t="s">
        <v>221</v>
      </c>
      <c r="B487" s="12" t="s">
        <v>475</v>
      </c>
      <c r="C487" s="12" t="s">
        <v>466</v>
      </c>
      <c r="D487" s="12" t="s">
        <v>68</v>
      </c>
      <c r="E487" s="13">
        <v>38.4</v>
      </c>
      <c r="F487" s="13">
        <v>10.7</v>
      </c>
      <c r="G487" s="13">
        <v>20.6</v>
      </c>
      <c r="H487" s="14">
        <v>8596.7999999999993</v>
      </c>
      <c r="I487" s="12" t="s">
        <v>455</v>
      </c>
      <c r="J487" s="14">
        <v>8400</v>
      </c>
      <c r="K487" s="15">
        <v>2</v>
      </c>
      <c r="L487" s="16">
        <v>125</v>
      </c>
      <c r="M487" s="16">
        <v>3480</v>
      </c>
      <c r="N487" s="17">
        <v>61.75</v>
      </c>
      <c r="O487" s="17">
        <v>69</v>
      </c>
      <c r="P487" s="17">
        <v>33.4</v>
      </c>
      <c r="Q487" s="17">
        <v>53.65</v>
      </c>
      <c r="R487" s="17">
        <v>61.8</v>
      </c>
      <c r="S487" s="17">
        <v>53.6</v>
      </c>
      <c r="T487" s="16">
        <f t="shared" si="35"/>
        <v>7725</v>
      </c>
      <c r="U487" s="18">
        <v>-1232.8</v>
      </c>
      <c r="V487" s="19">
        <f t="shared" si="36"/>
        <v>-0.15958576051779935</v>
      </c>
      <c r="W487" s="19">
        <f t="shared" si="37"/>
        <v>-0.1326860841423948</v>
      </c>
      <c r="X487" s="19">
        <f t="shared" si="38"/>
        <v>0.11650485436893199</v>
      </c>
      <c r="Y487" s="12" t="s">
        <v>465</v>
      </c>
      <c r="Z487" s="12" t="s">
        <v>70</v>
      </c>
      <c r="AA487" s="18">
        <v>-6457.27</v>
      </c>
      <c r="AB487" s="17">
        <v>1.607</v>
      </c>
      <c r="AC487" s="12" t="s">
        <v>71</v>
      </c>
      <c r="AD487" s="12" t="str">
        <f t="shared" si="39"/>
        <v>Rs 2+</v>
      </c>
      <c r="AE487" s="20">
        <v>1</v>
      </c>
    </row>
    <row r="488" spans="1:31" x14ac:dyDescent="0.3">
      <c r="A488" s="12" t="s">
        <v>381</v>
      </c>
      <c r="B488" s="12" t="s">
        <v>475</v>
      </c>
      <c r="C488" s="12" t="s">
        <v>466</v>
      </c>
      <c r="D488" s="12" t="s">
        <v>68</v>
      </c>
      <c r="E488" s="13">
        <v>39</v>
      </c>
      <c r="F488" s="13">
        <v>1.2</v>
      </c>
      <c r="G488" s="13">
        <v>21.4</v>
      </c>
      <c r="H488" s="14">
        <v>3307.74</v>
      </c>
      <c r="I488" s="12" t="s">
        <v>455</v>
      </c>
      <c r="J488" s="14">
        <v>3160</v>
      </c>
      <c r="K488" s="15">
        <v>7</v>
      </c>
      <c r="L488" s="16">
        <v>250</v>
      </c>
      <c r="M488" s="16">
        <v>1764</v>
      </c>
      <c r="N488" s="17">
        <v>24</v>
      </c>
      <c r="O488" s="17">
        <v>49.95</v>
      </c>
      <c r="P488" s="17">
        <v>18.95</v>
      </c>
      <c r="Q488" s="17">
        <v>22.7</v>
      </c>
      <c r="R488" s="17">
        <v>24.05</v>
      </c>
      <c r="S488" s="17">
        <v>22.65</v>
      </c>
      <c r="T488" s="16">
        <f t="shared" si="35"/>
        <v>6012.5</v>
      </c>
      <c r="U488" s="18">
        <v>-527.54</v>
      </c>
      <c r="V488" s="19">
        <f t="shared" si="36"/>
        <v>-8.7740540540540535E-2</v>
      </c>
      <c r="W488" s="19">
        <f t="shared" si="37"/>
        <v>-5.8212058212058326E-2</v>
      </c>
      <c r="X488" s="19">
        <f t="shared" si="38"/>
        <v>1.0769230769230771</v>
      </c>
      <c r="Y488" s="12" t="s">
        <v>479</v>
      </c>
      <c r="Z488" s="12" t="s">
        <v>70</v>
      </c>
      <c r="AA488" s="18">
        <v>-3145.95</v>
      </c>
      <c r="AB488" s="17">
        <v>1.282</v>
      </c>
      <c r="AC488" s="12" t="s">
        <v>71</v>
      </c>
      <c r="AD488" s="12" t="str">
        <f t="shared" si="39"/>
        <v>Rs 2+</v>
      </c>
      <c r="AE488" s="20">
        <v>1</v>
      </c>
    </row>
    <row r="489" spans="1:31" x14ac:dyDescent="0.3">
      <c r="A489" s="12" t="s">
        <v>321</v>
      </c>
      <c r="B489" s="12" t="s">
        <v>465</v>
      </c>
      <c r="C489" s="12" t="s">
        <v>465</v>
      </c>
      <c r="D489" s="12" t="s">
        <v>77</v>
      </c>
      <c r="E489" s="13">
        <v>-97.1</v>
      </c>
      <c r="F489" s="13">
        <v>-98.1</v>
      </c>
      <c r="G489" s="13">
        <v>12.7</v>
      </c>
      <c r="H489" s="14">
        <v>7174.99</v>
      </c>
      <c r="I489" s="12" t="s">
        <v>455</v>
      </c>
      <c r="J489" s="14">
        <v>7500</v>
      </c>
      <c r="K489" s="15">
        <v>3</v>
      </c>
      <c r="L489" s="16">
        <v>100</v>
      </c>
      <c r="M489" s="16">
        <v>20371</v>
      </c>
      <c r="N489" s="17">
        <v>75</v>
      </c>
      <c r="O489" s="17">
        <v>119.85</v>
      </c>
      <c r="P489" s="17">
        <v>38</v>
      </c>
      <c r="Q489" s="17">
        <v>41.35</v>
      </c>
      <c r="R489" s="17">
        <v>75.05</v>
      </c>
      <c r="S489" s="17">
        <v>41.3</v>
      </c>
      <c r="T489" s="16">
        <f t="shared" si="35"/>
        <v>7505</v>
      </c>
      <c r="U489" s="18">
        <v>-3782.57</v>
      </c>
      <c r="V489" s="19">
        <f t="shared" si="36"/>
        <v>-0.5040066622251832</v>
      </c>
      <c r="W489" s="19">
        <f t="shared" si="37"/>
        <v>-0.44970019986675547</v>
      </c>
      <c r="X489" s="19">
        <f t="shared" si="38"/>
        <v>0.59693537641572281</v>
      </c>
      <c r="Y489" s="12" t="s">
        <v>465</v>
      </c>
      <c r="Z489" s="12" t="s">
        <v>70</v>
      </c>
      <c r="AA489" s="18">
        <v>-3782.57</v>
      </c>
      <c r="AB489" s="17">
        <v>0.71799999999999997</v>
      </c>
      <c r="AC489" s="12" t="s">
        <v>71</v>
      </c>
      <c r="AD489" s="12" t="str">
        <f t="shared" si="39"/>
        <v>Rs 2+</v>
      </c>
      <c r="AE489" s="20">
        <v>1</v>
      </c>
    </row>
    <row r="490" spans="1:31" x14ac:dyDescent="0.3">
      <c r="A490" s="12" t="s">
        <v>152</v>
      </c>
      <c r="B490" s="12" t="s">
        <v>465</v>
      </c>
      <c r="C490" s="12" t="s">
        <v>475</v>
      </c>
      <c r="D490" s="12" t="s">
        <v>68</v>
      </c>
      <c r="E490" s="13">
        <v>89</v>
      </c>
      <c r="F490" s="13">
        <v>19.8</v>
      </c>
      <c r="G490" s="13">
        <v>70.3</v>
      </c>
      <c r="H490" s="14">
        <v>20320.810000000001</v>
      </c>
      <c r="I490" s="12" t="s">
        <v>455</v>
      </c>
      <c r="J490" s="14">
        <v>19250</v>
      </c>
      <c r="K490" s="15">
        <v>4</v>
      </c>
      <c r="L490" s="16">
        <v>50</v>
      </c>
      <c r="M490" s="16">
        <v>8051</v>
      </c>
      <c r="N490" s="17">
        <v>154.85</v>
      </c>
      <c r="O490" s="17">
        <v>332.3</v>
      </c>
      <c r="P490" s="17">
        <v>108.65</v>
      </c>
      <c r="Q490" s="17">
        <v>125.95</v>
      </c>
      <c r="R490" s="17">
        <v>154.9</v>
      </c>
      <c r="S490" s="17">
        <v>125.9</v>
      </c>
      <c r="T490" s="16">
        <f t="shared" si="35"/>
        <v>7745</v>
      </c>
      <c r="U490" s="18">
        <v>-1653.18</v>
      </c>
      <c r="V490" s="19">
        <f t="shared" si="36"/>
        <v>-0.21345125887669464</v>
      </c>
      <c r="W490" s="19">
        <f t="shared" si="37"/>
        <v>-0.18721755971594578</v>
      </c>
      <c r="X490" s="19">
        <f t="shared" si="38"/>
        <v>1.1452550032278888</v>
      </c>
      <c r="Y490" s="12" t="s">
        <v>479</v>
      </c>
      <c r="Z490" s="12" t="s">
        <v>70</v>
      </c>
      <c r="AA490" s="18">
        <v>-2937.67</v>
      </c>
      <c r="AB490" s="17">
        <v>1.5820000000000001</v>
      </c>
      <c r="AC490" s="12" t="s">
        <v>71</v>
      </c>
      <c r="AD490" s="12" t="str">
        <f t="shared" si="39"/>
        <v>Rs 2+</v>
      </c>
      <c r="AE490" s="20">
        <v>1</v>
      </c>
    </row>
    <row r="491" spans="1:31" x14ac:dyDescent="0.3">
      <c r="A491" s="12" t="s">
        <v>377</v>
      </c>
      <c r="B491" s="12" t="s">
        <v>465</v>
      </c>
      <c r="C491" s="12" t="s">
        <v>475</v>
      </c>
      <c r="D491" s="12" t="s">
        <v>77</v>
      </c>
      <c r="E491" s="13">
        <v>-78.5</v>
      </c>
      <c r="F491" s="13">
        <v>-85.4</v>
      </c>
      <c r="G491" s="13">
        <v>-8.1999999999999993</v>
      </c>
      <c r="H491" s="14">
        <v>349.58</v>
      </c>
      <c r="I491" s="12" t="s">
        <v>455</v>
      </c>
      <c r="J491" s="14">
        <v>350</v>
      </c>
      <c r="K491" s="15">
        <v>0</v>
      </c>
      <c r="L491" s="16">
        <v>1600</v>
      </c>
      <c r="M491" s="16">
        <v>23576</v>
      </c>
      <c r="N491" s="17">
        <v>2.95</v>
      </c>
      <c r="O491" s="17">
        <v>4.4000000000000004</v>
      </c>
      <c r="P491" s="17">
        <v>1.4</v>
      </c>
      <c r="Q491" s="17">
        <v>1.6</v>
      </c>
      <c r="R491" s="17">
        <v>3</v>
      </c>
      <c r="S491" s="17">
        <v>1.55</v>
      </c>
      <c r="T491" s="16">
        <f t="shared" si="35"/>
        <v>4800</v>
      </c>
      <c r="U491" s="18">
        <v>-2446.92</v>
      </c>
      <c r="V491" s="19">
        <f t="shared" si="36"/>
        <v>-0.50977499999999998</v>
      </c>
      <c r="W491" s="19">
        <f t="shared" si="37"/>
        <v>-0.48333333333333328</v>
      </c>
      <c r="X491" s="19">
        <f t="shared" si="38"/>
        <v>0.46666666666666679</v>
      </c>
      <c r="Y491" s="12" t="s">
        <v>465</v>
      </c>
      <c r="Z491" s="12" t="s">
        <v>70</v>
      </c>
      <c r="AA491" s="18">
        <v>-2446.92</v>
      </c>
      <c r="AB491" s="17">
        <v>1.6719999999999999</v>
      </c>
      <c r="AC491" s="12" t="s">
        <v>71</v>
      </c>
      <c r="AD491" s="12" t="str">
        <f t="shared" si="39"/>
        <v>Rs 2+</v>
      </c>
      <c r="AE491" s="20">
        <v>1</v>
      </c>
    </row>
    <row r="492" spans="1:31" x14ac:dyDescent="0.3">
      <c r="A492" s="12" t="s">
        <v>330</v>
      </c>
      <c r="B492" s="12" t="s">
        <v>479</v>
      </c>
      <c r="C492" s="12" t="s">
        <v>465</v>
      </c>
      <c r="D492" s="12" t="s">
        <v>68</v>
      </c>
      <c r="E492" s="13">
        <v>547.4</v>
      </c>
      <c r="F492" s="13">
        <v>5</v>
      </c>
      <c r="G492" s="13">
        <v>130.80000000000001</v>
      </c>
      <c r="H492" s="14">
        <v>1398.02</v>
      </c>
      <c r="I492" s="12" t="s">
        <v>455</v>
      </c>
      <c r="J492" s="14">
        <v>1360</v>
      </c>
      <c r="K492" s="15">
        <v>2</v>
      </c>
      <c r="L492" s="16">
        <v>425</v>
      </c>
      <c r="M492" s="16">
        <v>3500</v>
      </c>
      <c r="N492" s="17">
        <v>12.65</v>
      </c>
      <c r="O492" s="17">
        <v>25.15</v>
      </c>
      <c r="P492" s="17">
        <v>10.199999999999999</v>
      </c>
      <c r="Q492" s="17">
        <v>20.25</v>
      </c>
      <c r="R492" s="17">
        <v>12.7</v>
      </c>
      <c r="S492" s="17">
        <v>20.2</v>
      </c>
      <c r="T492" s="16">
        <f t="shared" si="35"/>
        <v>5397.5</v>
      </c>
      <c r="U492" s="18">
        <v>2841.72</v>
      </c>
      <c r="V492" s="19">
        <f t="shared" si="36"/>
        <v>0.52648818897637795</v>
      </c>
      <c r="W492" s="19">
        <f t="shared" si="37"/>
        <v>0.59055118110236227</v>
      </c>
      <c r="X492" s="19">
        <f t="shared" si="38"/>
        <v>0.98031496062992129</v>
      </c>
      <c r="Y492" s="12" t="s">
        <v>480</v>
      </c>
      <c r="Z492" s="12" t="s">
        <v>84</v>
      </c>
      <c r="AA492" s="18">
        <v>-1252.75</v>
      </c>
      <c r="AB492" s="17">
        <v>2.3490000000000002</v>
      </c>
      <c r="AC492" s="12" t="s">
        <v>71</v>
      </c>
      <c r="AD492" s="12" t="str">
        <f t="shared" si="39"/>
        <v>Rs 2+</v>
      </c>
      <c r="AE492" s="20">
        <v>1</v>
      </c>
    </row>
    <row r="493" spans="1:31" x14ac:dyDescent="0.3">
      <c r="A493" s="12" t="s">
        <v>481</v>
      </c>
      <c r="B493" s="12" t="s">
        <v>479</v>
      </c>
      <c r="C493" s="12" t="s">
        <v>465</v>
      </c>
      <c r="D493" s="12" t="s">
        <v>77</v>
      </c>
      <c r="E493" s="13">
        <v>-19.399999999999999</v>
      </c>
      <c r="F493" s="13">
        <v>-45.2</v>
      </c>
      <c r="G493" s="13">
        <v>2.4</v>
      </c>
      <c r="H493" s="14">
        <v>1496.47</v>
      </c>
      <c r="I493" s="12" t="s">
        <v>455</v>
      </c>
      <c r="J493" s="14">
        <v>1520</v>
      </c>
      <c r="K493" s="15">
        <v>1</v>
      </c>
      <c r="L493" s="16">
        <v>400</v>
      </c>
      <c r="M493" s="16">
        <v>2736</v>
      </c>
      <c r="N493" s="17">
        <v>3</v>
      </c>
      <c r="O493" s="17">
        <v>27.85</v>
      </c>
      <c r="P493" s="17">
        <v>3</v>
      </c>
      <c r="Q493" s="17">
        <v>9.3000000000000007</v>
      </c>
      <c r="R493" s="17">
        <v>3.05</v>
      </c>
      <c r="S493" s="17">
        <v>9.25</v>
      </c>
      <c r="T493" s="16">
        <f t="shared" si="35"/>
        <v>1220</v>
      </c>
      <c r="U493" s="18">
        <v>2326.75</v>
      </c>
      <c r="V493" s="19">
        <f t="shared" si="36"/>
        <v>1.9071721311475409</v>
      </c>
      <c r="W493" s="19">
        <f t="shared" si="37"/>
        <v>2.0327868852459017</v>
      </c>
      <c r="X493" s="19">
        <f t="shared" si="38"/>
        <v>8.1311475409836067</v>
      </c>
      <c r="Y493" s="12" t="s">
        <v>482</v>
      </c>
      <c r="Z493" s="12" t="s">
        <v>84</v>
      </c>
      <c r="AA493" s="18">
        <v>1818.15</v>
      </c>
      <c r="AB493" s="17">
        <v>0.53800000000000003</v>
      </c>
      <c r="AC493" s="12" t="s">
        <v>71</v>
      </c>
      <c r="AD493" s="12" t="str">
        <f t="shared" si="39"/>
        <v>Rs 2+</v>
      </c>
      <c r="AE493" s="20">
        <v>1</v>
      </c>
    </row>
    <row r="494" spans="1:31" x14ac:dyDescent="0.3">
      <c r="A494" s="12" t="s">
        <v>272</v>
      </c>
      <c r="B494" s="12" t="s">
        <v>479</v>
      </c>
      <c r="C494" s="12" t="s">
        <v>465</v>
      </c>
      <c r="D494" s="12" t="s">
        <v>68</v>
      </c>
      <c r="E494" s="13">
        <v>51.3</v>
      </c>
      <c r="F494" s="13">
        <v>87.6</v>
      </c>
      <c r="G494" s="13">
        <v>18.7</v>
      </c>
      <c r="H494" s="14">
        <v>1320.71</v>
      </c>
      <c r="I494" s="12" t="s">
        <v>455</v>
      </c>
      <c r="J494" s="14">
        <v>1300</v>
      </c>
      <c r="K494" s="15">
        <v>1</v>
      </c>
      <c r="L494" s="16">
        <v>375</v>
      </c>
      <c r="M494" s="16">
        <v>14348</v>
      </c>
      <c r="N494" s="17">
        <v>21.05</v>
      </c>
      <c r="O494" s="17">
        <v>49.3</v>
      </c>
      <c r="P494" s="17">
        <v>11.45</v>
      </c>
      <c r="Q494" s="17">
        <v>47.95</v>
      </c>
      <c r="R494" s="17">
        <v>21.1</v>
      </c>
      <c r="S494" s="17">
        <v>47.9</v>
      </c>
      <c r="T494" s="16">
        <f t="shared" si="35"/>
        <v>7912.5000000000009</v>
      </c>
      <c r="U494" s="18">
        <v>9447.24</v>
      </c>
      <c r="V494" s="19">
        <f t="shared" si="36"/>
        <v>1.1939639810426539</v>
      </c>
      <c r="W494" s="19">
        <f t="shared" si="37"/>
        <v>1.2701421800947865</v>
      </c>
      <c r="X494" s="19">
        <f t="shared" si="38"/>
        <v>1.3364928909952605</v>
      </c>
      <c r="Y494" s="12" t="s">
        <v>483</v>
      </c>
      <c r="Z494" s="12" t="s">
        <v>111</v>
      </c>
      <c r="AA494" s="18">
        <v>15829.21</v>
      </c>
      <c r="AB494" s="17">
        <v>4.665</v>
      </c>
      <c r="AC494" s="12" t="s">
        <v>71</v>
      </c>
      <c r="AD494" s="12" t="str">
        <f t="shared" si="39"/>
        <v>Rs 2+</v>
      </c>
      <c r="AE494" s="20">
        <v>1</v>
      </c>
    </row>
  </sheetData>
  <autoFilter ref="A1:AE494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4" width="12" customWidth="1"/>
  </cols>
  <sheetData>
    <row r="1" spans="1:14" x14ac:dyDescent="0.3">
      <c r="A1" s="21" t="s">
        <v>484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">
      <c r="A2" s="22" t="s">
        <v>34</v>
      </c>
      <c r="B2" s="22" t="s">
        <v>35</v>
      </c>
      <c r="C2" s="22" t="s">
        <v>37</v>
      </c>
      <c r="D2" s="22" t="s">
        <v>43</v>
      </c>
      <c r="E2" s="22" t="s">
        <v>45</v>
      </c>
      <c r="F2" s="22" t="s">
        <v>47</v>
      </c>
      <c r="G2" s="22" t="s">
        <v>48</v>
      </c>
      <c r="H2" s="22" t="s">
        <v>49</v>
      </c>
      <c r="I2" s="22" t="s">
        <v>50</v>
      </c>
      <c r="J2" s="22" t="s">
        <v>485</v>
      </c>
      <c r="K2" s="22" t="s">
        <v>486</v>
      </c>
      <c r="L2" s="22" t="s">
        <v>487</v>
      </c>
      <c r="M2" s="22" t="s">
        <v>55</v>
      </c>
      <c r="N2" s="22" t="s">
        <v>488</v>
      </c>
    </row>
    <row r="3" spans="1:14" x14ac:dyDescent="0.3">
      <c r="A3" s="21" t="s">
        <v>109</v>
      </c>
      <c r="B3" s="21" t="s">
        <v>101</v>
      </c>
      <c r="C3" s="21" t="s">
        <v>68</v>
      </c>
      <c r="D3" s="21">
        <v>17</v>
      </c>
      <c r="E3" s="21">
        <v>26000</v>
      </c>
      <c r="F3" s="21">
        <v>0.1</v>
      </c>
      <c r="G3" s="21">
        <v>0.2</v>
      </c>
      <c r="H3" s="21">
        <v>0.05</v>
      </c>
      <c r="I3" s="21">
        <v>0.05</v>
      </c>
      <c r="J3" s="21">
        <v>0.15</v>
      </c>
      <c r="K3" s="21">
        <v>0</v>
      </c>
      <c r="L3" s="21">
        <v>-4003.36</v>
      </c>
      <c r="M3" s="21">
        <v>-102.65</v>
      </c>
      <c r="N3" s="21">
        <v>0.751</v>
      </c>
    </row>
    <row r="4" spans="1:14" x14ac:dyDescent="0.3">
      <c r="A4" s="21" t="s">
        <v>243</v>
      </c>
      <c r="B4" s="21" t="s">
        <v>450</v>
      </c>
      <c r="C4" s="21" t="s">
        <v>68</v>
      </c>
      <c r="D4" s="21">
        <v>120</v>
      </c>
      <c r="E4" s="21">
        <v>4350</v>
      </c>
      <c r="F4" s="21">
        <v>1.52</v>
      </c>
      <c r="G4" s="21">
        <v>2</v>
      </c>
      <c r="H4" s="21">
        <v>0.2</v>
      </c>
      <c r="I4" s="21">
        <v>0.21</v>
      </c>
      <c r="J4" s="21">
        <v>1.57</v>
      </c>
      <c r="K4" s="21">
        <v>0.16</v>
      </c>
      <c r="L4" s="21">
        <v>-6410.88</v>
      </c>
      <c r="M4" s="21">
        <v>-93.87</v>
      </c>
      <c r="N4" s="21">
        <v>-3.12</v>
      </c>
    </row>
    <row r="5" spans="1:14" x14ac:dyDescent="0.3">
      <c r="A5" s="21" t="s">
        <v>100</v>
      </c>
      <c r="B5" s="21" t="s">
        <v>101</v>
      </c>
      <c r="C5" s="21" t="s">
        <v>68</v>
      </c>
      <c r="D5" s="21">
        <v>98</v>
      </c>
      <c r="E5" s="21">
        <v>4825</v>
      </c>
      <c r="F5" s="21">
        <v>1.25</v>
      </c>
      <c r="G5" s="21">
        <v>1.25</v>
      </c>
      <c r="H5" s="21">
        <v>0.2</v>
      </c>
      <c r="I5" s="21">
        <v>0.3</v>
      </c>
      <c r="J5" s="21">
        <v>1.3</v>
      </c>
      <c r="K5" s="21">
        <v>0.25</v>
      </c>
      <c r="L5" s="21">
        <v>-5268.18</v>
      </c>
      <c r="M5" s="21">
        <v>-83.989000000000004</v>
      </c>
      <c r="N5" s="21">
        <v>-4.29</v>
      </c>
    </row>
    <row r="6" spans="1:14" x14ac:dyDescent="0.3">
      <c r="A6" s="21" t="s">
        <v>182</v>
      </c>
      <c r="B6" s="21" t="s">
        <v>422</v>
      </c>
      <c r="C6" s="21" t="s">
        <v>68</v>
      </c>
      <c r="D6" s="21">
        <v>130</v>
      </c>
      <c r="E6" s="21">
        <v>6150</v>
      </c>
      <c r="F6" s="21">
        <v>1.06</v>
      </c>
      <c r="G6" s="21">
        <v>1.29</v>
      </c>
      <c r="H6" s="21">
        <v>0.25</v>
      </c>
      <c r="I6" s="21">
        <v>0.28000000000000003</v>
      </c>
      <c r="J6" s="21">
        <v>1.1100000000000001</v>
      </c>
      <c r="K6" s="21">
        <v>0.23</v>
      </c>
      <c r="L6" s="21">
        <v>-5547.4</v>
      </c>
      <c r="M6" s="21">
        <v>-81.263000000000005</v>
      </c>
      <c r="N6" s="21">
        <v>-0.72</v>
      </c>
    </row>
    <row r="7" spans="1:14" x14ac:dyDescent="0.3">
      <c r="A7" s="21" t="s">
        <v>140</v>
      </c>
      <c r="B7" s="21" t="s">
        <v>444</v>
      </c>
      <c r="C7" s="21" t="s">
        <v>68</v>
      </c>
      <c r="D7" s="21">
        <v>104</v>
      </c>
      <c r="E7" s="21">
        <v>8000</v>
      </c>
      <c r="F7" s="21">
        <v>0.82</v>
      </c>
      <c r="G7" s="21">
        <v>0.83</v>
      </c>
      <c r="H7" s="21">
        <v>0.26</v>
      </c>
      <c r="I7" s="21">
        <v>0.28000000000000003</v>
      </c>
      <c r="J7" s="21">
        <v>0.87</v>
      </c>
      <c r="K7" s="21">
        <v>0.23</v>
      </c>
      <c r="L7" s="21">
        <v>-5261.87</v>
      </c>
      <c r="M7" s="21">
        <v>-75.602000000000004</v>
      </c>
      <c r="N7" s="21">
        <v>-3.2330000000000001</v>
      </c>
    </row>
    <row r="8" spans="1:14" x14ac:dyDescent="0.3">
      <c r="A8" s="21" t="s">
        <v>171</v>
      </c>
      <c r="B8" s="21" t="s">
        <v>325</v>
      </c>
      <c r="C8" s="21" t="s">
        <v>68</v>
      </c>
      <c r="D8" s="21">
        <v>105</v>
      </c>
      <c r="E8" s="21">
        <v>6500</v>
      </c>
      <c r="F8" s="21">
        <v>1.02</v>
      </c>
      <c r="G8" s="21">
        <v>1.46</v>
      </c>
      <c r="H8" s="21">
        <v>0.3</v>
      </c>
      <c r="I8" s="21">
        <v>0.38</v>
      </c>
      <c r="J8" s="21">
        <v>1.07</v>
      </c>
      <c r="K8" s="21">
        <v>0.33</v>
      </c>
      <c r="L8" s="21">
        <v>-5137.46</v>
      </c>
      <c r="M8" s="21">
        <v>-73.867000000000004</v>
      </c>
      <c r="N8" s="21">
        <v>-3.7639999999999998</v>
      </c>
    </row>
    <row r="9" spans="1:14" x14ac:dyDescent="0.3">
      <c r="A9" s="21" t="s">
        <v>164</v>
      </c>
      <c r="B9" s="21" t="s">
        <v>420</v>
      </c>
      <c r="C9" s="21" t="s">
        <v>68</v>
      </c>
      <c r="D9" s="21">
        <v>75</v>
      </c>
      <c r="E9" s="21">
        <v>6400</v>
      </c>
      <c r="F9" s="21">
        <v>1.1499999999999999</v>
      </c>
      <c r="G9" s="21">
        <v>1.34</v>
      </c>
      <c r="H9" s="21">
        <v>0.42</v>
      </c>
      <c r="I9" s="21">
        <v>0.45</v>
      </c>
      <c r="J9" s="21">
        <v>1.2</v>
      </c>
      <c r="K9" s="21">
        <v>0.4</v>
      </c>
      <c r="L9" s="21">
        <v>-5380.37</v>
      </c>
      <c r="M9" s="21">
        <v>-70.057000000000002</v>
      </c>
      <c r="N9" s="21">
        <v>-1.238</v>
      </c>
    </row>
    <row r="10" spans="1:14" x14ac:dyDescent="0.3">
      <c r="A10" s="21" t="s">
        <v>170</v>
      </c>
      <c r="B10" s="21" t="s">
        <v>367</v>
      </c>
      <c r="C10" s="21" t="s">
        <v>68</v>
      </c>
      <c r="D10" s="21">
        <v>242.5</v>
      </c>
      <c r="E10" s="21">
        <v>3125</v>
      </c>
      <c r="F10" s="21">
        <v>1.76</v>
      </c>
      <c r="G10" s="21">
        <v>2.0499999999999998</v>
      </c>
      <c r="H10" s="21">
        <v>0.63</v>
      </c>
      <c r="I10" s="21">
        <v>0.67</v>
      </c>
      <c r="J10" s="21">
        <v>1.81</v>
      </c>
      <c r="K10" s="21">
        <v>0.62</v>
      </c>
      <c r="L10" s="21">
        <v>-3924.09</v>
      </c>
      <c r="M10" s="21">
        <v>-69.376000000000005</v>
      </c>
      <c r="N10" s="21">
        <v>-4.6029999999999998</v>
      </c>
    </row>
    <row r="11" spans="1:14" x14ac:dyDescent="0.3">
      <c r="A11" s="21" t="s">
        <v>239</v>
      </c>
      <c r="B11" s="21" t="s">
        <v>233</v>
      </c>
      <c r="C11" s="21" t="s">
        <v>68</v>
      </c>
      <c r="D11" s="21">
        <v>127.5</v>
      </c>
      <c r="E11" s="21">
        <v>4250</v>
      </c>
      <c r="F11" s="21">
        <v>1.3</v>
      </c>
      <c r="G11" s="21">
        <v>1.3</v>
      </c>
      <c r="H11" s="21">
        <v>0.4</v>
      </c>
      <c r="I11" s="21">
        <v>0.5</v>
      </c>
      <c r="J11" s="21">
        <v>1.35</v>
      </c>
      <c r="K11" s="21">
        <v>0.45</v>
      </c>
      <c r="L11" s="21">
        <v>-3954.96</v>
      </c>
      <c r="M11" s="21">
        <v>-68.932000000000002</v>
      </c>
      <c r="N11" s="21">
        <v>-0.85299999999999998</v>
      </c>
    </row>
    <row r="12" spans="1:14" x14ac:dyDescent="0.3">
      <c r="A12" s="21" t="s">
        <v>161</v>
      </c>
      <c r="B12" s="21" t="s">
        <v>305</v>
      </c>
      <c r="C12" s="21" t="s">
        <v>77</v>
      </c>
      <c r="D12" s="21">
        <v>515</v>
      </c>
      <c r="E12" s="21">
        <v>2075</v>
      </c>
      <c r="F12" s="21">
        <v>1.8</v>
      </c>
      <c r="G12" s="21">
        <v>1.85</v>
      </c>
      <c r="H12" s="21">
        <v>0.65</v>
      </c>
      <c r="I12" s="21">
        <v>0.75</v>
      </c>
      <c r="J12" s="21">
        <v>1.85</v>
      </c>
      <c r="K12" s="21">
        <v>0.7</v>
      </c>
      <c r="L12" s="21">
        <v>-2596.71</v>
      </c>
      <c r="M12" s="21">
        <v>-67.644999999999996</v>
      </c>
      <c r="N12" s="21">
        <v>-5.83</v>
      </c>
    </row>
    <row r="13" spans="1:14" x14ac:dyDescent="0.3">
      <c r="A13" s="21" t="s">
        <v>223</v>
      </c>
      <c r="B13" s="21" t="s">
        <v>472</v>
      </c>
      <c r="C13" s="21" t="s">
        <v>77</v>
      </c>
      <c r="D13" s="21">
        <v>82.5</v>
      </c>
      <c r="E13" s="21">
        <v>6400</v>
      </c>
      <c r="F13" s="21">
        <v>1</v>
      </c>
      <c r="G13" s="21">
        <v>1.1599999999999999</v>
      </c>
      <c r="H13" s="21">
        <v>0.4</v>
      </c>
      <c r="I13" s="21">
        <v>0.45</v>
      </c>
      <c r="J13" s="21">
        <v>1.05</v>
      </c>
      <c r="K13" s="21">
        <v>0.4</v>
      </c>
      <c r="L13" s="21">
        <v>-4493.54</v>
      </c>
      <c r="M13" s="21">
        <v>-66.867999999999995</v>
      </c>
      <c r="N13" s="21">
        <v>-2.6360000000000001</v>
      </c>
    </row>
    <row r="14" spans="1:14" x14ac:dyDescent="0.3">
      <c r="A14" s="21" t="s">
        <v>189</v>
      </c>
      <c r="B14" s="21" t="s">
        <v>342</v>
      </c>
      <c r="C14" s="21" t="s">
        <v>68</v>
      </c>
      <c r="D14" s="21">
        <v>257.5</v>
      </c>
      <c r="E14" s="21">
        <v>5000</v>
      </c>
      <c r="F14" s="21">
        <v>1</v>
      </c>
      <c r="G14" s="21">
        <v>1</v>
      </c>
      <c r="H14" s="21">
        <v>0.4</v>
      </c>
      <c r="I14" s="21">
        <v>0.45</v>
      </c>
      <c r="J14" s="21">
        <v>1.05</v>
      </c>
      <c r="K14" s="21">
        <v>0.4</v>
      </c>
      <c r="L14" s="21">
        <v>-3448.42</v>
      </c>
      <c r="M14" s="21">
        <v>-65.683999999999997</v>
      </c>
      <c r="N14" s="21">
        <v>-3.0390000000000001</v>
      </c>
    </row>
    <row r="15" spans="1:14" x14ac:dyDescent="0.3">
      <c r="A15" s="21" t="s">
        <v>109</v>
      </c>
      <c r="B15" s="21" t="s">
        <v>391</v>
      </c>
      <c r="C15" s="21" t="s">
        <v>68</v>
      </c>
      <c r="D15" s="21">
        <v>19</v>
      </c>
      <c r="E15" s="21">
        <v>31100</v>
      </c>
      <c r="F15" s="21">
        <v>0.1</v>
      </c>
      <c r="G15" s="21">
        <v>0.12</v>
      </c>
      <c r="H15" s="21">
        <v>0.06</v>
      </c>
      <c r="I15" s="21">
        <v>0.11</v>
      </c>
      <c r="J15" s="21">
        <v>0.15</v>
      </c>
      <c r="K15" s="21">
        <v>0.06</v>
      </c>
      <c r="L15" s="21">
        <v>-2982.5</v>
      </c>
      <c r="M15" s="21">
        <v>-63.933999999999997</v>
      </c>
      <c r="N15" s="21">
        <v>3.8759999999999999</v>
      </c>
    </row>
    <row r="16" spans="1:14" x14ac:dyDescent="0.3">
      <c r="A16" s="21" t="s">
        <v>174</v>
      </c>
      <c r="B16" s="21" t="s">
        <v>203</v>
      </c>
      <c r="C16" s="21" t="s">
        <v>68</v>
      </c>
      <c r="D16" s="21">
        <v>235</v>
      </c>
      <c r="E16" s="21">
        <v>2500</v>
      </c>
      <c r="F16" s="21">
        <v>1.7</v>
      </c>
      <c r="G16" s="21">
        <v>2.25</v>
      </c>
      <c r="H16" s="21">
        <v>0.6</v>
      </c>
      <c r="I16" s="21">
        <v>0.85</v>
      </c>
      <c r="J16" s="21">
        <v>1.75</v>
      </c>
      <c r="K16" s="21">
        <v>0.8</v>
      </c>
      <c r="L16" s="21">
        <v>-2555.5</v>
      </c>
      <c r="M16" s="21">
        <v>-58.411000000000001</v>
      </c>
      <c r="N16" s="21">
        <v>0.78600000000000003</v>
      </c>
    </row>
    <row r="17" spans="1:14" x14ac:dyDescent="0.3">
      <c r="A17" s="21" t="s">
        <v>376</v>
      </c>
      <c r="B17" s="21" t="s">
        <v>418</v>
      </c>
      <c r="C17" s="21" t="s">
        <v>68</v>
      </c>
      <c r="D17" s="21">
        <v>131</v>
      </c>
      <c r="E17" s="21">
        <v>4875</v>
      </c>
      <c r="F17" s="21">
        <v>1.59</v>
      </c>
      <c r="G17" s="21">
        <v>1.86</v>
      </c>
      <c r="H17" s="21">
        <v>0.59</v>
      </c>
      <c r="I17" s="21">
        <v>0.77</v>
      </c>
      <c r="J17" s="21">
        <v>1.64</v>
      </c>
      <c r="K17" s="21">
        <v>0.72</v>
      </c>
      <c r="L17" s="21">
        <v>-4657.59</v>
      </c>
      <c r="M17" s="21">
        <v>-58.256</v>
      </c>
      <c r="N17" s="21">
        <v>-0.67100000000000004</v>
      </c>
    </row>
    <row r="18" spans="1:14" x14ac:dyDescent="0.3">
      <c r="A18" s="21" t="s">
        <v>110</v>
      </c>
      <c r="B18" s="21" t="s">
        <v>312</v>
      </c>
      <c r="C18" s="21" t="s">
        <v>68</v>
      </c>
      <c r="D18" s="21">
        <v>124</v>
      </c>
      <c r="E18" s="21">
        <v>6750</v>
      </c>
      <c r="F18" s="21">
        <v>1.05</v>
      </c>
      <c r="G18" s="21">
        <v>1.05</v>
      </c>
      <c r="H18" s="21">
        <v>0.45</v>
      </c>
      <c r="I18" s="21">
        <v>0.55000000000000004</v>
      </c>
      <c r="J18" s="21">
        <v>1.1000000000000001</v>
      </c>
      <c r="K18" s="21">
        <v>0.5</v>
      </c>
      <c r="L18" s="21">
        <v>-4323.03</v>
      </c>
      <c r="M18" s="21">
        <v>-58.222999999999999</v>
      </c>
      <c r="N18" s="21">
        <v>-4.2619999999999996</v>
      </c>
    </row>
    <row r="19" spans="1:14" x14ac:dyDescent="0.3">
      <c r="A19" s="21" t="s">
        <v>243</v>
      </c>
      <c r="B19" s="21" t="s">
        <v>242</v>
      </c>
      <c r="C19" s="21" t="s">
        <v>68</v>
      </c>
      <c r="D19" s="21">
        <v>120</v>
      </c>
      <c r="E19" s="21">
        <v>3750</v>
      </c>
      <c r="F19" s="21">
        <v>1.75</v>
      </c>
      <c r="G19" s="21">
        <v>4.5</v>
      </c>
      <c r="H19" s="21">
        <v>0.8</v>
      </c>
      <c r="I19" s="21">
        <v>1</v>
      </c>
      <c r="J19" s="21">
        <v>1.8</v>
      </c>
      <c r="K19" s="21">
        <v>0.95</v>
      </c>
      <c r="L19" s="21">
        <v>-3553.96</v>
      </c>
      <c r="M19" s="21">
        <v>-52.651000000000003</v>
      </c>
      <c r="N19" s="21">
        <v>-5.2389999999999999</v>
      </c>
    </row>
    <row r="20" spans="1:14" x14ac:dyDescent="0.3">
      <c r="A20" s="21" t="s">
        <v>170</v>
      </c>
      <c r="B20" s="21" t="s">
        <v>306</v>
      </c>
      <c r="C20" s="21" t="s">
        <v>68</v>
      </c>
      <c r="D20" s="21">
        <v>240</v>
      </c>
      <c r="E20" s="21">
        <v>3125</v>
      </c>
      <c r="F20" s="21">
        <v>1.8</v>
      </c>
      <c r="G20" s="21">
        <v>3.22</v>
      </c>
      <c r="H20" s="21">
        <v>0.75</v>
      </c>
      <c r="I20" s="21">
        <v>1.06</v>
      </c>
      <c r="J20" s="21">
        <v>1.85</v>
      </c>
      <c r="K20" s="21">
        <v>1.01</v>
      </c>
      <c r="L20" s="21">
        <v>-2859.6</v>
      </c>
      <c r="M20" s="21">
        <v>-49.463000000000001</v>
      </c>
      <c r="N20" s="21">
        <v>-3.0830000000000002</v>
      </c>
    </row>
    <row r="21" spans="1:14" x14ac:dyDescent="0.3">
      <c r="A21" s="21" t="s">
        <v>171</v>
      </c>
      <c r="B21" s="21" t="s">
        <v>382</v>
      </c>
      <c r="C21" s="21" t="s">
        <v>68</v>
      </c>
      <c r="D21" s="21">
        <v>93</v>
      </c>
      <c r="E21" s="21">
        <v>6500</v>
      </c>
      <c r="F21" s="21">
        <v>1</v>
      </c>
      <c r="G21" s="21">
        <v>1.1000000000000001</v>
      </c>
      <c r="H21" s="21">
        <v>0.61</v>
      </c>
      <c r="I21" s="21">
        <v>0.64</v>
      </c>
      <c r="J21" s="21">
        <v>1.05</v>
      </c>
      <c r="K21" s="21">
        <v>0.59</v>
      </c>
      <c r="L21" s="21">
        <v>-3367.43</v>
      </c>
      <c r="M21" s="21">
        <v>-49.34</v>
      </c>
      <c r="N21" s="21">
        <v>-1.837</v>
      </c>
    </row>
    <row r="22" spans="1:14" x14ac:dyDescent="0.3">
      <c r="A22" s="21" t="s">
        <v>371</v>
      </c>
      <c r="B22" s="21" t="s">
        <v>408</v>
      </c>
      <c r="C22" s="21" t="s">
        <v>68</v>
      </c>
      <c r="D22" s="21">
        <v>315</v>
      </c>
      <c r="E22" s="21">
        <v>3100</v>
      </c>
      <c r="F22" s="21">
        <v>1.7</v>
      </c>
      <c r="G22" s="21">
        <v>2.1</v>
      </c>
      <c r="H22" s="21">
        <v>1.05</v>
      </c>
      <c r="I22" s="21">
        <v>1.05</v>
      </c>
      <c r="J22" s="21">
        <v>1.75</v>
      </c>
      <c r="K22" s="21">
        <v>1</v>
      </c>
      <c r="L22" s="21">
        <v>-2551.1</v>
      </c>
      <c r="M22" s="21">
        <v>-47.024999999999999</v>
      </c>
      <c r="N22" s="21">
        <v>-3.931</v>
      </c>
    </row>
    <row r="23" spans="1:14" x14ac:dyDescent="0.3">
      <c r="A23" s="21" t="s">
        <v>172</v>
      </c>
      <c r="B23" s="21" t="s">
        <v>307</v>
      </c>
      <c r="C23" s="21" t="s">
        <v>77</v>
      </c>
      <c r="D23" s="21">
        <v>152</v>
      </c>
      <c r="E23" s="21">
        <v>4700</v>
      </c>
      <c r="F23" s="21">
        <v>1.5</v>
      </c>
      <c r="G23" s="21">
        <v>1.5</v>
      </c>
      <c r="H23" s="21">
        <v>0.7</v>
      </c>
      <c r="I23" s="21">
        <v>0.95</v>
      </c>
      <c r="J23" s="21">
        <v>1.55</v>
      </c>
      <c r="K23" s="21">
        <v>0.9</v>
      </c>
      <c r="L23" s="21">
        <v>-3343.9</v>
      </c>
      <c r="M23" s="21">
        <v>-45.901000000000003</v>
      </c>
      <c r="N23" s="21">
        <v>-1.19</v>
      </c>
    </row>
    <row r="24" spans="1:14" x14ac:dyDescent="0.3">
      <c r="A24" s="21" t="s">
        <v>182</v>
      </c>
      <c r="B24" s="21" t="s">
        <v>277</v>
      </c>
      <c r="C24" s="21" t="s">
        <v>77</v>
      </c>
      <c r="D24" s="21">
        <v>96.65</v>
      </c>
      <c r="E24" s="21">
        <v>6150</v>
      </c>
      <c r="F24" s="21">
        <v>1.2</v>
      </c>
      <c r="G24" s="21">
        <v>1.2</v>
      </c>
      <c r="H24" s="21">
        <v>0.65</v>
      </c>
      <c r="I24" s="21">
        <v>0.8</v>
      </c>
      <c r="J24" s="21">
        <v>1.25</v>
      </c>
      <c r="K24" s="21">
        <v>0.75</v>
      </c>
      <c r="L24" s="21">
        <v>-3257.52</v>
      </c>
      <c r="M24" s="21">
        <v>-42.374000000000002</v>
      </c>
      <c r="N24" s="21">
        <v>0.108</v>
      </c>
    </row>
    <row r="25" spans="1:14" x14ac:dyDescent="0.3">
      <c r="A25" s="21" t="s">
        <v>164</v>
      </c>
      <c r="B25" s="21" t="s">
        <v>153</v>
      </c>
      <c r="C25" s="21" t="s">
        <v>77</v>
      </c>
      <c r="D25" s="21">
        <v>80</v>
      </c>
      <c r="E25" s="21">
        <v>6400</v>
      </c>
      <c r="F25" s="21">
        <v>1</v>
      </c>
      <c r="G25" s="21">
        <v>1.8</v>
      </c>
      <c r="H25" s="21">
        <v>0.5</v>
      </c>
      <c r="I25" s="21">
        <v>0.7</v>
      </c>
      <c r="J25" s="21">
        <v>1.05</v>
      </c>
      <c r="K25" s="21">
        <v>0.65</v>
      </c>
      <c r="L25" s="21">
        <v>-2835.82</v>
      </c>
      <c r="M25" s="21">
        <v>-42.2</v>
      </c>
      <c r="N25" s="21">
        <v>0.224</v>
      </c>
    </row>
    <row r="26" spans="1:14" x14ac:dyDescent="0.3">
      <c r="A26" s="21" t="s">
        <v>157</v>
      </c>
      <c r="B26" s="21" t="s">
        <v>156</v>
      </c>
      <c r="C26" s="21" t="s">
        <v>68</v>
      </c>
      <c r="D26" s="21">
        <v>60</v>
      </c>
      <c r="E26" s="21">
        <v>13500</v>
      </c>
      <c r="F26" s="21">
        <v>0.5</v>
      </c>
      <c r="G26" s="21">
        <v>0.5</v>
      </c>
      <c r="H26" s="21">
        <v>0.3</v>
      </c>
      <c r="I26" s="21">
        <v>0.4</v>
      </c>
      <c r="J26" s="21">
        <v>0.55000000000000004</v>
      </c>
      <c r="K26" s="21">
        <v>0.35</v>
      </c>
      <c r="L26" s="21">
        <v>-3002.62</v>
      </c>
      <c r="M26" s="21">
        <v>-40.439</v>
      </c>
      <c r="N26" s="21">
        <v>-1.849</v>
      </c>
    </row>
    <row r="27" spans="1:14" x14ac:dyDescent="0.3">
      <c r="A27" s="21" t="s">
        <v>246</v>
      </c>
      <c r="B27" s="21" t="s">
        <v>241</v>
      </c>
      <c r="C27" s="21" t="s">
        <v>77</v>
      </c>
      <c r="D27" s="21">
        <v>244.15</v>
      </c>
      <c r="E27" s="21">
        <v>2925</v>
      </c>
      <c r="F27" s="21">
        <v>1.7</v>
      </c>
      <c r="G27" s="21">
        <v>5.2</v>
      </c>
      <c r="H27" s="21">
        <v>1.05</v>
      </c>
      <c r="I27" s="21">
        <v>1.1499999999999999</v>
      </c>
      <c r="J27" s="21">
        <v>1.75</v>
      </c>
      <c r="K27" s="21">
        <v>1.1000000000000001</v>
      </c>
      <c r="L27" s="21">
        <v>-2040.3</v>
      </c>
      <c r="M27" s="21">
        <v>-39.859000000000002</v>
      </c>
      <c r="N27" s="21">
        <v>0.498</v>
      </c>
    </row>
    <row r="28" spans="1:14" x14ac:dyDescent="0.3">
      <c r="A28" s="21" t="s">
        <v>171</v>
      </c>
      <c r="B28" s="21" t="s">
        <v>220</v>
      </c>
      <c r="C28" s="21" t="s">
        <v>68</v>
      </c>
      <c r="D28" s="21">
        <v>105</v>
      </c>
      <c r="E28" s="21">
        <v>5800</v>
      </c>
      <c r="F28" s="21">
        <v>1</v>
      </c>
      <c r="G28" s="21">
        <v>1.6</v>
      </c>
      <c r="H28" s="21">
        <v>0.6</v>
      </c>
      <c r="I28" s="21">
        <v>0.75</v>
      </c>
      <c r="J28" s="21">
        <v>1.05</v>
      </c>
      <c r="K28" s="21">
        <v>0.7</v>
      </c>
      <c r="L28" s="21">
        <v>-2392.23</v>
      </c>
      <c r="M28" s="21">
        <v>-39.280999999999999</v>
      </c>
      <c r="N28" s="21">
        <v>-4.72</v>
      </c>
    </row>
    <row r="29" spans="1:14" x14ac:dyDescent="0.3">
      <c r="A29" s="21" t="s">
        <v>94</v>
      </c>
      <c r="B29" s="21" t="s">
        <v>448</v>
      </c>
      <c r="C29" s="21" t="s">
        <v>77</v>
      </c>
      <c r="D29" s="21">
        <v>395</v>
      </c>
      <c r="E29" s="21">
        <v>2025</v>
      </c>
      <c r="F29" s="21">
        <v>1.7</v>
      </c>
      <c r="G29" s="21">
        <v>3.3</v>
      </c>
      <c r="H29" s="21">
        <v>0.75</v>
      </c>
      <c r="I29" s="21">
        <v>1.2</v>
      </c>
      <c r="J29" s="21">
        <v>1.75</v>
      </c>
      <c r="K29" s="21">
        <v>1.1499999999999999</v>
      </c>
      <c r="L29" s="21">
        <v>-1385.72</v>
      </c>
      <c r="M29" s="21">
        <v>-39.103000000000002</v>
      </c>
      <c r="N29" s="21">
        <v>3.9E-2</v>
      </c>
    </row>
    <row r="30" spans="1:14" x14ac:dyDescent="0.3">
      <c r="A30" s="21" t="s">
        <v>164</v>
      </c>
      <c r="B30" s="21" t="s">
        <v>200</v>
      </c>
      <c r="C30" s="21" t="s">
        <v>68</v>
      </c>
      <c r="D30" s="21">
        <v>85</v>
      </c>
      <c r="E30" s="21">
        <v>6400</v>
      </c>
      <c r="F30" s="21">
        <v>1.05</v>
      </c>
      <c r="G30" s="21">
        <v>1.55</v>
      </c>
      <c r="H30" s="21">
        <v>0.7</v>
      </c>
      <c r="I30" s="21">
        <v>0.8</v>
      </c>
      <c r="J30" s="21">
        <v>1.1000000000000001</v>
      </c>
      <c r="K30" s="21">
        <v>0.75</v>
      </c>
      <c r="L30" s="21">
        <v>-2536.39</v>
      </c>
      <c r="M30" s="21">
        <v>-36.027999999999999</v>
      </c>
      <c r="N30" s="21">
        <v>1.44</v>
      </c>
    </row>
    <row r="31" spans="1:14" x14ac:dyDescent="0.3">
      <c r="A31" s="21" t="s">
        <v>181</v>
      </c>
      <c r="B31" s="21" t="s">
        <v>173</v>
      </c>
      <c r="C31" s="21" t="s">
        <v>77</v>
      </c>
      <c r="D31" s="21">
        <v>205</v>
      </c>
      <c r="E31" s="21">
        <v>3000</v>
      </c>
      <c r="F31" s="21">
        <v>1.35</v>
      </c>
      <c r="G31" s="21">
        <v>2.1</v>
      </c>
      <c r="H31" s="21">
        <v>0.8</v>
      </c>
      <c r="I31" s="21">
        <v>1.1000000000000001</v>
      </c>
      <c r="J31" s="21">
        <v>1.4</v>
      </c>
      <c r="K31" s="21">
        <v>1.05</v>
      </c>
      <c r="L31" s="21">
        <v>-1325.64</v>
      </c>
      <c r="M31" s="21">
        <v>-31.562999999999999</v>
      </c>
      <c r="N31" s="21">
        <v>-5.2389999999999999</v>
      </c>
    </row>
    <row r="32" spans="1:14" x14ac:dyDescent="0.3">
      <c r="A32" s="21" t="s">
        <v>131</v>
      </c>
      <c r="B32" s="21" t="s">
        <v>363</v>
      </c>
      <c r="C32" s="21" t="s">
        <v>77</v>
      </c>
      <c r="D32" s="21">
        <v>172</v>
      </c>
      <c r="E32" s="21">
        <v>3150</v>
      </c>
      <c r="F32" s="21">
        <v>1.5</v>
      </c>
      <c r="G32" s="21">
        <v>2.74</v>
      </c>
      <c r="H32" s="21">
        <v>0.83</v>
      </c>
      <c r="I32" s="21">
        <v>1.2</v>
      </c>
      <c r="J32" s="21">
        <v>1.55</v>
      </c>
      <c r="K32" s="21">
        <v>1.1499999999999999</v>
      </c>
      <c r="L32" s="21">
        <v>-1401.39</v>
      </c>
      <c r="M32" s="21">
        <v>-28.702000000000002</v>
      </c>
      <c r="N32" s="21">
        <v>-1.5640000000000001</v>
      </c>
    </row>
    <row r="33" spans="1:14" x14ac:dyDescent="0.3">
      <c r="A33" s="21" t="s">
        <v>164</v>
      </c>
      <c r="B33" s="21" t="s">
        <v>301</v>
      </c>
      <c r="C33" s="21" t="s">
        <v>68</v>
      </c>
      <c r="D33" s="21">
        <v>80</v>
      </c>
      <c r="E33" s="21">
        <v>6400</v>
      </c>
      <c r="F33" s="21">
        <v>1.17</v>
      </c>
      <c r="G33" s="21">
        <v>1.73</v>
      </c>
      <c r="H33" s="21">
        <v>0.96</v>
      </c>
      <c r="I33" s="21">
        <v>0.99</v>
      </c>
      <c r="J33" s="21">
        <v>1.22</v>
      </c>
      <c r="K33" s="21">
        <v>0.94</v>
      </c>
      <c r="L33" s="21">
        <v>-2130.75</v>
      </c>
      <c r="M33" s="21">
        <v>-27.289000000000001</v>
      </c>
      <c r="N33" s="21">
        <v>1.236</v>
      </c>
    </row>
    <row r="34" spans="1:14" x14ac:dyDescent="0.3">
      <c r="A34" s="21" t="s">
        <v>172</v>
      </c>
      <c r="B34" s="21" t="s">
        <v>186</v>
      </c>
      <c r="C34" s="21" t="s">
        <v>68</v>
      </c>
      <c r="D34" s="21">
        <v>120</v>
      </c>
      <c r="E34" s="21">
        <v>4000</v>
      </c>
      <c r="F34" s="21">
        <v>1.65</v>
      </c>
      <c r="G34" s="21">
        <v>1.9</v>
      </c>
      <c r="H34" s="21">
        <v>1.25</v>
      </c>
      <c r="I34" s="21">
        <v>1.4</v>
      </c>
      <c r="J34" s="21">
        <v>1.7</v>
      </c>
      <c r="K34" s="21">
        <v>1.35</v>
      </c>
      <c r="L34" s="21">
        <v>-1704.65</v>
      </c>
      <c r="M34" s="21">
        <v>-25.068000000000001</v>
      </c>
      <c r="N34" s="21">
        <v>1.359</v>
      </c>
    </row>
    <row r="35" spans="1:14" x14ac:dyDescent="0.3">
      <c r="A35" s="21" t="s">
        <v>376</v>
      </c>
      <c r="B35" s="21" t="s">
        <v>458</v>
      </c>
      <c r="C35" s="21" t="s">
        <v>77</v>
      </c>
      <c r="D35" s="21">
        <v>147.5</v>
      </c>
      <c r="E35" s="21">
        <v>4875</v>
      </c>
      <c r="F35" s="21">
        <v>1.45</v>
      </c>
      <c r="G35" s="21">
        <v>2.2400000000000002</v>
      </c>
      <c r="H35" s="21">
        <v>1.24</v>
      </c>
      <c r="I35" s="21">
        <v>1.3</v>
      </c>
      <c r="J35" s="21">
        <v>1.5</v>
      </c>
      <c r="K35" s="21">
        <v>1.25</v>
      </c>
      <c r="L35" s="21">
        <v>-1415.02</v>
      </c>
      <c r="M35" s="21">
        <v>-19.350999999999999</v>
      </c>
      <c r="N35" s="21">
        <v>0.82799999999999996</v>
      </c>
    </row>
    <row r="36" spans="1:14" x14ac:dyDescent="0.3">
      <c r="A36" s="21" t="s">
        <v>454</v>
      </c>
      <c r="B36" s="21" t="s">
        <v>450</v>
      </c>
      <c r="C36" s="21" t="s">
        <v>68</v>
      </c>
      <c r="D36" s="21">
        <v>107.5</v>
      </c>
      <c r="E36" s="21">
        <v>4850</v>
      </c>
      <c r="F36" s="21">
        <v>1.49</v>
      </c>
      <c r="G36" s="21">
        <v>2.2999999999999998</v>
      </c>
      <c r="H36" s="21">
        <v>1.01</v>
      </c>
      <c r="I36" s="21">
        <v>1.41</v>
      </c>
      <c r="J36" s="21">
        <v>1.54</v>
      </c>
      <c r="K36" s="21">
        <v>1.36</v>
      </c>
      <c r="L36" s="21">
        <v>-1217.52</v>
      </c>
      <c r="M36" s="21">
        <v>-16.300999999999998</v>
      </c>
      <c r="N36" s="21">
        <v>0.98099999999999998</v>
      </c>
    </row>
    <row r="37" spans="1:14" x14ac:dyDescent="0.3">
      <c r="A37" s="21" t="s">
        <v>365</v>
      </c>
      <c r="B37" s="21" t="s">
        <v>363</v>
      </c>
      <c r="C37" s="21" t="s">
        <v>68</v>
      </c>
      <c r="D37" s="21">
        <v>77</v>
      </c>
      <c r="E37" s="21">
        <v>9275</v>
      </c>
      <c r="F37" s="21">
        <v>0.8</v>
      </c>
      <c r="G37" s="21">
        <v>1.05</v>
      </c>
      <c r="H37" s="21">
        <v>0.6</v>
      </c>
      <c r="I37" s="21">
        <v>0.81</v>
      </c>
      <c r="J37" s="21">
        <v>0.85</v>
      </c>
      <c r="K37" s="21">
        <v>0.76</v>
      </c>
      <c r="L37" s="21">
        <v>-1197.69</v>
      </c>
      <c r="M37" s="21">
        <v>-15.192</v>
      </c>
      <c r="N37" s="21">
        <v>2.923</v>
      </c>
    </row>
    <row r="38" spans="1:14" x14ac:dyDescent="0.3">
      <c r="A38" s="21" t="s">
        <v>239</v>
      </c>
      <c r="B38" s="21" t="s">
        <v>460</v>
      </c>
      <c r="C38" s="21" t="s">
        <v>68</v>
      </c>
      <c r="D38" s="21">
        <v>86</v>
      </c>
      <c r="E38" s="21">
        <v>5425</v>
      </c>
      <c r="F38" s="21">
        <v>1.21</v>
      </c>
      <c r="G38" s="21">
        <v>1.41</v>
      </c>
      <c r="H38" s="21">
        <v>1.01</v>
      </c>
      <c r="I38" s="21">
        <v>1.23</v>
      </c>
      <c r="J38" s="21">
        <v>1.26</v>
      </c>
      <c r="K38" s="21">
        <v>1.18</v>
      </c>
      <c r="L38" s="21">
        <v>-628.95000000000005</v>
      </c>
      <c r="M38" s="21">
        <v>-9.2010000000000005</v>
      </c>
      <c r="N38" s="21">
        <v>0.39100000000000001</v>
      </c>
    </row>
    <row r="39" spans="1:14" x14ac:dyDescent="0.3">
      <c r="A39" s="21" t="s">
        <v>171</v>
      </c>
      <c r="B39" s="21" t="s">
        <v>169</v>
      </c>
      <c r="C39" s="21" t="s">
        <v>68</v>
      </c>
      <c r="D39" s="21">
        <v>77.5</v>
      </c>
      <c r="E39" s="21">
        <v>5800</v>
      </c>
      <c r="F39" s="21">
        <v>0.9</v>
      </c>
      <c r="G39" s="21">
        <v>1</v>
      </c>
      <c r="H39" s="21">
        <v>0.85</v>
      </c>
      <c r="I39" s="21">
        <v>1</v>
      </c>
      <c r="J39" s="21">
        <v>0.95</v>
      </c>
      <c r="K39" s="21">
        <v>0.95</v>
      </c>
      <c r="L39" s="21">
        <v>-390.88</v>
      </c>
      <c r="M39" s="21">
        <v>-7.0940000000000003</v>
      </c>
      <c r="N39" s="21">
        <v>1.1850000000000001</v>
      </c>
    </row>
    <row r="40" spans="1:14" x14ac:dyDescent="0.3">
      <c r="A40" s="21" t="s">
        <v>239</v>
      </c>
      <c r="B40" s="21" t="s">
        <v>286</v>
      </c>
      <c r="C40" s="21" t="s">
        <v>68</v>
      </c>
      <c r="D40" s="21">
        <v>122.5</v>
      </c>
      <c r="E40" s="21">
        <v>4250</v>
      </c>
      <c r="F40" s="21">
        <v>1.65</v>
      </c>
      <c r="G40" s="21">
        <v>1.9</v>
      </c>
      <c r="H40" s="21">
        <v>1.5</v>
      </c>
      <c r="I40" s="21">
        <v>1.75</v>
      </c>
      <c r="J40" s="21">
        <v>1.7</v>
      </c>
      <c r="K40" s="21">
        <v>1.7</v>
      </c>
      <c r="L40" s="21">
        <v>-208.84</v>
      </c>
      <c r="M40" s="21">
        <v>-2.891</v>
      </c>
      <c r="N40" s="21">
        <v>0.622</v>
      </c>
    </row>
    <row r="41" spans="1:14" x14ac:dyDescent="0.3">
      <c r="A41" s="21" t="s">
        <v>140</v>
      </c>
      <c r="B41" s="21" t="s">
        <v>117</v>
      </c>
      <c r="C41" s="21" t="s">
        <v>68</v>
      </c>
      <c r="D41" s="21">
        <v>92</v>
      </c>
      <c r="E41" s="21">
        <v>8000</v>
      </c>
      <c r="F41" s="21">
        <v>0.95</v>
      </c>
      <c r="G41" s="21">
        <v>1.45</v>
      </c>
      <c r="H41" s="21">
        <v>0.9</v>
      </c>
      <c r="I41" s="21">
        <v>1.05</v>
      </c>
      <c r="J41" s="21">
        <v>1</v>
      </c>
      <c r="K41" s="21">
        <v>1</v>
      </c>
      <c r="L41" s="21">
        <v>-226.16</v>
      </c>
      <c r="M41" s="21">
        <v>-2.827</v>
      </c>
      <c r="N41" s="21">
        <v>2.5880000000000001</v>
      </c>
    </row>
    <row r="42" spans="1:14" x14ac:dyDescent="0.3">
      <c r="A42" s="21" t="s">
        <v>371</v>
      </c>
      <c r="B42" s="21" t="s">
        <v>368</v>
      </c>
      <c r="C42" s="21" t="s">
        <v>68</v>
      </c>
      <c r="D42" s="21">
        <v>310</v>
      </c>
      <c r="E42" s="21">
        <v>3100</v>
      </c>
      <c r="F42" s="21">
        <v>1.75</v>
      </c>
      <c r="G42" s="21">
        <v>2.65</v>
      </c>
      <c r="H42" s="21">
        <v>1.55</v>
      </c>
      <c r="I42" s="21">
        <v>1.9</v>
      </c>
      <c r="J42" s="21">
        <v>1.8</v>
      </c>
      <c r="K42" s="21">
        <v>1.85</v>
      </c>
      <c r="L42" s="21">
        <v>-132.04</v>
      </c>
      <c r="M42" s="21">
        <v>-2.3660000000000001</v>
      </c>
      <c r="N42" s="21">
        <v>1.8129999999999999</v>
      </c>
    </row>
    <row r="43" spans="1:14" x14ac:dyDescent="0.3">
      <c r="A43" s="21" t="s">
        <v>365</v>
      </c>
      <c r="B43" s="21" t="s">
        <v>453</v>
      </c>
      <c r="C43" s="21" t="s">
        <v>68</v>
      </c>
      <c r="D43" s="21">
        <v>79</v>
      </c>
      <c r="E43" s="21">
        <v>9275</v>
      </c>
      <c r="F43" s="21">
        <v>0.56000000000000005</v>
      </c>
      <c r="G43" s="21">
        <v>0.75</v>
      </c>
      <c r="H43" s="21">
        <v>0.33</v>
      </c>
      <c r="I43" s="21">
        <v>0.71</v>
      </c>
      <c r="J43" s="21">
        <v>0.61</v>
      </c>
      <c r="K43" s="21">
        <v>0.66</v>
      </c>
      <c r="L43" s="21">
        <v>166.67</v>
      </c>
      <c r="M43" s="21">
        <v>2.9460000000000002</v>
      </c>
      <c r="N43" s="21">
        <v>1.645</v>
      </c>
    </row>
    <row r="44" spans="1:14" x14ac:dyDescent="0.3">
      <c r="A44" s="21" t="s">
        <v>295</v>
      </c>
      <c r="B44" s="21" t="s">
        <v>342</v>
      </c>
      <c r="C44" s="21" t="s">
        <v>68</v>
      </c>
      <c r="D44" s="21">
        <v>290</v>
      </c>
      <c r="E44" s="21">
        <v>3175</v>
      </c>
      <c r="F44" s="21">
        <v>1.35</v>
      </c>
      <c r="G44" s="21">
        <v>5</v>
      </c>
      <c r="H44" s="21">
        <v>1.05</v>
      </c>
      <c r="I44" s="21">
        <v>1.6</v>
      </c>
      <c r="J44" s="21">
        <v>1.4</v>
      </c>
      <c r="K44" s="21">
        <v>1.55</v>
      </c>
      <c r="L44" s="21">
        <v>136.61000000000001</v>
      </c>
      <c r="M44" s="21">
        <v>3.073</v>
      </c>
      <c r="N44" s="21">
        <v>1.99</v>
      </c>
    </row>
    <row r="45" spans="1:14" x14ac:dyDescent="0.3">
      <c r="A45" s="21" t="s">
        <v>189</v>
      </c>
      <c r="B45" s="21" t="s">
        <v>188</v>
      </c>
      <c r="C45" s="21" t="s">
        <v>68</v>
      </c>
      <c r="D45" s="21">
        <v>177.5</v>
      </c>
      <c r="E45" s="21">
        <v>5000</v>
      </c>
      <c r="F45" s="21">
        <v>1.5</v>
      </c>
      <c r="G45" s="21">
        <v>2.25</v>
      </c>
      <c r="H45" s="21">
        <v>1.1499999999999999</v>
      </c>
      <c r="I45" s="21">
        <v>1.75</v>
      </c>
      <c r="J45" s="21">
        <v>1.55</v>
      </c>
      <c r="K45" s="21">
        <v>1.7</v>
      </c>
      <c r="L45" s="21">
        <v>357.98</v>
      </c>
      <c r="M45" s="21">
        <v>4.6189999999999998</v>
      </c>
      <c r="N45" s="21">
        <v>3.19</v>
      </c>
    </row>
    <row r="46" spans="1:14" x14ac:dyDescent="0.3">
      <c r="A46" s="21" t="s">
        <v>112</v>
      </c>
      <c r="B46" s="21" t="s">
        <v>96</v>
      </c>
      <c r="C46" s="21" t="s">
        <v>77</v>
      </c>
      <c r="D46" s="21">
        <v>128</v>
      </c>
      <c r="E46" s="21">
        <v>5500</v>
      </c>
      <c r="F46" s="21">
        <v>1.35</v>
      </c>
      <c r="G46" s="21">
        <v>3.05</v>
      </c>
      <c r="H46" s="21">
        <v>0.8</v>
      </c>
      <c r="I46" s="21">
        <v>1.6</v>
      </c>
      <c r="J46" s="21">
        <v>1.4</v>
      </c>
      <c r="K46" s="21">
        <v>1.55</v>
      </c>
      <c r="L46" s="21">
        <v>595.70000000000005</v>
      </c>
      <c r="M46" s="21">
        <v>7.7359999999999998</v>
      </c>
      <c r="N46" s="21">
        <v>1.78</v>
      </c>
    </row>
    <row r="47" spans="1:14" x14ac:dyDescent="0.3">
      <c r="A47" s="21" t="s">
        <v>100</v>
      </c>
      <c r="B47" s="21" t="s">
        <v>453</v>
      </c>
      <c r="C47" s="21" t="s">
        <v>68</v>
      </c>
      <c r="D47" s="21">
        <v>130</v>
      </c>
      <c r="E47" s="21">
        <v>5200</v>
      </c>
      <c r="F47" s="21">
        <v>1.18</v>
      </c>
      <c r="G47" s="21">
        <v>1.83</v>
      </c>
      <c r="H47" s="21">
        <v>1.1399999999999999</v>
      </c>
      <c r="I47" s="21">
        <v>1.5</v>
      </c>
      <c r="J47" s="21">
        <v>1.23</v>
      </c>
      <c r="K47" s="21">
        <v>1.45</v>
      </c>
      <c r="L47" s="21">
        <v>800.72</v>
      </c>
      <c r="M47" s="21">
        <v>12.519</v>
      </c>
      <c r="N47" s="21">
        <v>4.9169999999999998</v>
      </c>
    </row>
    <row r="48" spans="1:14" x14ac:dyDescent="0.3">
      <c r="A48" s="21" t="s">
        <v>243</v>
      </c>
      <c r="B48" s="21" t="s">
        <v>312</v>
      </c>
      <c r="C48" s="21" t="s">
        <v>68</v>
      </c>
      <c r="D48" s="21">
        <v>135</v>
      </c>
      <c r="E48" s="21">
        <v>3750</v>
      </c>
      <c r="F48" s="21">
        <v>1.9</v>
      </c>
      <c r="G48" s="21">
        <v>2.6</v>
      </c>
      <c r="H48" s="21">
        <v>1.45</v>
      </c>
      <c r="I48" s="21">
        <v>2.5</v>
      </c>
      <c r="J48" s="21">
        <v>1.95</v>
      </c>
      <c r="K48" s="21">
        <v>2.4500000000000002</v>
      </c>
      <c r="L48" s="21">
        <v>1311.86</v>
      </c>
      <c r="M48" s="21">
        <v>17.940000000000001</v>
      </c>
      <c r="N48" s="21">
        <v>4.7469999999999999</v>
      </c>
    </row>
    <row r="49" spans="1:14" x14ac:dyDescent="0.3">
      <c r="A49" s="21" t="s">
        <v>110</v>
      </c>
      <c r="B49" s="21" t="s">
        <v>96</v>
      </c>
      <c r="C49" s="21" t="s">
        <v>68</v>
      </c>
      <c r="D49" s="21">
        <v>92</v>
      </c>
      <c r="E49" s="21">
        <v>6750</v>
      </c>
      <c r="F49" s="21">
        <v>0.75</v>
      </c>
      <c r="G49" s="21">
        <v>2.2000000000000002</v>
      </c>
      <c r="H49" s="21">
        <v>0.35</v>
      </c>
      <c r="I49" s="21">
        <v>1.1000000000000001</v>
      </c>
      <c r="J49" s="21">
        <v>0.8</v>
      </c>
      <c r="K49" s="21">
        <v>1.05</v>
      </c>
      <c r="L49" s="21">
        <v>1499.38</v>
      </c>
      <c r="M49" s="21">
        <v>27.765999999999998</v>
      </c>
      <c r="N49" s="21">
        <v>2.0059999999999998</v>
      </c>
    </row>
    <row r="50" spans="1:14" x14ac:dyDescent="0.3">
      <c r="A50" s="21" t="s">
        <v>110</v>
      </c>
      <c r="B50" s="21" t="s">
        <v>438</v>
      </c>
      <c r="C50" s="21" t="s">
        <v>68</v>
      </c>
      <c r="D50" s="21">
        <v>117.5</v>
      </c>
      <c r="E50" s="21">
        <v>6750</v>
      </c>
      <c r="F50" s="21">
        <v>0.85</v>
      </c>
      <c r="G50" s="21">
        <v>1.42</v>
      </c>
      <c r="H50" s="21">
        <v>0.85</v>
      </c>
      <c r="I50" s="21">
        <v>1.33</v>
      </c>
      <c r="J50" s="21">
        <v>0.9</v>
      </c>
      <c r="K50" s="21">
        <v>1.28</v>
      </c>
      <c r="L50" s="21">
        <v>2351.3200000000002</v>
      </c>
      <c r="M50" s="21">
        <v>38.704999999999998</v>
      </c>
      <c r="N50" s="21">
        <v>2.3039999999999998</v>
      </c>
    </row>
    <row r="51" spans="1:14" x14ac:dyDescent="0.3">
      <c r="A51" s="21" t="s">
        <v>174</v>
      </c>
      <c r="B51" s="21" t="s">
        <v>429</v>
      </c>
      <c r="C51" s="21" t="s">
        <v>68</v>
      </c>
      <c r="D51" s="21">
        <v>145</v>
      </c>
      <c r="E51" s="21">
        <v>5000</v>
      </c>
      <c r="F51" s="21">
        <v>1.52</v>
      </c>
      <c r="G51" s="21">
        <v>2.42</v>
      </c>
      <c r="H51" s="21">
        <v>1.34</v>
      </c>
      <c r="I51" s="21">
        <v>2.33</v>
      </c>
      <c r="J51" s="21">
        <v>1.57</v>
      </c>
      <c r="K51" s="21">
        <v>2.2799999999999998</v>
      </c>
      <c r="L51" s="21">
        <v>3092.37</v>
      </c>
      <c r="M51" s="21">
        <v>39.393000000000001</v>
      </c>
      <c r="N51" s="21">
        <v>6.1689999999999996</v>
      </c>
    </row>
    <row r="52" spans="1:14" x14ac:dyDescent="0.3">
      <c r="A52" s="21" t="s">
        <v>376</v>
      </c>
      <c r="B52" s="21" t="s">
        <v>367</v>
      </c>
      <c r="C52" s="21" t="s">
        <v>68</v>
      </c>
      <c r="D52" s="21">
        <v>169</v>
      </c>
      <c r="E52" s="21">
        <v>4875</v>
      </c>
      <c r="F52" s="21">
        <v>1.1000000000000001</v>
      </c>
      <c r="G52" s="21">
        <v>2.3199999999999998</v>
      </c>
      <c r="H52" s="21">
        <v>1.03</v>
      </c>
      <c r="I52" s="21">
        <v>1.74</v>
      </c>
      <c r="J52" s="21">
        <v>1.1499999999999999</v>
      </c>
      <c r="K52" s="21">
        <v>1.69</v>
      </c>
      <c r="L52" s="21">
        <v>2428.4899999999998</v>
      </c>
      <c r="M52" s="21">
        <v>43.317999999999998</v>
      </c>
      <c r="N52" s="21">
        <v>1.0109999999999999</v>
      </c>
    </row>
    <row r="53" spans="1:14" x14ac:dyDescent="0.3">
      <c r="A53" s="21" t="s">
        <v>223</v>
      </c>
      <c r="B53" s="21" t="s">
        <v>218</v>
      </c>
      <c r="C53" s="21" t="s">
        <v>68</v>
      </c>
      <c r="D53" s="21">
        <v>165</v>
      </c>
      <c r="E53" s="21">
        <v>3225</v>
      </c>
      <c r="F53" s="21">
        <v>1.5</v>
      </c>
      <c r="G53" s="21">
        <v>2.85</v>
      </c>
      <c r="H53" s="21">
        <v>1.5</v>
      </c>
      <c r="I53" s="21">
        <v>2.65</v>
      </c>
      <c r="J53" s="21">
        <v>1.55</v>
      </c>
      <c r="K53" s="21">
        <v>2.6</v>
      </c>
      <c r="L53" s="21">
        <v>2919.18</v>
      </c>
      <c r="M53" s="21">
        <v>58.398000000000003</v>
      </c>
      <c r="N53" s="21">
        <v>6.52</v>
      </c>
    </row>
    <row r="54" spans="1:14" x14ac:dyDescent="0.3">
      <c r="A54" s="21" t="s">
        <v>172</v>
      </c>
      <c r="B54" s="21" t="s">
        <v>169</v>
      </c>
      <c r="C54" s="21" t="s">
        <v>77</v>
      </c>
      <c r="D54" s="21">
        <v>107.5</v>
      </c>
      <c r="E54" s="21">
        <v>4000</v>
      </c>
      <c r="F54" s="21">
        <v>1.4</v>
      </c>
      <c r="G54" s="21">
        <v>3.15</v>
      </c>
      <c r="H54" s="21">
        <v>1.1000000000000001</v>
      </c>
      <c r="I54" s="21">
        <v>2.75</v>
      </c>
      <c r="J54" s="21">
        <v>1.45</v>
      </c>
      <c r="K54" s="21">
        <v>2.7</v>
      </c>
      <c r="L54" s="21">
        <v>4597.45</v>
      </c>
      <c r="M54" s="21">
        <v>79.266000000000005</v>
      </c>
      <c r="N54" s="21">
        <v>5.6440000000000001</v>
      </c>
    </row>
    <row r="55" spans="1:14" x14ac:dyDescent="0.3">
      <c r="A55" s="21" t="s">
        <v>168</v>
      </c>
      <c r="B55" s="21" t="s">
        <v>167</v>
      </c>
      <c r="C55" s="21" t="s">
        <v>68</v>
      </c>
      <c r="D55" s="21">
        <v>170</v>
      </c>
      <c r="E55" s="21">
        <v>3750</v>
      </c>
      <c r="F55" s="21">
        <v>1.05</v>
      </c>
      <c r="G55" s="21">
        <v>3.15</v>
      </c>
      <c r="H55" s="21">
        <v>0.75</v>
      </c>
      <c r="I55" s="21">
        <v>2.15</v>
      </c>
      <c r="J55" s="21">
        <v>1.1000000000000001</v>
      </c>
      <c r="K55" s="21">
        <v>2.1</v>
      </c>
      <c r="L55" s="21">
        <v>3445.82</v>
      </c>
      <c r="M55" s="21">
        <v>83.534999999999997</v>
      </c>
      <c r="N55" s="21">
        <v>6.2069999999999999</v>
      </c>
    </row>
    <row r="56" spans="1:14" x14ac:dyDescent="0.3">
      <c r="A56" s="21" t="s">
        <v>348</v>
      </c>
      <c r="B56" s="21" t="s">
        <v>408</v>
      </c>
      <c r="C56" s="21" t="s">
        <v>68</v>
      </c>
      <c r="D56" s="21">
        <v>342.5</v>
      </c>
      <c r="E56" s="21">
        <v>2625</v>
      </c>
      <c r="F56" s="21">
        <v>1.65</v>
      </c>
      <c r="G56" s="21">
        <v>4</v>
      </c>
      <c r="H56" s="21">
        <v>1.65</v>
      </c>
      <c r="I56" s="21">
        <v>3.45</v>
      </c>
      <c r="J56" s="21">
        <v>1.7</v>
      </c>
      <c r="K56" s="21">
        <v>3.4</v>
      </c>
      <c r="L56" s="21">
        <v>4128.3999999999996</v>
      </c>
      <c r="M56" s="21">
        <v>92.513000000000005</v>
      </c>
      <c r="N56" s="21">
        <v>1.3029999999999999</v>
      </c>
    </row>
    <row r="57" spans="1:14" x14ac:dyDescent="0.3">
      <c r="A57" s="21" t="s">
        <v>243</v>
      </c>
      <c r="B57" s="21" t="s">
        <v>398</v>
      </c>
      <c r="C57" s="21" t="s">
        <v>68</v>
      </c>
      <c r="D57" s="21">
        <v>126</v>
      </c>
      <c r="E57" s="21">
        <v>3750</v>
      </c>
      <c r="F57" s="21">
        <v>1.8</v>
      </c>
      <c r="G57" s="21">
        <v>4.43</v>
      </c>
      <c r="H57" s="21">
        <v>1.23</v>
      </c>
      <c r="I57" s="21">
        <v>3.83</v>
      </c>
      <c r="J57" s="21">
        <v>1.85</v>
      </c>
      <c r="K57" s="21">
        <v>3.78</v>
      </c>
      <c r="L57" s="21">
        <v>6526.58</v>
      </c>
      <c r="M57" s="21">
        <v>94.076999999999998</v>
      </c>
      <c r="N57" s="21">
        <v>4.0259999999999998</v>
      </c>
    </row>
    <row r="58" spans="1:14" x14ac:dyDescent="0.3">
      <c r="A58" s="21" t="s">
        <v>112</v>
      </c>
      <c r="B58" s="21" t="s">
        <v>328</v>
      </c>
      <c r="C58" s="21" t="s">
        <v>68</v>
      </c>
      <c r="D58" s="21">
        <v>175</v>
      </c>
      <c r="E58" s="21">
        <v>5500</v>
      </c>
      <c r="F58" s="21">
        <v>1.1499999999999999</v>
      </c>
      <c r="G58" s="21">
        <v>3.57</v>
      </c>
      <c r="H58" s="21">
        <v>0.7</v>
      </c>
      <c r="I58" s="21">
        <v>2.58</v>
      </c>
      <c r="J58" s="21">
        <v>1.2</v>
      </c>
      <c r="K58" s="21">
        <v>2.5299999999999998</v>
      </c>
      <c r="L58" s="21">
        <v>7032.97</v>
      </c>
      <c r="M58" s="21">
        <v>106.56</v>
      </c>
      <c r="N58" s="21">
        <v>3.9950000000000001</v>
      </c>
    </row>
    <row r="59" spans="1:14" x14ac:dyDescent="0.3">
      <c r="A59" s="21" t="s">
        <v>131</v>
      </c>
      <c r="B59" s="21" t="s">
        <v>458</v>
      </c>
      <c r="C59" s="21" t="s">
        <v>68</v>
      </c>
      <c r="D59" s="21">
        <v>172.5</v>
      </c>
      <c r="E59" s="21">
        <v>3550</v>
      </c>
      <c r="F59" s="21">
        <v>1.66</v>
      </c>
      <c r="G59" s="21">
        <v>4.66</v>
      </c>
      <c r="H59" s="21">
        <v>1.65</v>
      </c>
      <c r="I59" s="21">
        <v>3.8</v>
      </c>
      <c r="J59" s="21">
        <v>1.71</v>
      </c>
      <c r="K59" s="21">
        <v>3.75</v>
      </c>
      <c r="L59" s="21">
        <v>6972.67</v>
      </c>
      <c r="M59" s="21">
        <v>114.86199999999999</v>
      </c>
      <c r="N59" s="21">
        <v>4.2830000000000004</v>
      </c>
    </row>
    <row r="60" spans="1:14" x14ac:dyDescent="0.3">
      <c r="A60" s="21" t="s">
        <v>189</v>
      </c>
      <c r="B60" s="21" t="s">
        <v>252</v>
      </c>
      <c r="C60" s="21" t="s">
        <v>77</v>
      </c>
      <c r="D60" s="21">
        <v>200</v>
      </c>
      <c r="E60" s="21">
        <v>5000</v>
      </c>
      <c r="F60" s="21">
        <v>1.35</v>
      </c>
      <c r="G60" s="21">
        <v>3.5</v>
      </c>
      <c r="H60" s="21">
        <v>0.5</v>
      </c>
      <c r="I60" s="21">
        <v>3.25</v>
      </c>
      <c r="J60" s="21">
        <v>1.4</v>
      </c>
      <c r="K60" s="21">
        <v>3.2</v>
      </c>
      <c r="L60" s="21">
        <v>8458.91</v>
      </c>
      <c r="M60" s="21">
        <v>120.842</v>
      </c>
      <c r="N60" s="21">
        <v>5.7370000000000001</v>
      </c>
    </row>
    <row r="61" spans="1:14" x14ac:dyDescent="0.3">
      <c r="A61" s="21" t="s">
        <v>132</v>
      </c>
      <c r="B61" s="21" t="s">
        <v>254</v>
      </c>
      <c r="C61" s="21" t="s">
        <v>68</v>
      </c>
      <c r="D61" s="21">
        <v>560</v>
      </c>
      <c r="E61" s="21">
        <v>1175</v>
      </c>
      <c r="F61" s="21">
        <v>1.2</v>
      </c>
      <c r="G61" s="21">
        <v>50.2</v>
      </c>
      <c r="H61" s="21">
        <v>1.2</v>
      </c>
      <c r="I61" s="21">
        <v>43.15</v>
      </c>
      <c r="J61" s="21">
        <v>1.25</v>
      </c>
      <c r="K61" s="21">
        <v>43.1</v>
      </c>
      <c r="L61" s="21">
        <v>47986.43</v>
      </c>
      <c r="M61" s="21">
        <v>3267.1610000000001</v>
      </c>
      <c r="N61" s="21">
        <v>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Trades</vt:lpstr>
      <vt:lpstr>Added under Rs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 win</cp:lastModifiedBy>
  <dcterms:created xsi:type="dcterms:W3CDTF">2026-10-19T05:16:16Z</dcterms:created>
  <dcterms:modified xsi:type="dcterms:W3CDTF">2026-10-19T05:16:59Z</dcterms:modified>
</cp:coreProperties>
</file>