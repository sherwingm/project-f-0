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acktest trades" sheetId="2" state="visible" r:id="rId2"/>
    <sheet name="Live paper fade" sheetId="3" state="visible" r:id="rId3"/>
    <sheet name="Rule and notes" sheetId="4" state="visible" r:id="rId4"/>
  </sheets>
  <definedNames>
    <definedName name="_xlnm._FilterDatabase" localSheetId="1" hidden="1">'Backtest trades'!$A$1:$Z$435</definedName>
  </definedNames>
  <calcPr calcId="124519" fullCalcOnLoad="1"/>
</workbook>
</file>

<file path=xl/styles.xml><?xml version="1.0" encoding="utf-8"?>
<styleSheet xmlns="http://schemas.openxmlformats.org/spreadsheetml/2006/main">
  <numFmts count="5">
    <numFmt numFmtId="164" formatCode="0.0"/>
    <numFmt numFmtId="165" formatCode="#,##0;[Red]-#,##0"/>
    <numFmt numFmtId="166" formatCode="0.0;[Red]-0.0"/>
    <numFmt numFmtId="167" formatCode="0.00;[Red]-0.00"/>
    <numFmt numFmtId="168" formatCode="0.0%"/>
  </numFmts>
  <fonts count="6">
    <font>
      <name val="Calibri"/>
      <family val="2"/>
      <color theme="1"/>
      <sz val="11"/>
      <scheme val="minor"/>
    </font>
    <font>
      <name val="Arial"/>
      <b val="1"/>
      <color rgb="00FFFFFF"/>
      <sz val="10"/>
    </font>
    <font>
      <name val="Arial"/>
      <sz val="10"/>
    </font>
    <font>
      <name val="Arial"/>
      <b val="1"/>
      <sz val="10"/>
    </font>
    <font>
      <name val="Arial"/>
      <b val="1"/>
      <sz val="14"/>
    </font>
    <font>
      <name val="Arial"/>
      <i val="1"/>
      <color rgb="00595959"/>
      <sz val="9"/>
    </font>
  </fonts>
  <fills count="9">
    <fill>
      <patternFill/>
    </fill>
    <fill>
      <patternFill patternType="gray125"/>
    </fill>
    <fill>
      <patternFill patternType="solid">
        <fgColor rgb="001F3864"/>
      </patternFill>
    </fill>
    <fill>
      <patternFill patternType="solid">
        <fgColor rgb="005A5A5A"/>
      </patternFill>
    </fill>
    <fill>
      <patternFill patternType="solid">
        <fgColor rgb="001F6F78"/>
      </patternFill>
    </fill>
    <fill>
      <patternFill patternType="solid">
        <fgColor rgb="002E6B3A"/>
      </patternFill>
    </fill>
    <fill>
      <patternFill patternType="solid">
        <fgColor rgb="009C0006"/>
      </patternFill>
    </fill>
    <fill>
      <patternFill patternType="solid">
        <fgColor rgb="00E2F0E4"/>
      </patternFill>
    </fill>
    <fill>
      <patternFill patternType="solid">
        <fgColor rgb="00F8E3E3"/>
      </patternFill>
    </fill>
  </fills>
  <borders count="2">
    <border>
      <left/>
      <right/>
      <top/>
      <bottom/>
      <diagonal/>
    </border>
    <border>
      <bottom style="thin">
        <color rgb="00BFBFBF"/>
      </bottom>
    </border>
  </borders>
  <cellStyleXfs count="1">
    <xf numFmtId="0" fontId="0" fillId="0" borderId="0"/>
  </cellStyleXfs>
  <cellXfs count="31">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1" fillId="5" borderId="0" applyAlignment="1" pivotButton="0" quotePrefix="0" xfId="0">
      <alignment horizontal="center" vertical="center" wrapText="1"/>
    </xf>
    <xf numFmtId="0" fontId="1" fillId="6" borderId="0" applyAlignment="1" pivotButton="0" quotePrefix="0" xfId="0">
      <alignment horizontal="center" vertical="center" wrapText="1"/>
    </xf>
    <xf numFmtId="0" fontId="1" fillId="3" borderId="0" applyAlignment="1" pivotButton="0" quotePrefix="0" xfId="0">
      <alignment horizontal="center" vertical="center" wrapText="1"/>
    </xf>
    <xf numFmtId="0" fontId="3" fillId="0" borderId="1" pivotButton="0" quotePrefix="0" xfId="0"/>
    <xf numFmtId="3" fontId="2" fillId="0" borderId="1" pivotButton="0" quotePrefix="0" xfId="0"/>
    <xf numFmtId="168" fontId="2" fillId="0" borderId="1" pivotButton="0" quotePrefix="0" xfId="0"/>
    <xf numFmtId="166" fontId="2" fillId="0" borderId="1" pivotButton="0" quotePrefix="0" xfId="0"/>
    <xf numFmtId="165" fontId="2" fillId="0" borderId="1" pivotButton="0" quotePrefix="0" xfId="0"/>
    <xf numFmtId="167" fontId="2" fillId="0" borderId="1" pivotButton="0" quotePrefix="0" xfId="0"/>
    <xf numFmtId="0" fontId="3" fillId="0" borderId="0" pivotButton="0" quotePrefix="0" xfId="0"/>
    <xf numFmtId="0" fontId="2" fillId="0" borderId="1" pivotButton="0" quotePrefix="0" xfId="0"/>
    <xf numFmtId="0" fontId="2" fillId="0" borderId="0" pivotButton="0" quotePrefix="0" xfId="0"/>
    <xf numFmtId="168" fontId="2" fillId="0" borderId="0" pivotButton="0" quotePrefix="0" xfId="0"/>
    <xf numFmtId="166" fontId="2" fillId="0" borderId="0" pivotButton="0" quotePrefix="0" xfId="0"/>
    <xf numFmtId="165" fontId="2" fillId="0" borderId="0" pivotButton="0" quotePrefix="0" xfId="0"/>
    <xf numFmtId="3" fontId="2" fillId="0" borderId="0" pivotButton="0" quotePrefix="0" xfId="0"/>
    <xf numFmtId="0" fontId="1" fillId="4" borderId="0" applyAlignment="1" pivotButton="0" quotePrefix="0" xfId="0">
      <alignment horizontal="center" vertical="center" wrapText="1"/>
    </xf>
    <xf numFmtId="4" fontId="2" fillId="0" borderId="1" pivotButton="0" quotePrefix="0" xfId="0"/>
    <xf numFmtId="164" fontId="2" fillId="0" borderId="1" pivotButton="0" quotePrefix="0" xfId="0"/>
    <xf numFmtId="2" fontId="2" fillId="0" borderId="1" pivotButton="0" quotePrefix="0" xfId="0"/>
    <xf numFmtId="165" fontId="2" fillId="7" borderId="1" pivotButton="0" quotePrefix="0" xfId="0"/>
    <xf numFmtId="166" fontId="2" fillId="7" borderId="1" pivotButton="0" quotePrefix="0" xfId="0"/>
    <xf numFmtId="165" fontId="2" fillId="8" borderId="1" pivotButton="0" quotePrefix="0" xfId="0"/>
    <xf numFmtId="166" fontId="2" fillId="8" borderId="1" pivotButton="0" quotePrefix="0" xfId="0"/>
    <xf numFmtId="165" fontId="3"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4"/>
  <sheetViews>
    <sheetView workbookViewId="0">
      <selection activeCell="A1" sqref="A1"/>
    </sheetView>
  </sheetViews>
  <sheetFormatPr baseColWidth="8" defaultRowHeight="15"/>
  <cols>
    <col width="26" customWidth="1" min="1" max="1"/>
    <col width="9" customWidth="1" min="2" max="2"/>
    <col width="13" customWidth="1" min="3" max="3"/>
    <col width="14" customWidth="1" min="4" max="4"/>
    <col width="15" customWidth="1" min="5" max="5"/>
    <col width="13" customWidth="1" min="6" max="6"/>
    <col width="13" customWidth="1" min="7" max="7"/>
    <col width="13" customWidth="1" min="8" max="8"/>
    <col width="13" customWidth="1" min="9" max="9"/>
    <col width="13" customWidth="1" min="10" max="10"/>
    <col width="13" customWidth="1" min="11" max="11"/>
    <col width="18" customWidth="1" min="12" max="12"/>
  </cols>
  <sheetData>
    <row r="1">
      <c r="A1" s="1" t="inlineStr">
        <is>
          <t>S1 v10 fade, same-day exit: trade sheet</t>
        </is>
      </c>
    </row>
    <row r="2">
      <c r="A2" s="2" t="inlineStr">
        <is>
          <t>Results-day fade: strong numbers -&gt; a bought put, weak numbers -&gt; a bought call, 1 lot Rs 600-8,000, bought on day 0 and sold at the close the same day. Backtest 2025-01-01 to 2026-09-25, entry at the option's day-0 open + 1 tick.</t>
        </is>
      </c>
    </row>
    <row r="3">
      <c r="A3" s="2" t="inlineStr">
        <is>
          <t>Descriptive only, not out of sample. Every figure below is a formula on the 'Backtest trades' sheet. Peak = the option's day high against the entry; dip = its day low against the entry (hindsight, not exits).</t>
        </is>
      </c>
    </row>
    <row r="5" ht="48" customHeight="1">
      <c r="A5" s="3" t="inlineStr">
        <is>
          <t>Group</t>
        </is>
      </c>
      <c r="B5" s="3" t="inlineStr">
        <is>
          <t>Trades</t>
        </is>
      </c>
      <c r="C5" s="3" t="inlineStr">
        <is>
          <t>Hit rate (net &gt; 0)</t>
        </is>
      </c>
      <c r="D5" s="3" t="inlineStr">
        <is>
          <t>Mean net % of premium</t>
        </is>
      </c>
      <c r="E5" s="3" t="inlineStr">
        <is>
          <t>Total net P&amp;L Rs</t>
        </is>
      </c>
      <c r="F5" s="3" t="inlineStr">
        <is>
          <t>Avg premium Rs</t>
        </is>
      </c>
      <c r="G5" s="4" t="inlineStr">
        <is>
          <t>Avg MAX PEAK %</t>
        </is>
      </c>
      <c r="H5" s="5" t="inlineStr">
        <is>
          <t>Avg MAX DIP %</t>
        </is>
      </c>
      <c r="I5" s="4" t="inlineStr">
        <is>
          <t>Peak reached +30 %</t>
        </is>
      </c>
      <c r="J5" s="4" t="inlineStr">
        <is>
          <t>Peak reached +50 %</t>
        </is>
      </c>
      <c r="K5" s="5" t="inlineStr">
        <is>
          <t>Dip reached -20 %</t>
        </is>
      </c>
      <c r="L5" s="6" t="inlineStr">
        <is>
          <t>Stock open to close, signed % (mean)</t>
        </is>
      </c>
    </row>
    <row r="6">
      <c r="A6" s="7" t="inlineStr">
        <is>
          <t>All trades</t>
        </is>
      </c>
      <c r="B6" s="8">
        <f>COUNT('Backtest trades'!$W$2:$W$435)</f>
        <v/>
      </c>
      <c r="C6" s="9">
        <f>COUNTIF('Backtest trades'!$W$2:$W$435,"&gt;0")/B6</f>
        <v/>
      </c>
      <c r="D6" s="10">
        <f>AVERAGE('Backtest trades'!$X$2:$X$435)</f>
        <v/>
      </c>
      <c r="E6" s="11">
        <f>SUM('Backtest trades'!$W$2:$W$435)</f>
        <v/>
      </c>
      <c r="F6" s="8">
        <f>AVERAGE('Backtest trades'!$Q$2:$Q$435)</f>
        <v/>
      </c>
      <c r="G6" s="10">
        <f>AVERAGE('Backtest trades'!$S$2:$S$435)</f>
        <v/>
      </c>
      <c r="H6" s="10">
        <f>AVERAGE('Backtest trades'!$U$2:$U$435)</f>
        <v/>
      </c>
      <c r="I6" s="9">
        <f>COUNTIF('Backtest trades'!$S$2:$S$435,"&gt;=30")/B6</f>
        <v/>
      </c>
      <c r="J6" s="9">
        <f>COUNTIF('Backtest trades'!$S$2:$S$435,"&gt;=50")/B6</f>
        <v/>
      </c>
      <c r="K6" s="9">
        <f>COUNTIF('Backtest trades'!$U$2:$U$435,"&lt;=-20")/B6</f>
        <v/>
      </c>
      <c r="L6" s="12">
        <f>AVERAGE('Backtest trades'!$Y$2:$Y$435)</f>
        <v/>
      </c>
    </row>
    <row r="7">
      <c r="A7" s="7" t="inlineStr">
        <is>
          <t>Puts (strong numbers)</t>
        </is>
      </c>
      <c r="B7" s="8">
        <f>COUNTIF('Backtest trades'!$C$2:$C$435,"PE")</f>
        <v/>
      </c>
      <c r="C7" s="9">
        <f>COUNTIFS('Backtest trades'!$C$2:$C$435,"PE",'Backtest trades'!$W$2:$W$435,"&gt;0")/B7</f>
        <v/>
      </c>
      <c r="D7" s="10">
        <f>AVERAGEIFS('Backtest trades'!$X$2:$X$435,'Backtest trades'!$C$2:$C$435,"PE")</f>
        <v/>
      </c>
      <c r="E7" s="11">
        <f>SUMIFS('Backtest trades'!$W$2:$W$435,'Backtest trades'!$C$2:$C$435,"PE")</f>
        <v/>
      </c>
      <c r="F7" s="8">
        <f>AVERAGEIFS('Backtest trades'!$Q$2:$Q$435,'Backtest trades'!$C$2:$C$435,"PE")</f>
        <v/>
      </c>
      <c r="G7" s="10">
        <f>AVERAGEIFS('Backtest trades'!$S$2:$S$435,'Backtest trades'!$C$2:$C$435,"PE")</f>
        <v/>
      </c>
      <c r="H7" s="10">
        <f>AVERAGEIFS('Backtest trades'!$U$2:$U$435,'Backtest trades'!$C$2:$C$435,"PE")</f>
        <v/>
      </c>
      <c r="I7" s="9">
        <f>COUNTIFS('Backtest trades'!$C$2:$C$435,"PE",'Backtest trades'!$S$2:$S$435,"&gt;=30")/B7</f>
        <v/>
      </c>
      <c r="J7" s="9">
        <f>COUNTIFS('Backtest trades'!$C$2:$C$435,"PE",'Backtest trades'!$S$2:$S$435,"&gt;=50")/B7</f>
        <v/>
      </c>
      <c r="K7" s="9">
        <f>COUNTIFS('Backtest trades'!$C$2:$C$435,"PE",'Backtest trades'!$U$2:$U$435,"&lt;=-20")/B7</f>
        <v/>
      </c>
      <c r="L7" s="12">
        <f>AVERAGEIFS('Backtest trades'!$Y$2:$Y$435,'Backtest trades'!$C$2:$C$435,"PE")</f>
        <v/>
      </c>
    </row>
    <row r="8">
      <c r="A8" s="7" t="inlineStr">
        <is>
          <t>Calls (weak numbers)</t>
        </is>
      </c>
      <c r="B8" s="8">
        <f>COUNTIF('Backtest trades'!$C$2:$C$435,"CE")</f>
        <v/>
      </c>
      <c r="C8" s="9">
        <f>COUNTIFS('Backtest trades'!$C$2:$C$435,"CE",'Backtest trades'!$W$2:$W$435,"&gt;0")/B8</f>
        <v/>
      </c>
      <c r="D8" s="10">
        <f>AVERAGEIFS('Backtest trades'!$X$2:$X$435,'Backtest trades'!$C$2:$C$435,"CE")</f>
        <v/>
      </c>
      <c r="E8" s="11">
        <f>SUMIFS('Backtest trades'!$W$2:$W$435,'Backtest trades'!$C$2:$C$435,"CE")</f>
        <v/>
      </c>
      <c r="F8" s="8">
        <f>AVERAGEIFS('Backtest trades'!$Q$2:$Q$435,'Backtest trades'!$C$2:$C$435,"CE")</f>
        <v/>
      </c>
      <c r="G8" s="10">
        <f>AVERAGEIFS('Backtest trades'!$S$2:$S$435,'Backtest trades'!$C$2:$C$435,"CE")</f>
        <v/>
      </c>
      <c r="H8" s="10">
        <f>AVERAGEIFS('Backtest trades'!$U$2:$U$435,'Backtest trades'!$C$2:$C$435,"CE")</f>
        <v/>
      </c>
      <c r="I8" s="9">
        <f>COUNTIFS('Backtest trades'!$C$2:$C$435,"CE",'Backtest trades'!$S$2:$S$435,"&gt;=30")/B8</f>
        <v/>
      </c>
      <c r="J8" s="9">
        <f>COUNTIFS('Backtest trades'!$C$2:$C$435,"CE",'Backtest trades'!$S$2:$S$435,"&gt;=50")/B8</f>
        <v/>
      </c>
      <c r="K8" s="9">
        <f>COUNTIFS('Backtest trades'!$C$2:$C$435,"CE",'Backtest trades'!$U$2:$U$435,"&lt;=-20")/B8</f>
        <v/>
      </c>
      <c r="L8" s="12">
        <f>AVERAGEIFS('Backtest trades'!$Y$2:$Y$435,'Backtest trades'!$C$2:$C$435,"CE")</f>
        <v/>
      </c>
    </row>
    <row r="10">
      <c r="A10" s="13" t="inlineStr">
        <is>
          <t>By period (day 0)</t>
        </is>
      </c>
    </row>
    <row r="11" ht="40" customHeight="1">
      <c r="A11" s="3" t="inlineStr">
        <is>
          <t>Period</t>
        </is>
      </c>
      <c r="B11" s="3" t="inlineStr">
        <is>
          <t>Trades</t>
        </is>
      </c>
      <c r="C11" s="3" t="inlineStr">
        <is>
          <t>Hit rate (net &gt; 0)</t>
        </is>
      </c>
      <c r="D11" s="3" t="inlineStr">
        <is>
          <t>Mean net % of premium</t>
        </is>
      </c>
      <c r="E11" s="3" t="inlineStr">
        <is>
          <t>Total net P&amp;L Rs</t>
        </is>
      </c>
      <c r="F11" s="3" t="inlineStr">
        <is>
          <t>Avg premium Rs</t>
        </is>
      </c>
      <c r="G11" s="4" t="inlineStr">
        <is>
          <t>Avg MAX PEAK %</t>
        </is>
      </c>
      <c r="H11" s="5" t="inlineStr">
        <is>
          <t>Avg MAX DIP %</t>
        </is>
      </c>
    </row>
    <row r="12">
      <c r="A12" s="14" t="inlineStr">
        <is>
          <t>2025_H1</t>
        </is>
      </c>
      <c r="B12" s="8">
        <f>COUNTIF('Backtest trades'!$Z$2:$Z$435,A12)</f>
        <v/>
      </c>
      <c r="C12" s="9">
        <f>COUNTIFS('Backtest trades'!$Z$2:$Z$435,A12,'Backtest trades'!$W$2:$W$435,"&gt;0")/B12</f>
        <v/>
      </c>
      <c r="D12" s="10">
        <f>AVERAGEIFS('Backtest trades'!$X$2:$X$435,'Backtest trades'!$Z$2:$Z$435,A12)</f>
        <v/>
      </c>
      <c r="E12" s="11">
        <f>SUMIFS('Backtest trades'!$W$2:$W$435,'Backtest trades'!$Z$2:$Z$435,A12)</f>
        <v/>
      </c>
      <c r="F12" s="8">
        <f>AVERAGEIFS('Backtest trades'!$Q$2:$Q$435,'Backtest trades'!$Z$2:$Z$435,A12)</f>
        <v/>
      </c>
      <c r="G12" s="10">
        <f>AVERAGEIFS('Backtest trades'!$S$2:$S$435,'Backtest trades'!$Z$2:$Z$435,A12)</f>
        <v/>
      </c>
      <c r="H12" s="10">
        <f>AVERAGEIFS('Backtest trades'!$U$2:$U$435,'Backtest trades'!$Z$2:$Z$435,A12)</f>
        <v/>
      </c>
    </row>
    <row r="13">
      <c r="A13" s="14" t="inlineStr">
        <is>
          <t>2025_H2</t>
        </is>
      </c>
      <c r="B13" s="8">
        <f>COUNTIF('Backtest trades'!$Z$2:$Z$435,A13)</f>
        <v/>
      </c>
      <c r="C13" s="9">
        <f>COUNTIFS('Backtest trades'!$Z$2:$Z$435,A13,'Backtest trades'!$W$2:$W$435,"&gt;0")/B13</f>
        <v/>
      </c>
      <c r="D13" s="10">
        <f>AVERAGEIFS('Backtest trades'!$X$2:$X$435,'Backtest trades'!$Z$2:$Z$435,A13)</f>
        <v/>
      </c>
      <c r="E13" s="11">
        <f>SUMIFS('Backtest trades'!$W$2:$W$435,'Backtest trades'!$Z$2:$Z$435,A13)</f>
        <v/>
      </c>
      <c r="F13" s="8">
        <f>AVERAGEIFS('Backtest trades'!$Q$2:$Q$435,'Backtest trades'!$Z$2:$Z$435,A13)</f>
        <v/>
      </c>
      <c r="G13" s="10">
        <f>AVERAGEIFS('Backtest trades'!$S$2:$S$435,'Backtest trades'!$Z$2:$Z$435,A13)</f>
        <v/>
      </c>
      <c r="H13" s="10">
        <f>AVERAGEIFS('Backtest trades'!$U$2:$U$435,'Backtest trades'!$Z$2:$Z$435,A13)</f>
        <v/>
      </c>
    </row>
    <row r="14">
      <c r="A14" s="14" t="inlineStr">
        <is>
          <t>2026_H1</t>
        </is>
      </c>
      <c r="B14" s="8">
        <f>COUNTIF('Backtest trades'!$Z$2:$Z$435,A14)</f>
        <v/>
      </c>
      <c r="C14" s="9">
        <f>COUNTIFS('Backtest trades'!$Z$2:$Z$435,A14,'Backtest trades'!$W$2:$W$435,"&gt;0")/B14</f>
        <v/>
      </c>
      <c r="D14" s="10">
        <f>AVERAGEIFS('Backtest trades'!$X$2:$X$435,'Backtest trades'!$Z$2:$Z$435,A14)</f>
        <v/>
      </c>
      <c r="E14" s="11">
        <f>SUMIFS('Backtest trades'!$W$2:$W$435,'Backtest trades'!$Z$2:$Z$435,A14)</f>
        <v/>
      </c>
      <c r="F14" s="8">
        <f>AVERAGEIFS('Backtest trades'!$Q$2:$Q$435,'Backtest trades'!$Z$2:$Z$435,A14)</f>
        <v/>
      </c>
      <c r="G14" s="10">
        <f>AVERAGEIFS('Backtest trades'!$S$2:$S$435,'Backtest trades'!$Z$2:$Z$435,A14)</f>
        <v/>
      </c>
      <c r="H14" s="10">
        <f>AVERAGEIFS('Backtest trades'!$U$2:$U$435,'Backtest trades'!$Z$2:$Z$435,A14)</f>
        <v/>
      </c>
    </row>
    <row r="15">
      <c r="A15" s="14" t="inlineStr">
        <is>
          <t>2026_Q3</t>
        </is>
      </c>
      <c r="B15" s="8">
        <f>COUNTIF('Backtest trades'!$Z$2:$Z$435,A15)</f>
        <v/>
      </c>
      <c r="C15" s="9">
        <f>COUNTIFS('Backtest trades'!$Z$2:$Z$435,A15,'Backtest trades'!$W$2:$W$435,"&gt;0")/B15</f>
        <v/>
      </c>
      <c r="D15" s="10">
        <f>AVERAGEIFS('Backtest trades'!$X$2:$X$435,'Backtest trades'!$Z$2:$Z$435,A15)</f>
        <v/>
      </c>
      <c r="E15" s="11">
        <f>SUMIFS('Backtest trades'!$W$2:$W$435,'Backtest trades'!$Z$2:$Z$435,A15)</f>
        <v/>
      </c>
      <c r="F15" s="8">
        <f>AVERAGEIFS('Backtest trades'!$Q$2:$Q$435,'Backtest trades'!$Z$2:$Z$435,A15)</f>
        <v/>
      </c>
      <c r="G15" s="10">
        <f>AVERAGEIFS('Backtest trades'!$S$2:$S$435,'Backtest trades'!$Z$2:$Z$435,A15)</f>
        <v/>
      </c>
      <c r="H15" s="10">
        <f>AVERAGEIFS('Backtest trades'!$U$2:$U$435,'Backtest trades'!$Z$2:$Z$435,A15)</f>
        <v/>
      </c>
    </row>
    <row r="17">
      <c r="A17" s="2" t="inlineStr">
        <is>
          <t>Peak and dip use the option's whole-day high and low from the NSE bhavcopy. With the entry at the open they come after the entry, but the sequence within the day is unknown (the dip may have come before the peak).</t>
        </is>
      </c>
    </row>
    <row r="18">
      <c r="A18" s="2" t="inlineStr">
        <is>
          <t>434 trades here have a valid same-day exit; the backtest report's headline uses the 433 valid under both exits, so its figures differ in the last digit.</t>
        </is>
      </c>
    </row>
    <row r="20">
      <c r="A20" s="13" t="inlineStr">
        <is>
          <t>Plain-number copy of the first table (for viewers that do not calculate formulas)</t>
        </is>
      </c>
    </row>
    <row r="21" ht="40" customHeight="1">
      <c r="A21" s="3" t="inlineStr">
        <is>
          <t>Group</t>
        </is>
      </c>
      <c r="B21" s="3" t="inlineStr">
        <is>
          <t>Trades</t>
        </is>
      </c>
      <c r="C21" s="3" t="inlineStr">
        <is>
          <t>Hit rate (net &gt; 0)</t>
        </is>
      </c>
      <c r="D21" s="3" t="inlineStr">
        <is>
          <t>Mean net % of premium</t>
        </is>
      </c>
      <c r="E21" s="3" t="inlineStr">
        <is>
          <t>Total net P&amp;L Rs</t>
        </is>
      </c>
      <c r="F21" s="3" t="inlineStr">
        <is>
          <t>Avg premium Rs</t>
        </is>
      </c>
      <c r="G21" s="4" t="inlineStr">
        <is>
          <t>Avg MAX PEAK %</t>
        </is>
      </c>
      <c r="H21" s="5" t="inlineStr">
        <is>
          <t>Avg MAX DIP %</t>
        </is>
      </c>
      <c r="I21" s="4" t="inlineStr">
        <is>
          <t>Peak reached +30 %</t>
        </is>
      </c>
      <c r="J21" s="4" t="inlineStr">
        <is>
          <t>Peak reached +50 %</t>
        </is>
      </c>
      <c r="K21" s="5" t="inlineStr">
        <is>
          <t>Dip reached -20 %</t>
        </is>
      </c>
    </row>
    <row r="22">
      <c r="A22" s="15" t="inlineStr">
        <is>
          <t>All trades</t>
        </is>
      </c>
      <c r="B22" s="15" t="n">
        <v>434</v>
      </c>
      <c r="C22" s="16" t="n">
        <v>0.4009</v>
      </c>
      <c r="D22" s="17" t="n">
        <v>5.63</v>
      </c>
      <c r="E22" s="18" t="n">
        <v>126164</v>
      </c>
      <c r="F22" s="19" t="n">
        <v>6336</v>
      </c>
      <c r="G22" s="17" t="n">
        <v>83.5</v>
      </c>
      <c r="H22" s="17" t="n">
        <v>-38</v>
      </c>
      <c r="I22" s="16" t="n">
        <v>0.6221</v>
      </c>
      <c r="J22" s="16" t="n">
        <v>0.4862</v>
      </c>
      <c r="K22" s="16" t="n">
        <v>0.7143</v>
      </c>
    </row>
    <row r="23">
      <c r="A23" s="15" t="inlineStr">
        <is>
          <t>Puts (strong numbers)</t>
        </is>
      </c>
      <c r="B23" s="15" t="n">
        <v>322</v>
      </c>
      <c r="C23" s="16" t="n">
        <v>0.4068</v>
      </c>
      <c r="D23" s="17" t="n">
        <v>7.06</v>
      </c>
      <c r="E23" s="18" t="n">
        <v>126231</v>
      </c>
      <c r="F23" s="19" t="n">
        <v>6370</v>
      </c>
      <c r="G23" s="17" t="n">
        <v>83.8</v>
      </c>
      <c r="H23" s="17" t="n">
        <v>-37.4</v>
      </c>
      <c r="I23" s="16" t="n">
        <v>0.6366000000000001</v>
      </c>
      <c r="J23" s="16" t="n">
        <v>0.4876</v>
      </c>
      <c r="K23" s="16" t="n">
        <v>0.705</v>
      </c>
    </row>
    <row r="24">
      <c r="A24" s="15" t="inlineStr">
        <is>
          <t>Calls (weak numbers)</t>
        </is>
      </c>
      <c r="B24" s="15" t="n">
        <v>112</v>
      </c>
      <c r="C24" s="16" t="n">
        <v>0.3839</v>
      </c>
      <c r="D24" s="17" t="n">
        <v>1.55</v>
      </c>
      <c r="E24" s="18" t="n">
        <v>-68</v>
      </c>
      <c r="F24" s="19" t="n">
        <v>6238</v>
      </c>
      <c r="G24" s="17" t="n">
        <v>82.5</v>
      </c>
      <c r="H24" s="17" t="n">
        <v>-39.8</v>
      </c>
      <c r="I24" s="16" t="n">
        <v>0.5804</v>
      </c>
      <c r="J24" s="16" t="n">
        <v>0.4821</v>
      </c>
      <c r="K24" s="16" t="n">
        <v>0.7411</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Z43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9" customWidth="1" min="3" max="3"/>
    <col width="10" customWidth="1" min="4" max="4"/>
    <col width="10" customWidth="1" min="5" max="5"/>
    <col width="11" customWidth="1" min="6" max="6"/>
    <col width="8" customWidth="1" min="7" max="7"/>
    <col width="10" customWidth="1" min="8" max="8"/>
    <col width="10" customWidth="1" min="9" max="9"/>
    <col width="10" customWidth="1" min="10" max="10"/>
    <col width="12" customWidth="1" min="11" max="11"/>
    <col width="10" customWidth="1" min="12" max="12"/>
    <col width="10" customWidth="1" min="13" max="13"/>
    <col width="10" customWidth="1" min="14" max="14"/>
    <col width="10" customWidth="1" min="15" max="15"/>
    <col width="14" customWidth="1" min="16" max="16"/>
    <col width="11" customWidth="1" min="17" max="17"/>
    <col width="13" customWidth="1" min="18" max="18"/>
    <col width="11" customWidth="1" min="19" max="19"/>
    <col width="13" customWidth="1" min="20" max="20"/>
    <col width="11" customWidth="1" min="21" max="21"/>
    <col width="13" customWidth="1" min="22" max="22"/>
    <col width="16" customWidth="1" min="23" max="23"/>
    <col width="11" customWidth="1" min="24" max="24"/>
    <col width="12" customWidth="1" min="25" max="25"/>
    <col width="9" customWidth="1" min="26" max="26"/>
  </cols>
  <sheetData>
    <row r="1" ht="62" customHeight="1">
      <c r="A1" s="3" t="inlineStr">
        <is>
          <t>Day 0</t>
        </is>
      </c>
      <c r="B1" s="3" t="inlineStr">
        <is>
          <t>Symbol</t>
        </is>
      </c>
      <c r="C1" s="3" t="inlineStr">
        <is>
          <t>Side (PE put / CE call)</t>
        </is>
      </c>
      <c r="D1" s="3" t="inlineStr">
        <is>
          <t>Company size</t>
        </is>
      </c>
      <c r="E1" s="3" t="inlineStr">
        <is>
          <t>Strike</t>
        </is>
      </c>
      <c r="F1" s="3" t="inlineStr">
        <is>
          <t>Expiry</t>
        </is>
      </c>
      <c r="G1" s="3" t="inlineStr">
        <is>
          <t>Lot size</t>
        </is>
      </c>
      <c r="H1" s="6" t="inlineStr">
        <is>
          <t>Net profit YoY %</t>
        </is>
      </c>
      <c r="I1" s="6" t="inlineStr">
        <is>
          <t>Net profit QoQ %</t>
        </is>
      </c>
      <c r="J1" s="6" t="inlineStr">
        <is>
          <t>Revenue YoY %</t>
        </is>
      </c>
      <c r="K1" s="20" t="inlineStr">
        <is>
          <t>Entry price (open + 1 tick)</t>
        </is>
      </c>
      <c r="L1" s="20" t="inlineStr">
        <is>
          <t>Option day open</t>
        </is>
      </c>
      <c r="M1" s="20" t="inlineStr">
        <is>
          <t>Option day HIGH</t>
        </is>
      </c>
      <c r="N1" s="20" t="inlineStr">
        <is>
          <t>Option day LOW</t>
        </is>
      </c>
      <c r="O1" s="20" t="inlineStr">
        <is>
          <t>Option day close</t>
        </is>
      </c>
      <c r="P1" s="20" t="inlineStr">
        <is>
          <t>Same-day exit price (close - 1 tick)</t>
        </is>
      </c>
      <c r="Q1" s="3" t="inlineStr">
        <is>
          <t>Premium paid Rs</t>
        </is>
      </c>
      <c r="R1" s="4" t="inlineStr">
        <is>
          <t>MAX PEAK Rs (high vs entry)</t>
        </is>
      </c>
      <c r="S1" s="4" t="inlineStr">
        <is>
          <t>MAX PEAK % of premium</t>
        </is>
      </c>
      <c r="T1" s="5" t="inlineStr">
        <is>
          <t>MAX DIP Rs (low vs entry)</t>
        </is>
      </c>
      <c r="U1" s="5" t="inlineStr">
        <is>
          <t>MAX DIP % of premium</t>
        </is>
      </c>
      <c r="V1" s="3" t="inlineStr">
        <is>
          <t>Gross P&amp;L Rs (exit vs entry)</t>
        </is>
      </c>
      <c r="W1" s="3" t="inlineStr">
        <is>
          <t>Net P&amp;L Rs (after charges and slippage)</t>
        </is>
      </c>
      <c r="X1" s="3" t="inlineStr">
        <is>
          <t>Net % of premium</t>
        </is>
      </c>
      <c r="Y1" s="6" t="inlineStr">
        <is>
          <t>Stock open to close, signed %</t>
        </is>
      </c>
      <c r="Z1" s="6" t="inlineStr">
        <is>
          <t>Period</t>
        </is>
      </c>
    </row>
    <row r="2">
      <c r="A2" s="14" t="inlineStr">
        <is>
          <t>2025-01-10</t>
        </is>
      </c>
      <c r="B2" s="7" t="inlineStr">
        <is>
          <t>TCS</t>
        </is>
      </c>
      <c r="C2" s="14" t="inlineStr">
        <is>
          <t>PE</t>
        </is>
      </c>
      <c r="D2" s="14" t="inlineStr">
        <is>
          <t>large</t>
        </is>
      </c>
      <c r="E2" s="21" t="n">
        <v>4050</v>
      </c>
      <c r="F2" s="14" t="inlineStr">
        <is>
          <t>2025-01-30</t>
        </is>
      </c>
      <c r="G2" s="8" t="n">
        <v>175</v>
      </c>
      <c r="H2" s="22" t="n">
        <v>12.1</v>
      </c>
      <c r="I2" s="22" t="n">
        <v>4.1</v>
      </c>
      <c r="J2" s="22" t="n">
        <v>5.6</v>
      </c>
      <c r="K2" s="23" t="n">
        <v>45.05</v>
      </c>
      <c r="L2" s="23" t="n">
        <v>45</v>
      </c>
      <c r="M2" s="23" t="n">
        <v>65.45</v>
      </c>
      <c r="N2" s="23" t="n">
        <v>22</v>
      </c>
      <c r="O2" s="23" t="n">
        <v>25.25</v>
      </c>
      <c r="P2" s="23" t="n">
        <v>25.2</v>
      </c>
      <c r="Q2" s="8">
        <f>K2*G2</f>
        <v/>
      </c>
      <c r="R2" s="24">
        <f>(M2-K2)*G2</f>
        <v/>
      </c>
      <c r="S2" s="25">
        <f>(M2/K2-1)*100</f>
        <v/>
      </c>
      <c r="T2" s="26">
        <f>(N2-K2)*G2</f>
        <v/>
      </c>
      <c r="U2" s="27">
        <f>(N2/K2-1)*100</f>
        <v/>
      </c>
      <c r="V2" s="11">
        <f>(P2-K2)*G2</f>
        <v/>
      </c>
      <c r="W2" s="11" t="n">
        <v>-3655.92</v>
      </c>
      <c r="X2" s="10">
        <f>W2/Q2*100</f>
        <v/>
      </c>
      <c r="Y2" s="12" t="n">
        <v>-1.563</v>
      </c>
      <c r="Z2" s="14" t="inlineStr">
        <is>
          <t>2025_H1</t>
        </is>
      </c>
    </row>
    <row r="3">
      <c r="A3" s="14" t="inlineStr">
        <is>
          <t>2025-01-15</t>
        </is>
      </c>
      <c r="B3" s="7" t="inlineStr">
        <is>
          <t>HDFCAMC</t>
        </is>
      </c>
      <c r="C3" s="14" t="inlineStr">
        <is>
          <t>PE</t>
        </is>
      </c>
      <c r="D3" s="14" t="inlineStr">
        <is>
          <t>mid</t>
        </is>
      </c>
      <c r="E3" s="21" t="n">
        <v>3750</v>
      </c>
      <c r="F3" s="14" t="inlineStr">
        <is>
          <t>2025-01-30</t>
        </is>
      </c>
      <c r="G3" s="8" t="n">
        <v>150</v>
      </c>
      <c r="H3" s="22" t="n">
        <v>31.4</v>
      </c>
      <c r="I3" s="22" t="n">
        <v>11.2</v>
      </c>
      <c r="J3" s="22" t="n">
        <v>39.2</v>
      </c>
      <c r="K3" s="23" t="n">
        <v>50.05</v>
      </c>
      <c r="L3" s="23" t="n">
        <v>50</v>
      </c>
      <c r="M3" s="23" t="n">
        <v>62.25</v>
      </c>
      <c r="N3" s="23" t="n">
        <v>11.7</v>
      </c>
      <c r="O3" s="23" t="n">
        <v>15.55</v>
      </c>
      <c r="P3" s="23" t="n">
        <v>15.5</v>
      </c>
      <c r="Q3" s="8">
        <f>K3*G3</f>
        <v/>
      </c>
      <c r="R3" s="24">
        <f>(M3-K3)*G3</f>
        <v/>
      </c>
      <c r="S3" s="25">
        <f>(M3/K3-1)*100</f>
        <v/>
      </c>
      <c r="T3" s="26">
        <f>(N3-K3)*G3</f>
        <v/>
      </c>
      <c r="U3" s="27">
        <f>(N3/K3-1)*100</f>
        <v/>
      </c>
      <c r="V3" s="11">
        <f>(P3-K3)*G3</f>
        <v/>
      </c>
      <c r="W3" s="11" t="n">
        <v>-5434.21</v>
      </c>
      <c r="X3" s="10">
        <f>W3/Q3*100</f>
        <v/>
      </c>
      <c r="Y3" s="12" t="n">
        <v>-3.734</v>
      </c>
      <c r="Z3" s="14" t="inlineStr">
        <is>
          <t>2025_H1</t>
        </is>
      </c>
    </row>
    <row r="4">
      <c r="A4" s="14" t="inlineStr">
        <is>
          <t>2025-01-16</t>
        </is>
      </c>
      <c r="B4" s="7" t="inlineStr">
        <is>
          <t>OFSS</t>
        </is>
      </c>
      <c r="C4" s="14" t="inlineStr">
        <is>
          <t>CE</t>
        </is>
      </c>
      <c r="D4" s="14" t="inlineStr">
        <is>
          <t>mid</t>
        </is>
      </c>
      <c r="E4" s="21" t="n">
        <v>11000</v>
      </c>
      <c r="F4" s="14" t="inlineStr">
        <is>
          <t>2025-01-30</t>
        </is>
      </c>
      <c r="G4" s="8" t="n">
        <v>50</v>
      </c>
      <c r="H4" s="22" t="n">
        <v>-26.9</v>
      </c>
      <c r="I4" s="22" t="n">
        <v>-6.3</v>
      </c>
      <c r="J4" s="22" t="n">
        <v>-5.9</v>
      </c>
      <c r="K4" s="23" t="n">
        <v>101.05</v>
      </c>
      <c r="L4" s="23" t="n">
        <v>101</v>
      </c>
      <c r="M4" s="23" t="n">
        <v>353.85</v>
      </c>
      <c r="N4" s="23" t="n">
        <v>68.40000000000001</v>
      </c>
      <c r="O4" s="23" t="n">
        <v>89.55</v>
      </c>
      <c r="P4" s="23" t="n">
        <v>89.5</v>
      </c>
      <c r="Q4" s="8">
        <f>K4*G4</f>
        <v/>
      </c>
      <c r="R4" s="24">
        <f>(M4-K4)*G4</f>
        <v/>
      </c>
      <c r="S4" s="25">
        <f>(M4/K4-1)*100</f>
        <v/>
      </c>
      <c r="T4" s="26">
        <f>(N4-K4)*G4</f>
        <v/>
      </c>
      <c r="U4" s="27">
        <f>(N4/K4-1)*100</f>
        <v/>
      </c>
      <c r="V4" s="11">
        <f>(P4-K4)*G4</f>
        <v/>
      </c>
      <c r="W4" s="11" t="n">
        <v>-826.12</v>
      </c>
      <c r="X4" s="10">
        <f>W4/Q4*100</f>
        <v/>
      </c>
      <c r="Y4" s="12" t="n">
        <v>1.899</v>
      </c>
      <c r="Z4" s="14" t="inlineStr">
        <is>
          <t>2025_H1</t>
        </is>
      </c>
    </row>
    <row r="5">
      <c r="A5" s="14" t="inlineStr">
        <is>
          <t>2025-01-17</t>
        </is>
      </c>
      <c r="B5" s="7" t="inlineStr">
        <is>
          <t>INFY</t>
        </is>
      </c>
      <c r="C5" s="14" t="inlineStr">
        <is>
          <t>PE</t>
        </is>
      </c>
      <c r="D5" s="14" t="inlineStr">
        <is>
          <t>large</t>
        </is>
      </c>
      <c r="E5" s="21" t="n">
        <v>1780</v>
      </c>
      <c r="F5" s="14" t="inlineStr">
        <is>
          <t>2025-01-30</t>
        </is>
      </c>
      <c r="G5" s="8" t="n">
        <v>400</v>
      </c>
      <c r="H5" s="22" t="n">
        <v>11.6</v>
      </c>
      <c r="I5" s="22" t="n">
        <v>4.7</v>
      </c>
      <c r="J5" s="22" t="n">
        <v>7.6</v>
      </c>
      <c r="K5" s="23" t="n">
        <v>15.05</v>
      </c>
      <c r="L5" s="23" t="n">
        <v>15</v>
      </c>
      <c r="M5" s="23" t="n">
        <v>22.2</v>
      </c>
      <c r="N5" s="23" t="n">
        <v>11.65</v>
      </c>
      <c r="O5" s="23" t="n">
        <v>19.35</v>
      </c>
      <c r="P5" s="23" t="n">
        <v>19.3</v>
      </c>
      <c r="Q5" s="8">
        <f>K5*G5</f>
        <v/>
      </c>
      <c r="R5" s="24">
        <f>(M5-K5)*G5</f>
        <v/>
      </c>
      <c r="S5" s="25">
        <f>(M5/K5-1)*100</f>
        <v/>
      </c>
      <c r="T5" s="26">
        <f>(N5-K5)*G5</f>
        <v/>
      </c>
      <c r="U5" s="27">
        <f>(N5/K5-1)*100</f>
        <v/>
      </c>
      <c r="V5" s="11">
        <f>(P5-K5)*G5</f>
        <v/>
      </c>
      <c r="W5" s="11" t="n">
        <v>1497.85</v>
      </c>
      <c r="X5" s="10">
        <f>W5/Q5*100</f>
        <v/>
      </c>
      <c r="Y5" s="12" t="n">
        <v>1.921</v>
      </c>
      <c r="Z5" s="14" t="inlineStr">
        <is>
          <t>2025_H1</t>
        </is>
      </c>
    </row>
    <row r="6">
      <c r="A6" s="14" t="inlineStr">
        <is>
          <t>2025-01-17</t>
        </is>
      </c>
      <c r="B6" s="7" t="inlineStr">
        <is>
          <t>RELIANCE</t>
        </is>
      </c>
      <c r="C6" s="14" t="inlineStr">
        <is>
          <t>PE</t>
        </is>
      </c>
      <c r="D6" s="14" t="inlineStr">
        <is>
          <t>large</t>
        </is>
      </c>
      <c r="E6" s="21" t="n">
        <v>1270</v>
      </c>
      <c r="F6" s="14" t="inlineStr">
        <is>
          <t>2025-01-30</t>
        </is>
      </c>
      <c r="G6" s="8" t="n">
        <v>500</v>
      </c>
      <c r="H6" s="22" t="n">
        <v>11.7</v>
      </c>
      <c r="I6" s="22" t="n">
        <v>13.5</v>
      </c>
      <c r="J6" s="22" t="n">
        <v>7</v>
      </c>
      <c r="K6" s="23" t="n">
        <v>10.05</v>
      </c>
      <c r="L6" s="23" t="n">
        <v>10</v>
      </c>
      <c r="M6" s="23" t="n">
        <v>13.7</v>
      </c>
      <c r="N6" s="23" t="n">
        <v>4.05</v>
      </c>
      <c r="O6" s="23" t="n">
        <v>7.05</v>
      </c>
      <c r="P6" s="23" t="n">
        <v>7</v>
      </c>
      <c r="Q6" s="8">
        <f>K6*G6</f>
        <v/>
      </c>
      <c r="R6" s="24">
        <f>(M6-K6)*G6</f>
        <v/>
      </c>
      <c r="S6" s="25">
        <f>(M6/K6-1)*100</f>
        <v/>
      </c>
      <c r="T6" s="26">
        <f>(N6-K6)*G6</f>
        <v/>
      </c>
      <c r="U6" s="27">
        <f>(N6/K6-1)*100</f>
        <v/>
      </c>
      <c r="V6" s="11">
        <f>(P6-K6)*G6</f>
        <v/>
      </c>
      <c r="W6" s="11" t="n">
        <v>-1666.43</v>
      </c>
      <c r="X6" s="10">
        <f>W6/Q6*100</f>
        <v/>
      </c>
      <c r="Y6" s="12" t="n">
        <v>1.505</v>
      </c>
      <c r="Z6" s="14" t="inlineStr">
        <is>
          <t>2025_H1</t>
        </is>
      </c>
    </row>
    <row r="7">
      <c r="A7" s="14" t="inlineStr">
        <is>
          <t>2025-01-20</t>
        </is>
      </c>
      <c r="B7" s="7" t="inlineStr">
        <is>
          <t>INDHOTEL</t>
        </is>
      </c>
      <c r="C7" s="14" t="inlineStr">
        <is>
          <t>PE</t>
        </is>
      </c>
      <c r="D7" s="14" t="inlineStr">
        <is>
          <t>mid</t>
        </is>
      </c>
      <c r="E7" s="21" t="n">
        <v>780</v>
      </c>
      <c r="F7" s="14" t="inlineStr">
        <is>
          <t>2025-01-30</t>
        </is>
      </c>
      <c r="G7" s="8" t="n">
        <v>1000</v>
      </c>
      <c r="H7" s="22" t="n">
        <v>32.6</v>
      </c>
      <c r="I7" s="22" t="n">
        <v>8.5</v>
      </c>
      <c r="J7" s="22" t="n">
        <v>29</v>
      </c>
      <c r="K7" s="23" t="n">
        <v>6.05</v>
      </c>
      <c r="L7" s="23" t="n">
        <v>6</v>
      </c>
      <c r="M7" s="23" t="n">
        <v>16.3</v>
      </c>
      <c r="N7" s="23" t="n">
        <v>4.05</v>
      </c>
      <c r="O7" s="23" t="n">
        <v>9.15</v>
      </c>
      <c r="P7" s="23" t="n">
        <v>9.1</v>
      </c>
      <c r="Q7" s="8">
        <f>K7*G7</f>
        <v/>
      </c>
      <c r="R7" s="24">
        <f>(M7-K7)*G7</f>
        <v/>
      </c>
      <c r="S7" s="25">
        <f>(M7/K7-1)*100</f>
        <v/>
      </c>
      <c r="T7" s="26">
        <f>(N7-K7)*G7</f>
        <v/>
      </c>
      <c r="U7" s="27">
        <f>(N7/K7-1)*100</f>
        <v/>
      </c>
      <c r="V7" s="11">
        <f>(P7-K7)*G7</f>
        <v/>
      </c>
      <c r="W7" s="11" t="n">
        <v>2679.6</v>
      </c>
      <c r="X7" s="10">
        <f>W7/Q7*100</f>
        <v/>
      </c>
      <c r="Y7" s="12" t="n">
        <v>4.071</v>
      </c>
      <c r="Z7" s="14" t="inlineStr">
        <is>
          <t>2025_H1</t>
        </is>
      </c>
    </row>
    <row r="8">
      <c r="A8" s="14" t="inlineStr">
        <is>
          <t>2025-01-20</t>
        </is>
      </c>
      <c r="B8" s="7" t="inlineStr">
        <is>
          <t>WIPRO</t>
        </is>
      </c>
      <c r="C8" s="14" t="inlineStr">
        <is>
          <t>PE</t>
        </is>
      </c>
      <c r="D8" s="14" t="inlineStr">
        <is>
          <t>large</t>
        </is>
      </c>
      <c r="E8" s="21" t="n">
        <v>282.5</v>
      </c>
      <c r="F8" s="14" t="inlineStr">
        <is>
          <t>2025-01-30</t>
        </is>
      </c>
      <c r="G8" s="8" t="n">
        <v>3000</v>
      </c>
      <c r="H8" s="22" t="n">
        <v>24.7</v>
      </c>
      <c r="I8" s="22" t="n">
        <v>4.3</v>
      </c>
      <c r="J8" s="22" t="n">
        <v>0.5</v>
      </c>
      <c r="K8" s="23" t="n">
        <v>2.05</v>
      </c>
      <c r="L8" s="23" t="n">
        <v>2</v>
      </c>
      <c r="M8" s="23" t="n">
        <v>2.1</v>
      </c>
      <c r="N8" s="23" t="n">
        <v>0.75</v>
      </c>
      <c r="O8" s="23" t="n">
        <v>0.95</v>
      </c>
      <c r="P8" s="23" t="n">
        <v>0.9</v>
      </c>
      <c r="Q8" s="8">
        <f>K8*G8</f>
        <v/>
      </c>
      <c r="R8" s="24">
        <f>(M8-K8)*G8</f>
        <v/>
      </c>
      <c r="S8" s="25">
        <f>(M8/K8-1)*100</f>
        <v/>
      </c>
      <c r="T8" s="26">
        <f>(N8-K8)*G8</f>
        <v/>
      </c>
      <c r="U8" s="27">
        <f>(N8/K8-1)*100</f>
        <v/>
      </c>
      <c r="V8" s="11">
        <f>(P8-K8)*G8</f>
        <v/>
      </c>
      <c r="W8" s="11" t="n">
        <v>-3593.65</v>
      </c>
      <c r="X8" s="10">
        <f>W8/Q8*100</f>
        <v/>
      </c>
      <c r="Y8" s="12" t="n">
        <v>0.579</v>
      </c>
      <c r="Z8" s="14" t="inlineStr">
        <is>
          <t>2025_H1</t>
        </is>
      </c>
    </row>
    <row r="9">
      <c r="A9" s="14" t="inlineStr">
        <is>
          <t>2025-01-21</t>
        </is>
      </c>
      <c r="B9" s="7" t="inlineStr">
        <is>
          <t>APLAPOLLO</t>
        </is>
      </c>
      <c r="C9" s="14" t="inlineStr">
        <is>
          <t>PE</t>
        </is>
      </c>
      <c r="D9" s="14" t="inlineStr">
        <is>
          <t>mid</t>
        </is>
      </c>
      <c r="E9" s="21" t="n">
        <v>1560</v>
      </c>
      <c r="F9" s="14" t="inlineStr">
        <is>
          <t>2025-01-30</t>
        </is>
      </c>
      <c r="G9" s="8" t="n">
        <v>350</v>
      </c>
      <c r="H9" s="22" t="n">
        <v>31.1</v>
      </c>
      <c r="I9" s="22" t="n">
        <v>303.2</v>
      </c>
      <c r="J9" s="22" t="n">
        <v>30</v>
      </c>
      <c r="K9" s="23" t="n">
        <v>20.35</v>
      </c>
      <c r="L9" s="23" t="n">
        <v>20.3</v>
      </c>
      <c r="M9" s="23" t="n">
        <v>28.65</v>
      </c>
      <c r="N9" s="23" t="n">
        <v>7.8</v>
      </c>
      <c r="O9" s="23" t="n">
        <v>19.9</v>
      </c>
      <c r="P9" s="23" t="n">
        <v>19.85</v>
      </c>
      <c r="Q9" s="8">
        <f>K9*G9</f>
        <v/>
      </c>
      <c r="R9" s="24">
        <f>(M9-K9)*G9</f>
        <v/>
      </c>
      <c r="S9" s="25">
        <f>(M9/K9-1)*100</f>
        <v/>
      </c>
      <c r="T9" s="26">
        <f>(N9-K9)*G9</f>
        <v/>
      </c>
      <c r="U9" s="27">
        <f>(N9/K9-1)*100</f>
        <v/>
      </c>
      <c r="V9" s="11">
        <f>(P9-K9)*G9</f>
        <v/>
      </c>
      <c r="W9" s="11" t="n">
        <v>-520.16</v>
      </c>
      <c r="X9" s="10">
        <f>W9/Q9*100</f>
        <v/>
      </c>
      <c r="Y9" s="12" t="n">
        <v>2.068</v>
      </c>
      <c r="Z9" s="14" t="inlineStr">
        <is>
          <t>2025_H1</t>
        </is>
      </c>
    </row>
    <row r="10">
      <c r="A10" s="14" t="inlineStr">
        <is>
          <t>2025-01-21</t>
        </is>
      </c>
      <c r="B10" s="7" t="inlineStr">
        <is>
          <t>OBEROIRLTY</t>
        </is>
      </c>
      <c r="C10" s="14" t="inlineStr">
        <is>
          <t>PE</t>
        </is>
      </c>
      <c r="D10" s="14" t="inlineStr">
        <is>
          <t>mid</t>
        </is>
      </c>
      <c r="E10" s="21" t="n">
        <v>1900</v>
      </c>
      <c r="F10" s="14" t="inlineStr">
        <is>
          <t>2025-01-30</t>
        </is>
      </c>
      <c r="G10" s="8" t="n">
        <v>350</v>
      </c>
      <c r="H10" s="22" t="n">
        <v>71.7</v>
      </c>
      <c r="I10" s="22" t="n">
        <v>4.9</v>
      </c>
      <c r="J10" s="22" t="n">
        <v>33.9</v>
      </c>
      <c r="K10" s="23" t="n">
        <v>22.05</v>
      </c>
      <c r="L10" s="23" t="n">
        <v>22</v>
      </c>
      <c r="M10" s="23" t="n">
        <v>119.9</v>
      </c>
      <c r="N10" s="23" t="n">
        <v>19.2</v>
      </c>
      <c r="O10" s="23" t="n">
        <v>89.05</v>
      </c>
      <c r="P10" s="23" t="n">
        <v>89</v>
      </c>
      <c r="Q10" s="8">
        <f>K10*G10</f>
        <v/>
      </c>
      <c r="R10" s="24">
        <f>(M10-K10)*G10</f>
        <v/>
      </c>
      <c r="S10" s="25">
        <f>(M10/K10-1)*100</f>
        <v/>
      </c>
      <c r="T10" s="26">
        <f>(N10-K10)*G10</f>
        <v/>
      </c>
      <c r="U10" s="27">
        <f>(N10/K10-1)*100</f>
        <v/>
      </c>
      <c r="V10" s="11">
        <f>(P10-K10)*G10</f>
        <v/>
      </c>
      <c r="W10" s="11" t="n">
        <v>22544.65</v>
      </c>
      <c r="X10" s="10">
        <f>W10/Q10*100</f>
        <v/>
      </c>
      <c r="Y10" s="12" t="n">
        <v>7.61</v>
      </c>
      <c r="Z10" s="14" t="inlineStr">
        <is>
          <t>2025_H1</t>
        </is>
      </c>
    </row>
    <row r="11">
      <c r="A11" s="14" t="inlineStr">
        <is>
          <t>2025-01-21</t>
        </is>
      </c>
      <c r="B11" s="7" t="inlineStr">
        <is>
          <t>SUPREMEIND</t>
        </is>
      </c>
      <c r="C11" s="14" t="inlineStr">
        <is>
          <t>CE</t>
        </is>
      </c>
      <c r="D11" s="14" t="inlineStr">
        <is>
          <t>mid</t>
        </is>
      </c>
      <c r="E11" s="21" t="n">
        <v>4200</v>
      </c>
      <c r="F11" s="14" t="inlineStr">
        <is>
          <t>2025-01-30</t>
        </is>
      </c>
      <c r="G11" s="8" t="n">
        <v>125</v>
      </c>
      <c r="H11" s="22" t="n">
        <v>-27</v>
      </c>
      <c r="I11" s="22" t="n">
        <v>-9.5</v>
      </c>
      <c r="J11" s="22" t="n">
        <v>2.5</v>
      </c>
      <c r="K11" s="23" t="n">
        <v>58.05</v>
      </c>
      <c r="L11" s="23" t="n">
        <v>58</v>
      </c>
      <c r="M11" s="23" t="n">
        <v>61</v>
      </c>
      <c r="N11" s="23" t="n">
        <v>22.2</v>
      </c>
      <c r="O11" s="23" t="n">
        <v>28.05</v>
      </c>
      <c r="P11" s="23" t="n">
        <v>28</v>
      </c>
      <c r="Q11" s="8">
        <f>K11*G11</f>
        <v/>
      </c>
      <c r="R11" s="24">
        <f>(M11-K11)*G11</f>
        <v/>
      </c>
      <c r="S11" s="25">
        <f>(M11/K11-1)*100</f>
        <v/>
      </c>
      <c r="T11" s="26">
        <f>(N11-K11)*G11</f>
        <v/>
      </c>
      <c r="U11" s="27">
        <f>(N11/K11-1)*100</f>
        <v/>
      </c>
      <c r="V11" s="11">
        <f>(P11-K11)*G11</f>
        <v/>
      </c>
      <c r="W11" s="11" t="n">
        <v>-4028.56</v>
      </c>
      <c r="X11" s="10">
        <f>W11/Q11*100</f>
        <v/>
      </c>
      <c r="Y11" s="12" t="n">
        <v>-1.052</v>
      </c>
      <c r="Z11" s="14" t="inlineStr">
        <is>
          <t>2025_H1</t>
        </is>
      </c>
    </row>
    <row r="12">
      <c r="A12" s="14" t="inlineStr">
        <is>
          <t>2025-01-23</t>
        </is>
      </c>
      <c r="B12" s="7" t="inlineStr">
        <is>
          <t>HINDUNILVR</t>
        </is>
      </c>
      <c r="C12" s="14" t="inlineStr">
        <is>
          <t>PE</t>
        </is>
      </c>
      <c r="D12" s="14" t="inlineStr">
        <is>
          <t>large</t>
        </is>
      </c>
      <c r="E12" s="21" t="n">
        <v>2260</v>
      </c>
      <c r="F12" s="14" t="inlineStr">
        <is>
          <t>2025-01-30</t>
        </is>
      </c>
      <c r="G12" s="8" t="n">
        <v>300</v>
      </c>
      <c r="H12" s="22" t="n">
        <v>19.2</v>
      </c>
      <c r="I12" s="22" t="n">
        <v>15.2</v>
      </c>
      <c r="J12" s="22" t="n">
        <v>1.6</v>
      </c>
      <c r="K12" s="23" t="n">
        <v>23.8</v>
      </c>
      <c r="L12" s="23" t="n">
        <v>23.75</v>
      </c>
      <c r="M12" s="23" t="n">
        <v>33.9</v>
      </c>
      <c r="N12" s="23" t="n">
        <v>4.1</v>
      </c>
      <c r="O12" s="23" t="n">
        <v>5.2</v>
      </c>
      <c r="P12" s="23" t="n">
        <v>5.15</v>
      </c>
      <c r="Q12" s="8">
        <f>K12*G12</f>
        <v/>
      </c>
      <c r="R12" s="24">
        <f>(M12-K12)*G12</f>
        <v/>
      </c>
      <c r="S12" s="25">
        <f>(M12/K12-1)*100</f>
        <v/>
      </c>
      <c r="T12" s="26">
        <f>(N12-K12)*G12</f>
        <v/>
      </c>
      <c r="U12" s="27">
        <f>(N12/K12-1)*100</f>
        <v/>
      </c>
      <c r="V12" s="11">
        <f>(P12-K12)*G12</f>
        <v/>
      </c>
      <c r="W12" s="11" t="n">
        <v>-5735.24</v>
      </c>
      <c r="X12" s="10">
        <f>W12/Q12*100</f>
        <v/>
      </c>
      <c r="Y12" s="12" t="n">
        <v>-0.289</v>
      </c>
      <c r="Z12" s="14" t="inlineStr">
        <is>
          <t>2025_H1</t>
        </is>
      </c>
    </row>
    <row r="13">
      <c r="A13" s="14" t="inlineStr">
        <is>
          <t>2025-01-23</t>
        </is>
      </c>
      <c r="B13" s="7" t="inlineStr">
        <is>
          <t>PERSISTENT</t>
        </is>
      </c>
      <c r="C13" s="14" t="inlineStr">
        <is>
          <t>PE</t>
        </is>
      </c>
      <c r="D13" s="14" t="inlineStr">
        <is>
          <t>mid</t>
        </is>
      </c>
      <c r="E13" s="21" t="n">
        <v>5500</v>
      </c>
      <c r="F13" s="14" t="inlineStr">
        <is>
          <t>2025-01-30</t>
        </is>
      </c>
      <c r="G13" s="8" t="n">
        <v>100</v>
      </c>
      <c r="H13" s="22" t="n">
        <v>30.4</v>
      </c>
      <c r="I13" s="22" t="n">
        <v>14.8</v>
      </c>
      <c r="J13" s="22" t="n">
        <v>22.6</v>
      </c>
      <c r="K13" s="23" t="n">
        <v>50.05</v>
      </c>
      <c r="L13" s="23" t="n">
        <v>50</v>
      </c>
      <c r="M13" s="23" t="n">
        <v>50</v>
      </c>
      <c r="N13" s="23" t="n">
        <v>5</v>
      </c>
      <c r="O13" s="23" t="n">
        <v>5.35</v>
      </c>
      <c r="P13" s="23" t="n">
        <v>5.3</v>
      </c>
      <c r="Q13" s="8">
        <f>K13*G13</f>
        <v/>
      </c>
      <c r="R13" s="24">
        <f>(M13-K13)*G13</f>
        <v/>
      </c>
      <c r="S13" s="25">
        <f>(M13/K13-1)*100</f>
        <v/>
      </c>
      <c r="T13" s="26">
        <f>(N13-K13)*G13</f>
        <v/>
      </c>
      <c r="U13" s="27">
        <f>(N13/K13-1)*100</f>
        <v/>
      </c>
      <c r="V13" s="11">
        <f>(P13-K13)*G13</f>
        <v/>
      </c>
      <c r="W13" s="11" t="n">
        <v>-4636.18</v>
      </c>
      <c r="X13" s="10">
        <f>W13/Q13*100</f>
        <v/>
      </c>
      <c r="Y13" s="12" t="n">
        <v>-8.596</v>
      </c>
      <c r="Z13" s="14" t="inlineStr">
        <is>
          <t>2025_H1</t>
        </is>
      </c>
    </row>
    <row r="14">
      <c r="A14" s="14" t="inlineStr">
        <is>
          <t>2025-01-23</t>
        </is>
      </c>
      <c r="B14" s="7" t="inlineStr">
        <is>
          <t>POLYCAB</t>
        </is>
      </c>
      <c r="C14" s="14" t="inlineStr">
        <is>
          <t>PE</t>
        </is>
      </c>
      <c r="D14" s="14" t="inlineStr">
        <is>
          <t>mid</t>
        </is>
      </c>
      <c r="E14" s="21" t="n">
        <v>5900</v>
      </c>
      <c r="F14" s="14" t="inlineStr">
        <is>
          <t>2025-01-30</t>
        </is>
      </c>
      <c r="G14" s="8" t="n">
        <v>125</v>
      </c>
      <c r="H14" s="22" t="n">
        <v>11.5</v>
      </c>
      <c r="I14" s="22" t="n">
        <v>4.3</v>
      </c>
      <c r="J14" s="22" t="n">
        <v>20.4</v>
      </c>
      <c r="K14" s="23" t="n">
        <v>50.05</v>
      </c>
      <c r="L14" s="23" t="n">
        <v>50</v>
      </c>
      <c r="M14" s="23" t="n">
        <v>57.1</v>
      </c>
      <c r="N14" s="23" t="n">
        <v>12.15</v>
      </c>
      <c r="O14" s="23" t="n">
        <v>23.1</v>
      </c>
      <c r="P14" s="23" t="n">
        <v>23.05</v>
      </c>
      <c r="Q14" s="8">
        <f>K14*G14</f>
        <v/>
      </c>
      <c r="R14" s="24">
        <f>(M14-K14)*G14</f>
        <v/>
      </c>
      <c r="S14" s="25">
        <f>(M14/K14-1)*100</f>
        <v/>
      </c>
      <c r="T14" s="26">
        <f>(N14-K14)*G14</f>
        <v/>
      </c>
      <c r="U14" s="27">
        <f>(N14/K14-1)*100</f>
        <v/>
      </c>
      <c r="V14" s="11">
        <f>(P14-K14)*G14</f>
        <v/>
      </c>
      <c r="W14" s="11" t="n">
        <v>-3613.29</v>
      </c>
      <c r="X14" s="10">
        <f>W14/Q14*100</f>
        <v/>
      </c>
      <c r="Y14" s="12" t="n">
        <v>-1.148</v>
      </c>
      <c r="Z14" s="14" t="inlineStr">
        <is>
          <t>2025_H1</t>
        </is>
      </c>
    </row>
    <row r="15">
      <c r="A15" s="14" t="inlineStr">
        <is>
          <t>2025-01-24</t>
        </is>
      </c>
      <c r="B15" s="7" t="inlineStr">
        <is>
          <t>HINDPETRO</t>
        </is>
      </c>
      <c r="C15" s="14" t="inlineStr">
        <is>
          <t>PE</t>
        </is>
      </c>
      <c r="D15" s="14" t="inlineStr">
        <is>
          <t>mid</t>
        </is>
      </c>
      <c r="E15" s="21" t="n">
        <v>355</v>
      </c>
      <c r="F15" s="14" t="inlineStr">
        <is>
          <t>2025-01-30</t>
        </is>
      </c>
      <c r="G15" s="8" t="n">
        <v>2025</v>
      </c>
      <c r="H15" s="22" t="n">
        <v>256.8</v>
      </c>
      <c r="I15" s="22" t="n">
        <v>1682.9</v>
      </c>
      <c r="J15" s="22" t="n">
        <v>0.5</v>
      </c>
      <c r="K15" s="23" t="n">
        <v>3.15</v>
      </c>
      <c r="L15" s="23" t="n">
        <v>3.1</v>
      </c>
      <c r="M15" s="23" t="n">
        <v>8.6</v>
      </c>
      <c r="N15" s="23" t="n">
        <v>1.3</v>
      </c>
      <c r="O15" s="23" t="n">
        <v>7.8</v>
      </c>
      <c r="P15" s="23" t="n">
        <v>7.75</v>
      </c>
      <c r="Q15" s="8">
        <f>K15*G15</f>
        <v/>
      </c>
      <c r="R15" s="24">
        <f>(M15-K15)*G15</f>
        <v/>
      </c>
      <c r="S15" s="25">
        <f>(M15/K15-1)*100</f>
        <v/>
      </c>
      <c r="T15" s="26">
        <f>(N15-K15)*G15</f>
        <v/>
      </c>
      <c r="U15" s="27">
        <f>(N15/K15-1)*100</f>
        <v/>
      </c>
      <c r="V15" s="11">
        <f>(P15-K15)*G15</f>
        <v/>
      </c>
      <c r="W15" s="11" t="n">
        <v>8793.32</v>
      </c>
      <c r="X15" s="10">
        <f>W15/Q15*100</f>
        <v/>
      </c>
      <c r="Y15" s="12" t="n">
        <v>5.706</v>
      </c>
      <c r="Z15" s="14" t="inlineStr">
        <is>
          <t>2025_H1</t>
        </is>
      </c>
    </row>
    <row r="16">
      <c r="A16" s="14" t="inlineStr">
        <is>
          <t>2025-01-24</t>
        </is>
      </c>
      <c r="B16" s="7" t="inlineStr">
        <is>
          <t>INDUSTOWER</t>
        </is>
      </c>
      <c r="C16" s="14" t="inlineStr">
        <is>
          <t>PE</t>
        </is>
      </c>
      <c r="D16" s="14" t="inlineStr">
        <is>
          <t>mid</t>
        </is>
      </c>
      <c r="E16" s="21" t="n">
        <v>355</v>
      </c>
      <c r="F16" s="14" t="inlineStr">
        <is>
          <t>2025-01-30</t>
        </is>
      </c>
      <c r="G16" s="8" t="n">
        <v>1700</v>
      </c>
      <c r="H16" s="22" t="n">
        <v>159.9</v>
      </c>
      <c r="I16" s="22" t="n">
        <v>80</v>
      </c>
      <c r="J16" s="22" t="n">
        <v>4.8</v>
      </c>
      <c r="K16" s="23" t="n">
        <v>2.95</v>
      </c>
      <c r="L16" s="23" t="n">
        <v>2.9</v>
      </c>
      <c r="M16" s="23" t="n">
        <v>4.5</v>
      </c>
      <c r="N16" s="23" t="n">
        <v>1.1</v>
      </c>
      <c r="O16" s="23" t="n">
        <v>1.5</v>
      </c>
      <c r="P16" s="23" t="n">
        <v>1.45</v>
      </c>
      <c r="Q16" s="8">
        <f>K16*G16</f>
        <v/>
      </c>
      <c r="R16" s="24">
        <f>(M16-K16)*G16</f>
        <v/>
      </c>
      <c r="S16" s="25">
        <f>(M16/K16-1)*100</f>
        <v/>
      </c>
      <c r="T16" s="26">
        <f>(N16-K16)*G16</f>
        <v/>
      </c>
      <c r="U16" s="27">
        <f>(N16/K16-1)*100</f>
        <v/>
      </c>
      <c r="V16" s="11">
        <f>(P16-K16)*G16</f>
        <v/>
      </c>
      <c r="W16" s="11" t="n">
        <v>-2753.8</v>
      </c>
      <c r="X16" s="10">
        <f>W16/Q16*100</f>
        <v/>
      </c>
      <c r="Y16" s="12" t="n">
        <v>-0.204</v>
      </c>
      <c r="Z16" s="14" t="inlineStr">
        <is>
          <t>2025_H1</t>
        </is>
      </c>
    </row>
    <row r="17">
      <c r="A17" s="14" t="inlineStr">
        <is>
          <t>2025-01-24</t>
        </is>
      </c>
      <c r="B17" s="7" t="inlineStr">
        <is>
          <t>MPHASIS</t>
        </is>
      </c>
      <c r="C17" s="14" t="inlineStr">
        <is>
          <t>PE</t>
        </is>
      </c>
      <c r="D17" s="14" t="inlineStr">
        <is>
          <t>mid</t>
        </is>
      </c>
      <c r="E17" s="21" t="n">
        <v>2700</v>
      </c>
      <c r="F17" s="14" t="inlineStr">
        <is>
          <t>2025-01-30</t>
        </is>
      </c>
      <c r="G17" s="8" t="n">
        <v>275</v>
      </c>
      <c r="H17" s="22" t="n">
        <v>14.5</v>
      </c>
      <c r="I17" s="22" t="n">
        <v>1.1</v>
      </c>
      <c r="J17" s="22" t="n">
        <v>6.7</v>
      </c>
      <c r="K17" s="23" t="n">
        <v>17.05</v>
      </c>
      <c r="L17" s="23" t="n">
        <v>17</v>
      </c>
      <c r="M17" s="23" t="n">
        <v>29.4</v>
      </c>
      <c r="N17" s="23" t="n">
        <v>2.4</v>
      </c>
      <c r="O17" s="23" t="n">
        <v>2.65</v>
      </c>
      <c r="P17" s="23" t="n">
        <v>2.6</v>
      </c>
      <c r="Q17" s="8">
        <f>K17*G17</f>
        <v/>
      </c>
      <c r="R17" s="24">
        <f>(M17-K17)*G17</f>
        <v/>
      </c>
      <c r="S17" s="25">
        <f>(M17/K17-1)*100</f>
        <v/>
      </c>
      <c r="T17" s="26">
        <f>(N17-K17)*G17</f>
        <v/>
      </c>
      <c r="U17" s="27">
        <f>(N17/K17-1)*100</f>
        <v/>
      </c>
      <c r="V17" s="11">
        <f>(P17-K17)*G17</f>
        <v/>
      </c>
      <c r="W17" s="11" t="n">
        <v>-4132.51</v>
      </c>
      <c r="X17" s="10">
        <f>W17/Q17*100</f>
        <v/>
      </c>
      <c r="Y17" s="12" t="n">
        <v>-5.184</v>
      </c>
      <c r="Z17" s="14" t="inlineStr">
        <is>
          <t>2025_H1</t>
        </is>
      </c>
    </row>
    <row r="18">
      <c r="A18" s="14" t="inlineStr">
        <is>
          <t>2025-01-24</t>
        </is>
      </c>
      <c r="B18" s="7" t="inlineStr">
        <is>
          <t>SONACOMS</t>
        </is>
      </c>
      <c r="C18" s="14" t="inlineStr">
        <is>
          <t>PE</t>
        </is>
      </c>
      <c r="D18" s="14" t="inlineStr">
        <is>
          <t>mid</t>
        </is>
      </c>
      <c r="E18" s="21" t="n">
        <v>510</v>
      </c>
      <c r="F18" s="14" t="inlineStr">
        <is>
          <t>2025-01-30</t>
        </is>
      </c>
      <c r="G18" s="8" t="n">
        <v>775</v>
      </c>
      <c r="H18" s="22" t="n">
        <v>12.8</v>
      </c>
      <c r="I18" s="22" t="n">
        <v>5</v>
      </c>
      <c r="J18" s="22" t="n">
        <v>11.8</v>
      </c>
      <c r="K18" s="23" t="n">
        <v>9.1</v>
      </c>
      <c r="L18" s="23" t="n">
        <v>9.050000000000001</v>
      </c>
      <c r="M18" s="23" t="n">
        <v>9.050000000000001</v>
      </c>
      <c r="N18" s="23" t="n">
        <v>2.55</v>
      </c>
      <c r="O18" s="23" t="n">
        <v>3.15</v>
      </c>
      <c r="P18" s="23" t="n">
        <v>3.1</v>
      </c>
      <c r="Q18" s="8">
        <f>K18*G18</f>
        <v/>
      </c>
      <c r="R18" s="24">
        <f>(M18-K18)*G18</f>
        <v/>
      </c>
      <c r="S18" s="25">
        <f>(M18/K18-1)*100</f>
        <v/>
      </c>
      <c r="T18" s="26">
        <f>(N18-K18)*G18</f>
        <v/>
      </c>
      <c r="U18" s="27">
        <f>(N18/K18-1)*100</f>
        <v/>
      </c>
      <c r="V18" s="11">
        <f>(P18-K18)*G18</f>
        <v/>
      </c>
      <c r="W18" s="11" t="n">
        <v>-4894.08</v>
      </c>
      <c r="X18" s="10">
        <f>W18/Q18*100</f>
        <v/>
      </c>
      <c r="Y18" s="12" t="n">
        <v>-2.951</v>
      </c>
      <c r="Z18" s="14" t="inlineStr">
        <is>
          <t>2025_H1</t>
        </is>
      </c>
    </row>
    <row r="19">
      <c r="A19" s="14" t="inlineStr">
        <is>
          <t>2025-01-27</t>
        </is>
      </c>
      <c r="B19" s="7" t="inlineStr">
        <is>
          <t>LAURUSLABS</t>
        </is>
      </c>
      <c r="C19" s="14" t="inlineStr">
        <is>
          <t>PE</t>
        </is>
      </c>
      <c r="D19" s="14" t="inlineStr">
        <is>
          <t>small</t>
        </is>
      </c>
      <c r="E19" s="21" t="n">
        <v>560</v>
      </c>
      <c r="F19" s="14" t="inlineStr">
        <is>
          <t>2025-01-30</t>
        </is>
      </c>
      <c r="G19" s="8" t="n">
        <v>1700</v>
      </c>
      <c r="H19" s="22" t="n">
        <v>298.2</v>
      </c>
      <c r="I19" s="22" t="n">
        <v>365.9</v>
      </c>
      <c r="J19" s="22" t="n">
        <v>18.4</v>
      </c>
      <c r="K19" s="23" t="n">
        <v>4.05</v>
      </c>
      <c r="L19" s="23" t="n">
        <v>4</v>
      </c>
      <c r="M19" s="23" t="n">
        <v>53</v>
      </c>
      <c r="N19" s="23" t="n">
        <v>3.25</v>
      </c>
      <c r="O19" s="23" t="n">
        <v>29.55</v>
      </c>
      <c r="P19" s="23" t="n">
        <v>29.5</v>
      </c>
      <c r="Q19" s="8">
        <f>K19*G19</f>
        <v/>
      </c>
      <c r="R19" s="24">
        <f>(M19-K19)*G19</f>
        <v/>
      </c>
      <c r="S19" s="25">
        <f>(M19/K19-1)*100</f>
        <v/>
      </c>
      <c r="T19" s="26">
        <f>(N19-K19)*G19</f>
        <v/>
      </c>
      <c r="U19" s="27">
        <f>(N19/K19-1)*100</f>
        <v/>
      </c>
      <c r="V19" s="11">
        <f>(P19-K19)*G19</f>
        <v/>
      </c>
      <c r="W19" s="11" t="n">
        <v>41407.32</v>
      </c>
      <c r="X19" s="10">
        <f>W19/Q19*100</f>
        <v/>
      </c>
      <c r="Y19" s="12" t="n">
        <v>12.352</v>
      </c>
      <c r="Z19" s="14" t="inlineStr">
        <is>
          <t>2025_H1</t>
        </is>
      </c>
    </row>
    <row r="20">
      <c r="A20" s="14" t="inlineStr">
        <is>
          <t>2025-01-27</t>
        </is>
      </c>
      <c r="B20" s="7" t="inlineStr">
        <is>
          <t>LODHA</t>
        </is>
      </c>
      <c r="C20" s="14" t="inlineStr">
        <is>
          <t>PE</t>
        </is>
      </c>
      <c r="D20" s="14" t="inlineStr">
        <is>
          <t>large</t>
        </is>
      </c>
      <c r="E20" s="21" t="n">
        <v>1060</v>
      </c>
      <c r="F20" s="14" t="inlineStr">
        <is>
          <t>2025-01-30</t>
        </is>
      </c>
      <c r="G20" s="8" t="n">
        <v>450</v>
      </c>
      <c r="H20" s="22" t="n">
        <v>87</v>
      </c>
      <c r="I20" s="22" t="n">
        <v>123.3</v>
      </c>
      <c r="J20" s="22" t="n">
        <v>39.3</v>
      </c>
      <c r="K20" s="23" t="n">
        <v>3.15</v>
      </c>
      <c r="L20" s="23" t="n">
        <v>3.1</v>
      </c>
      <c r="M20" s="23" t="n">
        <v>17.65</v>
      </c>
      <c r="N20" s="23" t="n">
        <v>3.1</v>
      </c>
      <c r="O20" s="23" t="n">
        <v>7.45</v>
      </c>
      <c r="P20" s="23" t="n">
        <v>7.4</v>
      </c>
      <c r="Q20" s="8">
        <f>K20*G20</f>
        <v/>
      </c>
      <c r="R20" s="24">
        <f>(M20-K20)*G20</f>
        <v/>
      </c>
      <c r="S20" s="25">
        <f>(M20/K20-1)*100</f>
        <v/>
      </c>
      <c r="T20" s="26">
        <f>(N20-K20)*G20</f>
        <v/>
      </c>
      <c r="U20" s="27">
        <f>(N20/K20-1)*100</f>
        <v/>
      </c>
      <c r="V20" s="11">
        <f>(P20-K20)*G20</f>
        <v/>
      </c>
      <c r="W20" s="11" t="n">
        <v>1810.81</v>
      </c>
      <c r="X20" s="10">
        <f>W20/Q20*100</f>
        <v/>
      </c>
      <c r="Y20" s="12" t="n">
        <v>-0.318</v>
      </c>
      <c r="Z20" s="14" t="inlineStr">
        <is>
          <t>2025_H1</t>
        </is>
      </c>
    </row>
    <row r="21">
      <c r="A21" s="14" t="inlineStr">
        <is>
          <t>2025-01-27</t>
        </is>
      </c>
      <c r="B21" s="7" t="inlineStr">
        <is>
          <t>SHRIRAMFIN</t>
        </is>
      </c>
      <c r="C21" s="14" t="inlineStr">
        <is>
          <t>PE</t>
        </is>
      </c>
      <c r="D21" s="14" t="inlineStr">
        <is>
          <t>large</t>
        </is>
      </c>
      <c r="E21" s="21" t="n">
        <v>520</v>
      </c>
      <c r="F21" s="14" t="inlineStr">
        <is>
          <t>2025-01-30</t>
        </is>
      </c>
      <c r="G21" s="8" t="n">
        <v>750</v>
      </c>
      <c r="H21" s="22" t="n">
        <v>73.40000000000001</v>
      </c>
      <c r="I21" s="22" t="n">
        <v>50.9</v>
      </c>
      <c r="J21" s="22" t="n">
        <v>15</v>
      </c>
      <c r="K21" s="23" t="n">
        <v>8.1</v>
      </c>
      <c r="L21" s="23" t="n">
        <v>8.050000000000001</v>
      </c>
      <c r="M21" s="23" t="n">
        <v>15.4</v>
      </c>
      <c r="N21" s="23" t="n">
        <v>5.95</v>
      </c>
      <c r="O21" s="23" t="n">
        <v>13.7</v>
      </c>
      <c r="P21" s="23" t="n">
        <v>13.65</v>
      </c>
      <c r="Q21" s="8">
        <f>K21*G21</f>
        <v/>
      </c>
      <c r="R21" s="24">
        <f>(M21-K21)*G21</f>
        <v/>
      </c>
      <c r="S21" s="25">
        <f>(M21/K21-1)*100</f>
        <v/>
      </c>
      <c r="T21" s="26">
        <f>(N21-K21)*G21</f>
        <v/>
      </c>
      <c r="U21" s="27">
        <f>(N21/K21-1)*100</f>
        <v/>
      </c>
      <c r="V21" s="11">
        <f>(P21-K21)*G21</f>
        <v/>
      </c>
      <c r="W21" s="11" t="n">
        <v>3929.77</v>
      </c>
      <c r="X21" s="10">
        <f>W21/Q21*100</f>
        <v/>
      </c>
      <c r="Y21" s="12" t="n">
        <v>2.71</v>
      </c>
      <c r="Z21" s="14" t="inlineStr">
        <is>
          <t>2025_H1</t>
        </is>
      </c>
    </row>
    <row r="22">
      <c r="A22" s="14" t="inlineStr">
        <is>
          <t>2025-01-27</t>
        </is>
      </c>
      <c r="B22" s="7" t="inlineStr">
        <is>
          <t>TORNTPHARM</t>
        </is>
      </c>
      <c r="C22" s="14" t="inlineStr">
        <is>
          <t>PE</t>
        </is>
      </c>
      <c r="D22" s="14" t="inlineStr">
        <is>
          <t>large</t>
        </is>
      </c>
      <c r="E22" s="21" t="n">
        <v>3200</v>
      </c>
      <c r="F22" s="14" t="inlineStr">
        <is>
          <t>2025-01-30</t>
        </is>
      </c>
      <c r="G22" s="8" t="n">
        <v>250</v>
      </c>
      <c r="H22" s="22" t="n">
        <v>13.5</v>
      </c>
      <c r="I22" s="22" t="n">
        <v>11</v>
      </c>
      <c r="J22" s="22" t="n">
        <v>2.8</v>
      </c>
      <c r="K22" s="23" t="n">
        <v>20.05</v>
      </c>
      <c r="L22" s="23" t="n">
        <v>20</v>
      </c>
      <c r="M22" s="23" t="n">
        <v>33.6</v>
      </c>
      <c r="N22" s="23" t="n">
        <v>8.300000000000001</v>
      </c>
      <c r="O22" s="23" t="n">
        <v>10.5</v>
      </c>
      <c r="P22" s="23" t="n">
        <v>10.45</v>
      </c>
      <c r="Q22" s="8">
        <f>K22*G22</f>
        <v/>
      </c>
      <c r="R22" s="24">
        <f>(M22-K22)*G22</f>
        <v/>
      </c>
      <c r="S22" s="25">
        <f>(M22/K22-1)*100</f>
        <v/>
      </c>
      <c r="T22" s="26">
        <f>(N22-K22)*G22</f>
        <v/>
      </c>
      <c r="U22" s="27">
        <f>(N22/K22-1)*100</f>
        <v/>
      </c>
      <c r="V22" s="11">
        <f>(P22-K22)*G22</f>
        <v/>
      </c>
      <c r="W22" s="11" t="n">
        <v>-2530.73</v>
      </c>
      <c r="X22" s="10">
        <f>W22/Q22*100</f>
        <v/>
      </c>
      <c r="Y22" s="12" t="n">
        <v>-2.7</v>
      </c>
      <c r="Z22" s="14" t="inlineStr">
        <is>
          <t>2025_H1</t>
        </is>
      </c>
    </row>
    <row r="23">
      <c r="A23" s="14" t="inlineStr">
        <is>
          <t>2025-01-29</t>
        </is>
      </c>
      <c r="B23" s="7" t="inlineStr">
        <is>
          <t>BOSCHLTD</t>
        </is>
      </c>
      <c r="C23" s="14" t="inlineStr">
        <is>
          <t>CE</t>
        </is>
      </c>
      <c r="D23" s="14" t="inlineStr">
        <is>
          <t>large</t>
        </is>
      </c>
      <c r="E23" s="21" t="n">
        <v>32000</v>
      </c>
      <c r="F23" s="14" t="inlineStr">
        <is>
          <t>2025-02-27</t>
        </is>
      </c>
      <c r="G23" s="8" t="n">
        <v>25</v>
      </c>
      <c r="H23" s="22" t="n">
        <v>-11.5</v>
      </c>
      <c r="I23" s="22" t="n">
        <v>-14.5</v>
      </c>
      <c r="J23" s="22" t="n">
        <v>6.2</v>
      </c>
      <c r="K23" s="23" t="n">
        <v>124.45</v>
      </c>
      <c r="L23" s="23" t="n">
        <v>124.4</v>
      </c>
      <c r="M23" s="23" t="n">
        <v>130.4</v>
      </c>
      <c r="N23" s="23" t="n">
        <v>77.05</v>
      </c>
      <c r="O23" s="23" t="n">
        <v>94.84999999999999</v>
      </c>
      <c r="P23" s="23" t="n">
        <v>94.8</v>
      </c>
      <c r="Q23" s="8">
        <f>K23*G23</f>
        <v/>
      </c>
      <c r="R23" s="24">
        <f>(M23-K23)*G23</f>
        <v/>
      </c>
      <c r="S23" s="25">
        <f>(M23/K23-1)*100</f>
        <v/>
      </c>
      <c r="T23" s="26">
        <f>(N23-K23)*G23</f>
        <v/>
      </c>
      <c r="U23" s="27">
        <f>(N23/K23-1)*100</f>
        <v/>
      </c>
      <c r="V23" s="11">
        <f>(P23-K23)*G23</f>
        <v/>
      </c>
      <c r="W23" s="11" t="n">
        <v>-849.21</v>
      </c>
      <c r="X23" s="10">
        <f>W23/Q23*100</f>
        <v/>
      </c>
      <c r="Y23" s="12" t="n">
        <v>-2.912</v>
      </c>
      <c r="Z23" s="14" t="inlineStr">
        <is>
          <t>2025_H1</t>
        </is>
      </c>
    </row>
    <row r="24">
      <c r="A24" s="14" t="inlineStr">
        <is>
          <t>2025-01-29</t>
        </is>
      </c>
      <c r="B24" s="7" t="inlineStr">
        <is>
          <t>CIPLA</t>
        </is>
      </c>
      <c r="C24" s="14" t="inlineStr">
        <is>
          <t>PE</t>
        </is>
      </c>
      <c r="D24" s="14" t="inlineStr">
        <is>
          <t>large</t>
        </is>
      </c>
      <c r="E24" s="21" t="n">
        <v>1360</v>
      </c>
      <c r="F24" s="14" t="inlineStr">
        <is>
          <t>2025-02-27</t>
        </is>
      </c>
      <c r="G24" s="8" t="n">
        <v>325</v>
      </c>
      <c r="H24" s="22" t="n">
        <v>47.4</v>
      </c>
      <c r="I24" s="22" t="n">
        <v>20.7</v>
      </c>
      <c r="J24" s="22" t="n">
        <v>7.1</v>
      </c>
      <c r="K24" s="23" t="n">
        <v>18.8</v>
      </c>
      <c r="L24" s="23" t="n">
        <v>18.75</v>
      </c>
      <c r="M24" s="23" t="n">
        <v>25.85</v>
      </c>
      <c r="N24" s="23" t="n">
        <v>15.15</v>
      </c>
      <c r="O24" s="23" t="n">
        <v>20.15</v>
      </c>
      <c r="P24" s="23" t="n">
        <v>20.1</v>
      </c>
      <c r="Q24" s="8">
        <f>K24*G24</f>
        <v/>
      </c>
      <c r="R24" s="24">
        <f>(M24-K24)*G24</f>
        <v/>
      </c>
      <c r="S24" s="25">
        <f>(M24/K24-1)*100</f>
        <v/>
      </c>
      <c r="T24" s="26">
        <f>(N24-K24)*G24</f>
        <v/>
      </c>
      <c r="U24" s="27">
        <f>(N24/K24-1)*100</f>
        <v/>
      </c>
      <c r="V24" s="11">
        <f>(P24-K24)*G24</f>
        <v/>
      </c>
      <c r="W24" s="11" t="n">
        <v>233.58</v>
      </c>
      <c r="X24" s="10">
        <f>W24/Q24*100</f>
        <v/>
      </c>
      <c r="Y24" s="12" t="n">
        <v>1.115</v>
      </c>
      <c r="Z24" s="14" t="inlineStr">
        <is>
          <t>2025_H1</t>
        </is>
      </c>
    </row>
    <row r="25">
      <c r="A25" s="14" t="inlineStr">
        <is>
          <t>2025-01-29</t>
        </is>
      </c>
      <c r="B25" s="7" t="inlineStr">
        <is>
          <t>JSWENERGY</t>
        </is>
      </c>
      <c r="C25" s="14" t="inlineStr">
        <is>
          <t>CE</t>
        </is>
      </c>
      <c r="D25" s="14" t="inlineStr">
        <is>
          <t>large</t>
        </is>
      </c>
      <c r="E25" s="21" t="n">
        <v>550</v>
      </c>
      <c r="F25" s="14" t="inlineStr">
        <is>
          <t>2025-02-27</t>
        </is>
      </c>
      <c r="G25" s="8" t="n">
        <v>750</v>
      </c>
      <c r="H25" s="22" t="n">
        <v>-32.2</v>
      </c>
      <c r="I25" s="22" t="n">
        <v>-82</v>
      </c>
      <c r="J25" s="22" t="n">
        <v>-4.1</v>
      </c>
      <c r="K25" s="23" t="n">
        <v>8.050000000000001</v>
      </c>
      <c r="L25" s="23" t="n">
        <v>8</v>
      </c>
      <c r="M25" s="23" t="n">
        <v>10.45</v>
      </c>
      <c r="N25" s="23" t="n">
        <v>3.8</v>
      </c>
      <c r="O25" s="23" t="n">
        <v>6.45</v>
      </c>
      <c r="P25" s="23" t="n">
        <v>6.4</v>
      </c>
      <c r="Q25" s="8">
        <f>K25*G25</f>
        <v/>
      </c>
      <c r="R25" s="24">
        <f>(M25-K25)*G25</f>
        <v/>
      </c>
      <c r="S25" s="25">
        <f>(M25/K25-1)*100</f>
        <v/>
      </c>
      <c r="T25" s="26">
        <f>(N25-K25)*G25</f>
        <v/>
      </c>
      <c r="U25" s="27">
        <f>(N25/K25-1)*100</f>
        <v/>
      </c>
      <c r="V25" s="11">
        <f>(P25-K25)*G25</f>
        <v/>
      </c>
      <c r="W25" s="11" t="n">
        <v>-1405.03</v>
      </c>
      <c r="X25" s="10">
        <f>W25/Q25*100</f>
        <v/>
      </c>
      <c r="Y25" s="12" t="n">
        <v>2.383</v>
      </c>
      <c r="Z25" s="14" t="inlineStr">
        <is>
          <t>2025_H1</t>
        </is>
      </c>
    </row>
    <row r="26">
      <c r="A26" s="14" t="inlineStr">
        <is>
          <t>2025-01-29</t>
        </is>
      </c>
      <c r="B26" s="7" t="inlineStr">
        <is>
          <t>SBICARD</t>
        </is>
      </c>
      <c r="C26" s="14" t="inlineStr">
        <is>
          <t>CE</t>
        </is>
      </c>
      <c r="D26" s="14" t="inlineStr">
        <is>
          <t>mid</t>
        </is>
      </c>
      <c r="E26" s="21" t="n">
        <v>800</v>
      </c>
      <c r="F26" s="14" t="inlineStr">
        <is>
          <t>2025-02-27</t>
        </is>
      </c>
      <c r="G26" s="8" t="n">
        <v>800</v>
      </c>
      <c r="H26" s="22" t="n">
        <v>-30.2</v>
      </c>
      <c r="I26" s="22" t="n">
        <v>-5.2</v>
      </c>
      <c r="J26" s="22" t="n">
        <v>-0.1</v>
      </c>
      <c r="K26" s="23" t="n">
        <v>9.550000000000001</v>
      </c>
      <c r="L26" s="23" t="n">
        <v>9.5</v>
      </c>
      <c r="M26" s="23" t="n">
        <v>15.15</v>
      </c>
      <c r="N26" s="23" t="n">
        <v>5.1</v>
      </c>
      <c r="O26" s="23" t="n">
        <v>10.8</v>
      </c>
      <c r="P26" s="23" t="n">
        <v>10.75</v>
      </c>
      <c r="Q26" s="8">
        <f>K26*G26</f>
        <v/>
      </c>
      <c r="R26" s="24">
        <f>(M26-K26)*G26</f>
        <v/>
      </c>
      <c r="S26" s="25">
        <f>(M26/K26-1)*100</f>
        <v/>
      </c>
      <c r="T26" s="26">
        <f>(N26-K26)*G26</f>
        <v/>
      </c>
      <c r="U26" s="27">
        <f>(N26/K26-1)*100</f>
        <v/>
      </c>
      <c r="V26" s="11">
        <f>(P26-K26)*G26</f>
        <v/>
      </c>
      <c r="W26" s="11" t="n">
        <v>568.04</v>
      </c>
      <c r="X26" s="10">
        <f>W26/Q26*100</f>
        <v/>
      </c>
      <c r="Y26" s="12" t="n">
        <v>4.732</v>
      </c>
      <c r="Z26" s="14" t="inlineStr">
        <is>
          <t>2025_H1</t>
        </is>
      </c>
    </row>
    <row r="27">
      <c r="A27" s="14" t="inlineStr">
        <is>
          <t>2025-01-29</t>
        </is>
      </c>
      <c r="B27" s="7" t="inlineStr">
        <is>
          <t>TVSMOTOR</t>
        </is>
      </c>
      <c r="C27" s="14" t="inlineStr">
        <is>
          <t>PE</t>
        </is>
      </c>
      <c r="D27" s="14" t="inlineStr">
        <is>
          <t>large</t>
        </is>
      </c>
      <c r="E27" s="21" t="n">
        <v>2120</v>
      </c>
      <c r="F27" s="14" t="inlineStr">
        <is>
          <t>2025-02-27</t>
        </is>
      </c>
      <c r="G27" s="8" t="n">
        <v>350</v>
      </c>
      <c r="H27" s="22" t="n">
        <v>19.6</v>
      </c>
      <c r="I27" s="22" t="n">
        <v>3.6</v>
      </c>
      <c r="J27" s="22" t="n">
        <v>10.1</v>
      </c>
      <c r="K27" s="23" t="n">
        <v>3.6</v>
      </c>
      <c r="L27" s="23" t="n">
        <v>3.55</v>
      </c>
      <c r="M27" s="23" t="n">
        <v>14</v>
      </c>
      <c r="N27" s="23" t="n">
        <v>3.55</v>
      </c>
      <c r="O27" s="23" t="n">
        <v>7.15</v>
      </c>
      <c r="P27" s="23" t="n">
        <v>7.1</v>
      </c>
      <c r="Q27" s="8">
        <f>K27*G27</f>
        <v/>
      </c>
      <c r="R27" s="24">
        <f>(M27-K27)*G27</f>
        <v/>
      </c>
      <c r="S27" s="25">
        <f>(M27/K27-1)*100</f>
        <v/>
      </c>
      <c r="T27" s="26">
        <f>(N27-K27)*G27</f>
        <v/>
      </c>
      <c r="U27" s="27">
        <f>(N27/K27-1)*100</f>
        <v/>
      </c>
      <c r="V27" s="11">
        <f>(P27-K27)*G27</f>
        <v/>
      </c>
      <c r="W27" s="11" t="n">
        <v>1135.01</v>
      </c>
      <c r="X27" s="10">
        <f>W27/Q27*100</f>
        <v/>
      </c>
      <c r="Y27" s="12" t="n">
        <v>-4.483</v>
      </c>
      <c r="Z27" s="14" t="inlineStr">
        <is>
          <t>2025_H1</t>
        </is>
      </c>
    </row>
    <row r="28">
      <c r="A28" s="14" t="inlineStr">
        <is>
          <t>2025-01-30</t>
        </is>
      </c>
      <c r="B28" s="7" t="inlineStr">
        <is>
          <t>AMBUJACEM</t>
        </is>
      </c>
      <c r="C28" s="14" t="inlineStr">
        <is>
          <t>PE</t>
        </is>
      </c>
      <c r="D28" s="14" t="inlineStr">
        <is>
          <t>large</t>
        </is>
      </c>
      <c r="E28" s="21" t="n">
        <v>470</v>
      </c>
      <c r="F28" s="14" t="inlineStr">
        <is>
          <t>2025-02-27</t>
        </is>
      </c>
      <c r="G28" s="8" t="n">
        <v>900</v>
      </c>
      <c r="H28" s="22" t="n">
        <v>140.5</v>
      </c>
      <c r="I28" s="22" t="n">
        <v>454.1</v>
      </c>
      <c r="J28" s="22" t="n">
        <v>14.8</v>
      </c>
      <c r="K28" s="23" t="n">
        <v>8.25</v>
      </c>
      <c r="L28" s="23" t="n">
        <v>8.199999999999999</v>
      </c>
      <c r="M28" s="23" t="n">
        <v>15.15</v>
      </c>
      <c r="N28" s="23" t="n">
        <v>7.5</v>
      </c>
      <c r="O28" s="23" t="n">
        <v>7.95</v>
      </c>
      <c r="P28" s="23" t="n">
        <v>7.9</v>
      </c>
      <c r="Q28" s="8">
        <f>K28*G28</f>
        <v/>
      </c>
      <c r="R28" s="24">
        <f>(M28-K28)*G28</f>
        <v/>
      </c>
      <c r="S28" s="25">
        <f>(M28/K28-1)*100</f>
        <v/>
      </c>
      <c r="T28" s="26">
        <f>(N28-K28)*G28</f>
        <v/>
      </c>
      <c r="U28" s="27">
        <f>(N28/K28-1)*100</f>
        <v/>
      </c>
      <c r="V28" s="11">
        <f>(P28-K28)*G28</f>
        <v/>
      </c>
      <c r="W28" s="11" t="n">
        <v>-524.5700000000001</v>
      </c>
      <c r="X28" s="10">
        <f>W28/Q28*100</f>
        <v/>
      </c>
      <c r="Y28" s="12" t="n">
        <v>3.549</v>
      </c>
      <c r="Z28" s="14" t="inlineStr">
        <is>
          <t>2025_H1</t>
        </is>
      </c>
    </row>
    <row r="29">
      <c r="A29" s="14" t="inlineStr">
        <is>
          <t>2025-01-30</t>
        </is>
      </c>
      <c r="B29" s="7" t="inlineStr">
        <is>
          <t>BAJFINANCE</t>
        </is>
      </c>
      <c r="C29" s="14" t="inlineStr">
        <is>
          <t>PE</t>
        </is>
      </c>
      <c r="D29" s="14" t="inlineStr">
        <is>
          <t>large</t>
        </is>
      </c>
      <c r="E29" s="21" t="n">
        <v>7100</v>
      </c>
      <c r="F29" s="14" t="inlineStr">
        <is>
          <t>2025-02-27</t>
        </is>
      </c>
      <c r="G29" s="8" t="n">
        <v>125</v>
      </c>
      <c r="H29" s="22" t="n">
        <v>18.4</v>
      </c>
      <c r="I29" s="22" t="n">
        <v>7.3</v>
      </c>
      <c r="J29" s="22" t="n">
        <v>27.4</v>
      </c>
      <c r="K29" s="23" t="n">
        <v>52.1</v>
      </c>
      <c r="L29" s="23" t="n">
        <v>52.05</v>
      </c>
      <c r="M29" s="23" t="n">
        <v>52.05</v>
      </c>
      <c r="N29" s="23" t="n">
        <v>30.7</v>
      </c>
      <c r="O29" s="23" t="n">
        <v>35.9</v>
      </c>
      <c r="P29" s="23" t="n">
        <v>35.85</v>
      </c>
      <c r="Q29" s="8">
        <f>K29*G29</f>
        <v/>
      </c>
      <c r="R29" s="24">
        <f>(M29-K29)*G29</f>
        <v/>
      </c>
      <c r="S29" s="25">
        <f>(M29/K29-1)*100</f>
        <v/>
      </c>
      <c r="T29" s="26">
        <f>(N29-K29)*G29</f>
        <v/>
      </c>
      <c r="U29" s="27">
        <f>(N29/K29-1)*100</f>
        <v/>
      </c>
      <c r="V29" s="11">
        <f>(P29-K29)*G29</f>
        <v/>
      </c>
      <c r="W29" s="11" t="n">
        <v>-2199.93</v>
      </c>
      <c r="X29" s="10">
        <f>W29/Q29*100</f>
        <v/>
      </c>
      <c r="Y29" s="12" t="n">
        <v>-0.656</v>
      </c>
      <c r="Z29" s="14" t="inlineStr">
        <is>
          <t>2025_H1</t>
        </is>
      </c>
    </row>
    <row r="30">
      <c r="A30" s="14" t="inlineStr">
        <is>
          <t>2025-01-30</t>
        </is>
      </c>
      <c r="B30" s="7" t="inlineStr">
        <is>
          <t>CAMS</t>
        </is>
      </c>
      <c r="C30" s="14" t="inlineStr">
        <is>
          <t>PE</t>
        </is>
      </c>
      <c r="D30" s="14" t="inlineStr">
        <is>
          <t>small</t>
        </is>
      </c>
      <c r="E30" s="21" t="n">
        <v>3300</v>
      </c>
      <c r="F30" s="14" t="inlineStr">
        <is>
          <t>2025-02-27</t>
        </is>
      </c>
      <c r="G30" s="8" t="n">
        <v>125</v>
      </c>
      <c r="H30" s="22" t="n">
        <v>40.2</v>
      </c>
      <c r="I30" s="22" t="n">
        <v>2.7</v>
      </c>
      <c r="J30" s="22" t="n">
        <v>27.6</v>
      </c>
      <c r="K30" s="23" t="n">
        <v>48.7</v>
      </c>
      <c r="L30" s="23" t="n">
        <v>48.65</v>
      </c>
      <c r="M30" s="23" t="n">
        <v>101</v>
      </c>
      <c r="N30" s="23" t="n">
        <v>38</v>
      </c>
      <c r="O30" s="23" t="n">
        <v>87.5</v>
      </c>
      <c r="P30" s="23" t="n">
        <v>87.45</v>
      </c>
      <c r="Q30" s="8">
        <f>K30*G30</f>
        <v/>
      </c>
      <c r="R30" s="24">
        <f>(M30-K30)*G30</f>
        <v/>
      </c>
      <c r="S30" s="25">
        <f>(M30/K30-1)*100</f>
        <v/>
      </c>
      <c r="T30" s="26">
        <f>(N30-K30)*G30</f>
        <v/>
      </c>
      <c r="U30" s="27">
        <f>(N30/K30-1)*100</f>
        <v/>
      </c>
      <c r="V30" s="11">
        <f>(P30-K30)*G30</f>
        <v/>
      </c>
      <c r="W30" s="11" t="n">
        <v>4262.26</v>
      </c>
      <c r="X30" s="10">
        <f>W30/Q30*100</f>
        <v/>
      </c>
      <c r="Y30" s="12" t="n">
        <v>8.704000000000001</v>
      </c>
      <c r="Z30" s="14" t="inlineStr">
        <is>
          <t>2025_H1</t>
        </is>
      </c>
    </row>
    <row r="31">
      <c r="A31" s="14" t="inlineStr">
        <is>
          <t>2025-01-30</t>
        </is>
      </c>
      <c r="B31" s="7" t="inlineStr">
        <is>
          <t>INDIANB</t>
        </is>
      </c>
      <c r="C31" s="14" t="inlineStr">
        <is>
          <t>PE</t>
        </is>
      </c>
      <c r="D31" s="14" t="inlineStr">
        <is>
          <t>mid</t>
        </is>
      </c>
      <c r="E31" s="21" t="n">
        <v>480</v>
      </c>
      <c r="F31" s="14" t="inlineStr">
        <is>
          <t>2025-02-27</t>
        </is>
      </c>
      <c r="G31" s="8" t="n">
        <v>950</v>
      </c>
      <c r="H31" s="22" t="n">
        <v>31.9</v>
      </c>
      <c r="I31" s="22" t="n">
        <v>3.9</v>
      </c>
      <c r="J31" s="22" t="n">
        <v>11</v>
      </c>
      <c r="K31" s="23" t="n">
        <v>5.05</v>
      </c>
      <c r="L31" s="23" t="n">
        <v>5</v>
      </c>
      <c r="M31" s="23" t="n">
        <v>5.15</v>
      </c>
      <c r="N31" s="23" t="n">
        <v>3.55</v>
      </c>
      <c r="O31" s="23" t="n">
        <v>4.4</v>
      </c>
      <c r="P31" s="23" t="n">
        <v>4.35</v>
      </c>
      <c r="Q31" s="8">
        <f>K31*G31</f>
        <v/>
      </c>
      <c r="R31" s="24">
        <f>(M31-K31)*G31</f>
        <v/>
      </c>
      <c r="S31" s="25">
        <f>(M31/K31-1)*100</f>
        <v/>
      </c>
      <c r="T31" s="26">
        <f>(N31-K31)*G31</f>
        <v/>
      </c>
      <c r="U31" s="27">
        <f>(N31/K31-1)*100</f>
        <v/>
      </c>
      <c r="V31" s="11">
        <f>(P31-K31)*G31</f>
        <v/>
      </c>
      <c r="W31" s="11" t="n">
        <v>-900.89</v>
      </c>
      <c r="X31" s="10">
        <f>W31/Q31*100</f>
        <v/>
      </c>
      <c r="Y31" s="12" t="n">
        <v>0.755</v>
      </c>
      <c r="Z31" s="14" t="inlineStr">
        <is>
          <t>2025_H1</t>
        </is>
      </c>
    </row>
    <row r="32">
      <c r="A32" s="14" t="inlineStr">
        <is>
          <t>2025-01-30</t>
        </is>
      </c>
      <c r="B32" s="7" t="inlineStr">
        <is>
          <t>MARUTI</t>
        </is>
      </c>
      <c r="C32" s="14" t="inlineStr">
        <is>
          <t>PE</t>
        </is>
      </c>
      <c r="D32" s="14" t="inlineStr">
        <is>
          <t>large</t>
        </is>
      </c>
      <c r="E32" s="21" t="n">
        <v>11400</v>
      </c>
      <c r="F32" s="14" t="inlineStr">
        <is>
          <t>2025-02-27</t>
        </is>
      </c>
      <c r="G32" s="8" t="n">
        <v>50</v>
      </c>
      <c r="H32" s="22" t="n">
        <v>16.2</v>
      </c>
      <c r="I32" s="22" t="n">
        <v>20.1</v>
      </c>
      <c r="J32" s="22" t="n">
        <v>15.7</v>
      </c>
      <c r="K32" s="23" t="n">
        <v>125.65</v>
      </c>
      <c r="L32" s="23" t="n">
        <v>125.6</v>
      </c>
      <c r="M32" s="23" t="n">
        <v>159.15</v>
      </c>
      <c r="N32" s="23" t="n">
        <v>122</v>
      </c>
      <c r="O32" s="23" t="n">
        <v>132.45</v>
      </c>
      <c r="P32" s="23" t="n">
        <v>132.4</v>
      </c>
      <c r="Q32" s="8">
        <f>K32*G32</f>
        <v/>
      </c>
      <c r="R32" s="24">
        <f>(M32-K32)*G32</f>
        <v/>
      </c>
      <c r="S32" s="25">
        <f>(M32/K32-1)*100</f>
        <v/>
      </c>
      <c r="T32" s="26">
        <f>(N32-K32)*G32</f>
        <v/>
      </c>
      <c r="U32" s="27">
        <f>(N32/K32-1)*100</f>
        <v/>
      </c>
      <c r="V32" s="11">
        <f>(P32-K32)*G32</f>
        <v/>
      </c>
      <c r="W32" s="11" t="n">
        <v>145.73</v>
      </c>
      <c r="X32" s="10">
        <f>W32/Q32*100</f>
        <v/>
      </c>
      <c r="Y32" s="12" t="n">
        <v>0.175</v>
      </c>
      <c r="Z32" s="14" t="inlineStr">
        <is>
          <t>2025_H1</t>
        </is>
      </c>
    </row>
    <row r="33">
      <c r="A33" s="14" t="inlineStr">
        <is>
          <t>2025-01-31</t>
        </is>
      </c>
      <c r="B33" s="7" t="inlineStr">
        <is>
          <t>ADANIENT</t>
        </is>
      </c>
      <c r="C33" s="14" t="inlineStr">
        <is>
          <t>CE</t>
        </is>
      </c>
      <c r="D33" s="14" t="inlineStr">
        <is>
          <t>large</t>
        </is>
      </c>
      <c r="E33" s="21" t="n">
        <v>2520</v>
      </c>
      <c r="F33" s="14" t="inlineStr">
        <is>
          <t>2025-02-27</t>
        </is>
      </c>
      <c r="G33" s="8" t="n">
        <v>300</v>
      </c>
      <c r="H33" s="22" t="n">
        <v>-88.40000000000001</v>
      </c>
      <c r="I33" s="22" t="n">
        <v>-88.5</v>
      </c>
      <c r="J33" s="22" t="n">
        <v>-19.4</v>
      </c>
      <c r="K33" s="23" t="n">
        <v>20.2</v>
      </c>
      <c r="L33" s="23" t="n">
        <v>20.15</v>
      </c>
      <c r="M33" s="23" t="n">
        <v>31.65</v>
      </c>
      <c r="N33" s="23" t="n">
        <v>20.1</v>
      </c>
      <c r="O33" s="23" t="n">
        <v>29.7</v>
      </c>
      <c r="P33" s="23" t="n">
        <v>29.65</v>
      </c>
      <c r="Q33" s="8">
        <f>K33*G33</f>
        <v/>
      </c>
      <c r="R33" s="24">
        <f>(M33-K33)*G33</f>
        <v/>
      </c>
      <c r="S33" s="25">
        <f>(M33/K33-1)*100</f>
        <v/>
      </c>
      <c r="T33" s="26">
        <f>(N33-K33)*G33</f>
        <v/>
      </c>
      <c r="U33" s="27">
        <f>(N33/K33-1)*100</f>
        <v/>
      </c>
      <c r="V33" s="11">
        <f>(P33-K33)*G33</f>
        <v/>
      </c>
      <c r="W33" s="11" t="n">
        <v>2618.44</v>
      </c>
      <c r="X33" s="10">
        <f>W33/Q33*100</f>
        <v/>
      </c>
      <c r="Y33" s="12" t="n">
        <v>2.186</v>
      </c>
      <c r="Z33" s="14" t="inlineStr">
        <is>
          <t>2025_H1</t>
        </is>
      </c>
    </row>
    <row r="34">
      <c r="A34" s="14" t="inlineStr">
        <is>
          <t>2025-01-31</t>
        </is>
      </c>
      <c r="B34" s="7" t="inlineStr">
        <is>
          <t>ADANIPORTS</t>
        </is>
      </c>
      <c r="C34" s="14" t="inlineStr">
        <is>
          <t>PE</t>
        </is>
      </c>
      <c r="D34" s="14" t="inlineStr">
        <is>
          <t>large</t>
        </is>
      </c>
      <c r="E34" s="21" t="n">
        <v>1000</v>
      </c>
      <c r="F34" s="14" t="inlineStr">
        <is>
          <t>2025-02-27</t>
        </is>
      </c>
      <c r="G34" s="8" t="n">
        <v>400</v>
      </c>
      <c r="H34" s="22" t="n">
        <v>14</v>
      </c>
      <c r="I34" s="22" t="n">
        <v>4.4</v>
      </c>
      <c r="J34" s="22" t="n">
        <v>15.1</v>
      </c>
      <c r="K34" s="23" t="n">
        <v>18.85</v>
      </c>
      <c r="L34" s="23" t="n">
        <v>18.8</v>
      </c>
      <c r="M34" s="23" t="n">
        <v>19.2</v>
      </c>
      <c r="N34" s="23" t="n">
        <v>10.05</v>
      </c>
      <c r="O34" s="23" t="n">
        <v>12.05</v>
      </c>
      <c r="P34" s="23" t="n">
        <v>12</v>
      </c>
      <c r="Q34" s="8">
        <f>K34*G34</f>
        <v/>
      </c>
      <c r="R34" s="24">
        <f>(M34-K34)*G34</f>
        <v/>
      </c>
      <c r="S34" s="25">
        <f>(M34/K34-1)*100</f>
        <v/>
      </c>
      <c r="T34" s="26">
        <f>(N34-K34)*G34</f>
        <v/>
      </c>
      <c r="U34" s="27">
        <f>(N34/K34-1)*100</f>
        <v/>
      </c>
      <c r="V34" s="11">
        <f>(P34-K34)*G34</f>
        <v/>
      </c>
      <c r="W34" s="11" t="n">
        <v>-2923.22</v>
      </c>
      <c r="X34" s="10">
        <f>W34/Q34*100</f>
        <v/>
      </c>
      <c r="Y34" s="12" t="n">
        <v>-1.323</v>
      </c>
      <c r="Z34" s="14" t="inlineStr">
        <is>
          <t>2025_H1</t>
        </is>
      </c>
    </row>
    <row r="35">
      <c r="A35" s="14" t="inlineStr">
        <is>
          <t>2025-01-31</t>
        </is>
      </c>
      <c r="B35" s="7" t="inlineStr">
        <is>
          <t>BEL</t>
        </is>
      </c>
      <c r="C35" s="14" t="inlineStr">
        <is>
          <t>PE</t>
        </is>
      </c>
      <c r="D35" s="14" t="inlineStr">
        <is>
          <t>large</t>
        </is>
      </c>
      <c r="E35" s="21" t="n">
        <v>250</v>
      </c>
      <c r="F35" s="14" t="inlineStr">
        <is>
          <t>2025-02-27</t>
        </is>
      </c>
      <c r="G35" s="8" t="n">
        <v>2850</v>
      </c>
      <c r="H35" s="22" t="n">
        <v>52.5</v>
      </c>
      <c r="I35" s="22" t="n">
        <v>20</v>
      </c>
      <c r="J35" s="22" t="n">
        <v>38.6</v>
      </c>
      <c r="K35" s="23" t="n">
        <v>2.75</v>
      </c>
      <c r="L35" s="23" t="n">
        <v>2.7</v>
      </c>
      <c r="M35" s="23" t="n">
        <v>3.45</v>
      </c>
      <c r="N35" s="23" t="n">
        <v>1.4</v>
      </c>
      <c r="O35" s="23" t="n">
        <v>1.7</v>
      </c>
      <c r="P35" s="23" t="n">
        <v>1.65</v>
      </c>
      <c r="Q35" s="8">
        <f>K35*G35</f>
        <v/>
      </c>
      <c r="R35" s="24">
        <f>(M35-K35)*G35</f>
        <v/>
      </c>
      <c r="S35" s="25">
        <f>(M35/K35-1)*100</f>
        <v/>
      </c>
      <c r="T35" s="26">
        <f>(N35-K35)*G35</f>
        <v/>
      </c>
      <c r="U35" s="27">
        <f>(N35/K35-1)*100</f>
        <v/>
      </c>
      <c r="V35" s="11">
        <f>(P35-K35)*G35</f>
        <v/>
      </c>
      <c r="W35" s="11" t="n">
        <v>-3320.15</v>
      </c>
      <c r="X35" s="10">
        <f>W35/Q35*100</f>
        <v/>
      </c>
      <c r="Y35" s="12" t="n">
        <v>-3.082</v>
      </c>
      <c r="Z35" s="14" t="inlineStr">
        <is>
          <t>2025_H1</t>
        </is>
      </c>
    </row>
    <row r="36">
      <c r="A36" s="14" t="inlineStr">
        <is>
          <t>2025-01-31</t>
        </is>
      </c>
      <c r="B36" s="7" t="inlineStr">
        <is>
          <t>GAIL</t>
        </is>
      </c>
      <c r="C36" s="14" t="inlineStr">
        <is>
          <t>PE</t>
        </is>
      </c>
      <c r="D36" s="14" t="inlineStr">
        <is>
          <t>large</t>
        </is>
      </c>
      <c r="E36" s="21" t="n">
        <v>155</v>
      </c>
      <c r="F36" s="14" t="inlineStr">
        <is>
          <t>2025-02-27</t>
        </is>
      </c>
      <c r="G36" s="8" t="n">
        <v>2350</v>
      </c>
      <c r="H36" s="22" t="n">
        <v>27.9</v>
      </c>
      <c r="I36" s="22" t="n">
        <v>51.8</v>
      </c>
      <c r="J36" s="22" t="n">
        <v>6.2</v>
      </c>
      <c r="K36" s="23" t="n">
        <v>2.75</v>
      </c>
      <c r="L36" s="23" t="n">
        <v>2.7</v>
      </c>
      <c r="M36" s="23" t="n">
        <v>2.8</v>
      </c>
      <c r="N36" s="23" t="n">
        <v>0.95</v>
      </c>
      <c r="O36" s="23" t="n">
        <v>1</v>
      </c>
      <c r="P36" s="23" t="n">
        <v>0.95</v>
      </c>
      <c r="Q36" s="8">
        <f>K36*G36</f>
        <v/>
      </c>
      <c r="R36" s="24">
        <f>(M36-K36)*G36</f>
        <v/>
      </c>
      <c r="S36" s="25">
        <f>(M36/K36-1)*100</f>
        <v/>
      </c>
      <c r="T36" s="26">
        <f>(N36-K36)*G36</f>
        <v/>
      </c>
      <c r="U36" s="27">
        <f>(N36/K36-1)*100</f>
        <v/>
      </c>
      <c r="V36" s="11">
        <f>(P36-K36)*G36</f>
        <v/>
      </c>
      <c r="W36" s="11" t="n">
        <v>-4371.34</v>
      </c>
      <c r="X36" s="10">
        <f>W36/Q36*100</f>
        <v/>
      </c>
      <c r="Y36" s="12" t="n">
        <v>-4.65</v>
      </c>
      <c r="Z36" s="14" t="inlineStr">
        <is>
          <t>2025_H1</t>
        </is>
      </c>
    </row>
    <row r="37">
      <c r="A37" s="14" t="inlineStr">
        <is>
          <t>2025-01-31</t>
        </is>
      </c>
      <c r="B37" s="7" t="inlineStr">
        <is>
          <t>KALYANKJIL</t>
        </is>
      </c>
      <c r="C37" s="14" t="inlineStr">
        <is>
          <t>PE</t>
        </is>
      </c>
      <c r="D37" s="14" t="inlineStr">
        <is>
          <t>mid</t>
        </is>
      </c>
      <c r="E37" s="21" t="n">
        <v>360</v>
      </c>
      <c r="F37" s="14" t="inlineStr">
        <is>
          <t>2025-02-27</t>
        </is>
      </c>
      <c r="G37" s="8" t="n">
        <v>775</v>
      </c>
      <c r="H37" s="22" t="n">
        <v>21.2</v>
      </c>
      <c r="I37" s="22" t="n">
        <v>67.8</v>
      </c>
      <c r="J37" s="22" t="n">
        <v>39.5</v>
      </c>
      <c r="K37" s="23" t="n">
        <v>10.05</v>
      </c>
      <c r="L37" s="23" t="n">
        <v>10</v>
      </c>
      <c r="M37" s="23" t="n">
        <v>10.75</v>
      </c>
      <c r="N37" s="23" t="n">
        <v>2.55</v>
      </c>
      <c r="O37" s="23" t="n">
        <v>2.95</v>
      </c>
      <c r="P37" s="23" t="n">
        <v>2.9</v>
      </c>
      <c r="Q37" s="8">
        <f>K37*G37</f>
        <v/>
      </c>
      <c r="R37" s="24">
        <f>(M37-K37)*G37</f>
        <v/>
      </c>
      <c r="S37" s="25">
        <f>(M37/K37-1)*100</f>
        <v/>
      </c>
      <c r="T37" s="26">
        <f>(N37-K37)*G37</f>
        <v/>
      </c>
      <c r="U37" s="27">
        <f>(N37/K37-1)*100</f>
        <v/>
      </c>
      <c r="V37" s="11">
        <f>(P37-K37)*G37</f>
        <v/>
      </c>
      <c r="W37" s="11" t="n">
        <v>-5797</v>
      </c>
      <c r="X37" s="10">
        <f>W37/Q37*100</f>
        <v/>
      </c>
      <c r="Y37" s="12" t="n">
        <v>-9.358000000000001</v>
      </c>
      <c r="Z37" s="14" t="inlineStr">
        <is>
          <t>2025_H1</t>
        </is>
      </c>
    </row>
    <row r="38">
      <c r="A38" s="14" t="inlineStr">
        <is>
          <t>2025-01-31</t>
        </is>
      </c>
      <c r="B38" s="7" t="inlineStr">
        <is>
          <t>MAXHEALTH</t>
        </is>
      </c>
      <c r="C38" s="14" t="inlineStr">
        <is>
          <t>CE</t>
        </is>
      </c>
      <c r="D38" s="14" t="inlineStr">
        <is>
          <t>mid</t>
        </is>
      </c>
      <c r="E38" s="21" t="n">
        <v>1200</v>
      </c>
      <c r="F38" s="14" t="inlineStr">
        <is>
          <t>2025-02-27</t>
        </is>
      </c>
      <c r="G38" s="8" t="n">
        <v>525</v>
      </c>
      <c r="H38" s="22" t="n">
        <v>-17.5</v>
      </c>
      <c r="I38" s="22" t="n">
        <v>-15.3</v>
      </c>
      <c r="J38" s="22" t="n">
        <v>40</v>
      </c>
      <c r="K38" s="23" t="n">
        <v>12.05</v>
      </c>
      <c r="L38" s="23" t="n">
        <v>12</v>
      </c>
      <c r="M38" s="23" t="n">
        <v>12.4</v>
      </c>
      <c r="N38" s="23" t="n">
        <v>5.6</v>
      </c>
      <c r="O38" s="23" t="n">
        <v>7.35</v>
      </c>
      <c r="P38" s="23" t="n">
        <v>7.3</v>
      </c>
      <c r="Q38" s="8">
        <f>K38*G38</f>
        <v/>
      </c>
      <c r="R38" s="24">
        <f>(M38-K38)*G38</f>
        <v/>
      </c>
      <c r="S38" s="25">
        <f>(M38/K38-1)*100</f>
        <v/>
      </c>
      <c r="T38" s="26">
        <f>(N38-K38)*G38</f>
        <v/>
      </c>
      <c r="U38" s="27">
        <f>(N38/K38-1)*100</f>
        <v/>
      </c>
      <c r="V38" s="11">
        <f>(P38-K38)*G38</f>
        <v/>
      </c>
      <c r="W38" s="11" t="n">
        <v>-2754.35</v>
      </c>
      <c r="X38" s="10">
        <f>W38/Q38*100</f>
        <v/>
      </c>
      <c r="Y38" s="12" t="n">
        <v>1.458</v>
      </c>
      <c r="Z38" s="14" t="inlineStr">
        <is>
          <t>2025_H1</t>
        </is>
      </c>
    </row>
    <row r="39">
      <c r="A39" s="14" t="inlineStr">
        <is>
          <t>2025-01-31</t>
        </is>
      </c>
      <c r="B39" s="7" t="inlineStr">
        <is>
          <t>POLICYBZR</t>
        </is>
      </c>
      <c r="C39" s="14" t="inlineStr">
        <is>
          <t>PE</t>
        </is>
      </c>
      <c r="D39" s="14" t="inlineStr">
        <is>
          <t>mid</t>
        </is>
      </c>
      <c r="E39" s="21" t="n">
        <v>1450</v>
      </c>
      <c r="F39" s="14" t="inlineStr">
        <is>
          <t>2025-02-27</t>
        </is>
      </c>
      <c r="G39" s="8" t="n">
        <v>325</v>
      </c>
      <c r="H39" s="22" t="n">
        <v>92.2</v>
      </c>
      <c r="I39" s="22" t="n">
        <v>40.3</v>
      </c>
      <c r="J39" s="22" t="n">
        <v>48.3</v>
      </c>
      <c r="K39" s="23" t="n">
        <v>22.35</v>
      </c>
      <c r="L39" s="23" t="n">
        <v>22.3</v>
      </c>
      <c r="M39" s="23" t="n">
        <v>22.3</v>
      </c>
      <c r="N39" s="23" t="n">
        <v>10.4</v>
      </c>
      <c r="O39" s="23" t="n">
        <v>10.4</v>
      </c>
      <c r="P39" s="23" t="n">
        <v>10.35</v>
      </c>
      <c r="Q39" s="8">
        <f>K39*G39</f>
        <v/>
      </c>
      <c r="R39" s="24">
        <f>(M39-K39)*G39</f>
        <v/>
      </c>
      <c r="S39" s="25">
        <f>(M39/K39-1)*100</f>
        <v/>
      </c>
      <c r="T39" s="26">
        <f>(N39-K39)*G39</f>
        <v/>
      </c>
      <c r="U39" s="27">
        <f>(N39/K39-1)*100</f>
        <v/>
      </c>
      <c r="V39" s="11">
        <f>(P39-K39)*G39</f>
        <v/>
      </c>
      <c r="W39" s="11" t="n">
        <v>-4169.5</v>
      </c>
      <c r="X39" s="10">
        <f>W39/Q39*100</f>
        <v/>
      </c>
      <c r="Y39" s="12" t="n">
        <v>-2.786</v>
      </c>
      <c r="Z39" s="14" t="inlineStr">
        <is>
          <t>2025_H1</t>
        </is>
      </c>
    </row>
    <row r="40">
      <c r="A40" s="14" t="inlineStr">
        <is>
          <t>2025-01-31</t>
        </is>
      </c>
      <c r="B40" s="7" t="inlineStr">
        <is>
          <t>PRESTIGE</t>
        </is>
      </c>
      <c r="C40" s="14" t="inlineStr">
        <is>
          <t>CE</t>
        </is>
      </c>
      <c r="D40" s="14" t="inlineStr">
        <is>
          <t>mid</t>
        </is>
      </c>
      <c r="E40" s="21" t="n">
        <v>1500</v>
      </c>
      <c r="F40" s="14" t="inlineStr">
        <is>
          <t>2025-02-27</t>
        </is>
      </c>
      <c r="G40" s="8" t="n">
        <v>325</v>
      </c>
      <c r="H40" s="22" t="n">
        <v>-80.40000000000001</v>
      </c>
      <c r="I40" s="22" t="n">
        <v>-86.3</v>
      </c>
      <c r="J40" s="22" t="n">
        <v>-7.9</v>
      </c>
      <c r="K40" s="23" t="n">
        <v>13.7</v>
      </c>
      <c r="L40" s="23" t="n">
        <v>13.65</v>
      </c>
      <c r="M40" s="23" t="n">
        <v>26.85</v>
      </c>
      <c r="N40" s="23" t="n">
        <v>13.65</v>
      </c>
      <c r="O40" s="23" t="n">
        <v>21.2</v>
      </c>
      <c r="P40" s="23" t="n">
        <v>21.15</v>
      </c>
      <c r="Q40" s="8">
        <f>K40*G40</f>
        <v/>
      </c>
      <c r="R40" s="24">
        <f>(M40-K40)*G40</f>
        <v/>
      </c>
      <c r="S40" s="25">
        <f>(M40/K40-1)*100</f>
        <v/>
      </c>
      <c r="T40" s="26">
        <f>(N40-K40)*G40</f>
        <v/>
      </c>
      <c r="U40" s="27">
        <f>(N40/K40-1)*100</f>
        <v/>
      </c>
      <c r="V40" s="11">
        <f>(P40-K40)*G40</f>
        <v/>
      </c>
      <c r="W40" s="11" t="n">
        <v>2132.32</v>
      </c>
      <c r="X40" s="10">
        <f>W40/Q40*100</f>
        <v/>
      </c>
      <c r="Y40" s="12" t="n">
        <v>5.892</v>
      </c>
      <c r="Z40" s="14" t="inlineStr">
        <is>
          <t>2025_H1</t>
        </is>
      </c>
    </row>
    <row r="41">
      <c r="A41" s="14" t="inlineStr">
        <is>
          <t>2025-02-01</t>
        </is>
      </c>
      <c r="B41" s="7" t="inlineStr">
        <is>
          <t>BANDHANBNK</t>
        </is>
      </c>
      <c r="C41" s="14" t="inlineStr">
        <is>
          <t>CE</t>
        </is>
      </c>
      <c r="D41" s="14" t="inlineStr">
        <is>
          <t>small</t>
        </is>
      </c>
      <c r="E41" s="21" t="n">
        <v>162.5</v>
      </c>
      <c r="F41" s="14" t="inlineStr">
        <is>
          <t>2025-02-27</t>
        </is>
      </c>
      <c r="G41" s="8" t="n">
        <v>2800</v>
      </c>
      <c r="H41" s="22" t="n">
        <v>-41.8</v>
      </c>
      <c r="I41" s="22" t="n">
        <v>-54.5</v>
      </c>
      <c r="J41" s="22" t="n">
        <v>17.4</v>
      </c>
      <c r="K41" s="23" t="n">
        <v>2.35</v>
      </c>
      <c r="L41" s="23" t="n">
        <v>2.3</v>
      </c>
      <c r="M41" s="23" t="n">
        <v>3.2</v>
      </c>
      <c r="N41" s="23" t="n">
        <v>1.65</v>
      </c>
      <c r="O41" s="23" t="n">
        <v>2.25</v>
      </c>
      <c r="P41" s="23" t="n">
        <v>2.2</v>
      </c>
      <c r="Q41" s="8">
        <f>K41*G41</f>
        <v/>
      </c>
      <c r="R41" s="24">
        <f>(M41-K41)*G41</f>
        <v/>
      </c>
      <c r="S41" s="25">
        <f>(M41/K41-1)*100</f>
        <v/>
      </c>
      <c r="T41" s="26">
        <f>(N41-K41)*G41</f>
        <v/>
      </c>
      <c r="U41" s="27">
        <f>(N41/K41-1)*100</f>
        <v/>
      </c>
      <c r="V41" s="11">
        <f>(P41-K41)*G41</f>
        <v/>
      </c>
      <c r="W41" s="11" t="n">
        <v>-864.21</v>
      </c>
      <c r="X41" s="10">
        <f>W41/Q41*100</f>
        <v/>
      </c>
      <c r="Y41" s="12" t="n">
        <v>0.007</v>
      </c>
      <c r="Z41" s="14" t="inlineStr">
        <is>
          <t>2025_H1</t>
        </is>
      </c>
    </row>
    <row r="42">
      <c r="A42" s="14" t="inlineStr">
        <is>
          <t>2025-02-01</t>
        </is>
      </c>
      <c r="B42" s="7" t="inlineStr">
        <is>
          <t>CHOLAFIN</t>
        </is>
      </c>
      <c r="C42" s="14" t="inlineStr">
        <is>
          <t>PE</t>
        </is>
      </c>
      <c r="D42" s="14" t="inlineStr">
        <is>
          <t>large</t>
        </is>
      </c>
      <c r="E42" s="21" t="n">
        <v>1100</v>
      </c>
      <c r="F42" s="14" t="inlineStr">
        <is>
          <t>2025-02-27</t>
        </is>
      </c>
      <c r="G42" s="8" t="n">
        <v>625</v>
      </c>
      <c r="H42" s="22" t="n">
        <v>24.8</v>
      </c>
      <c r="I42" s="22" t="n">
        <v>12.4</v>
      </c>
      <c r="J42" s="22" t="n">
        <v>34.5</v>
      </c>
      <c r="K42" s="23" t="n">
        <v>7.05</v>
      </c>
      <c r="L42" s="23" t="n">
        <v>7</v>
      </c>
      <c r="M42" s="23" t="n">
        <v>11.1</v>
      </c>
      <c r="N42" s="23" t="n">
        <v>3</v>
      </c>
      <c r="O42" s="23" t="n">
        <v>3.85</v>
      </c>
      <c r="P42" s="23" t="n">
        <v>3.8</v>
      </c>
      <c r="Q42" s="8">
        <f>K42*G42</f>
        <v/>
      </c>
      <c r="R42" s="24">
        <f>(M42-K42)*G42</f>
        <v/>
      </c>
      <c r="S42" s="25">
        <f>(M42/K42-1)*100</f>
        <v/>
      </c>
      <c r="T42" s="26">
        <f>(N42-K42)*G42</f>
        <v/>
      </c>
      <c r="U42" s="27">
        <f>(N42/K42-1)*100</f>
        <v/>
      </c>
      <c r="V42" s="11">
        <f>(P42-K42)*G42</f>
        <v/>
      </c>
      <c r="W42" s="11" t="n">
        <v>-2152.79</v>
      </c>
      <c r="X42" s="10">
        <f>W42/Q42*100</f>
        <v/>
      </c>
      <c r="Y42" s="12" t="n">
        <v>2.372</v>
      </c>
      <c r="Z42" s="14" t="inlineStr">
        <is>
          <t>2025_H1</t>
        </is>
      </c>
    </row>
    <row r="43">
      <c r="A43" s="14" t="inlineStr">
        <is>
          <t>2025-02-01</t>
        </is>
      </c>
      <c r="B43" s="7" t="inlineStr">
        <is>
          <t>LICHSGFIN</t>
        </is>
      </c>
      <c r="C43" s="14" t="inlineStr">
        <is>
          <t>PE</t>
        </is>
      </c>
      <c r="D43" s="14" t="inlineStr">
        <is>
          <t>mid</t>
        </is>
      </c>
      <c r="E43" s="21" t="n">
        <v>550</v>
      </c>
      <c r="F43" s="14" t="inlineStr">
        <is>
          <t>2025-02-27</t>
        </is>
      </c>
      <c r="G43" s="8" t="n">
        <v>1000</v>
      </c>
      <c r="H43" s="22" t="n">
        <v>22.8</v>
      </c>
      <c r="I43" s="22" t="n">
        <v>8.1</v>
      </c>
      <c r="J43" s="22" t="n">
        <v>3.9</v>
      </c>
      <c r="K43" s="23" t="n">
        <v>6.05</v>
      </c>
      <c r="L43" s="23" t="n">
        <v>6</v>
      </c>
      <c r="M43" s="23" t="n">
        <v>9.199999999999999</v>
      </c>
      <c r="N43" s="23" t="n">
        <v>4.1</v>
      </c>
      <c r="O43" s="23" t="n">
        <v>6.35</v>
      </c>
      <c r="P43" s="23" t="n">
        <v>6.3</v>
      </c>
      <c r="Q43" s="8">
        <f>K43*G43</f>
        <v/>
      </c>
      <c r="R43" s="24">
        <f>(M43-K43)*G43</f>
        <v/>
      </c>
      <c r="S43" s="25">
        <f>(M43/K43-1)*100</f>
        <v/>
      </c>
      <c r="T43" s="26">
        <f>(N43-K43)*G43</f>
        <v/>
      </c>
      <c r="U43" s="27">
        <f>(N43/K43-1)*100</f>
        <v/>
      </c>
      <c r="V43" s="11">
        <f>(P43-K43)*G43</f>
        <v/>
      </c>
      <c r="W43" s="11" t="n">
        <v>-59.03</v>
      </c>
      <c r="X43" s="10">
        <f>W43/Q43*100</f>
        <v/>
      </c>
      <c r="Y43" s="12" t="n">
        <v>2.387</v>
      </c>
      <c r="Z43" s="14" t="inlineStr">
        <is>
          <t>2025_H1</t>
        </is>
      </c>
    </row>
    <row r="44">
      <c r="A44" s="14" t="inlineStr">
        <is>
          <t>2025-02-04</t>
        </is>
      </c>
      <c r="B44" s="7" t="inlineStr">
        <is>
          <t>DIVISLAB</t>
        </is>
      </c>
      <c r="C44" s="14" t="inlineStr">
        <is>
          <t>PE</t>
        </is>
      </c>
      <c r="D44" s="14" t="inlineStr">
        <is>
          <t>large</t>
        </is>
      </c>
      <c r="E44" s="21" t="n">
        <v>5700</v>
      </c>
      <c r="F44" s="14" t="inlineStr">
        <is>
          <t>2025-02-27</t>
        </is>
      </c>
      <c r="G44" s="8" t="n">
        <v>100</v>
      </c>
      <c r="H44" s="22" t="n">
        <v>64.5</v>
      </c>
      <c r="I44" s="22" t="n">
        <v>15.5</v>
      </c>
      <c r="J44" s="22" t="n">
        <v>25</v>
      </c>
      <c r="K44" s="23" t="n">
        <v>76</v>
      </c>
      <c r="L44" s="23" t="n">
        <v>75.95</v>
      </c>
      <c r="M44" s="23" t="n">
        <v>83.25</v>
      </c>
      <c r="N44" s="23" t="n">
        <v>34.45</v>
      </c>
      <c r="O44" s="23" t="n">
        <v>40.65</v>
      </c>
      <c r="P44" s="23" t="n">
        <v>40.6</v>
      </c>
      <c r="Q44" s="8">
        <f>K44*G44</f>
        <v/>
      </c>
      <c r="R44" s="24">
        <f>(M44-K44)*G44</f>
        <v/>
      </c>
      <c r="S44" s="25">
        <f>(M44/K44-1)*100</f>
        <v/>
      </c>
      <c r="T44" s="26">
        <f>(N44-K44)*G44</f>
        <v/>
      </c>
      <c r="U44" s="27">
        <f>(N44/K44-1)*100</f>
        <v/>
      </c>
      <c r="V44" s="11">
        <f>(P44-K44)*G44</f>
        <v/>
      </c>
      <c r="W44" s="11" t="n">
        <v>-3715.02</v>
      </c>
      <c r="X44" s="10">
        <f>W44/Q44*100</f>
        <v/>
      </c>
      <c r="Y44" s="12" t="n">
        <v>-0.765</v>
      </c>
      <c r="Z44" s="14" t="inlineStr">
        <is>
          <t>2025_H1</t>
        </is>
      </c>
    </row>
    <row r="45">
      <c r="A45" s="14" t="inlineStr">
        <is>
          <t>2025-02-04</t>
        </is>
      </c>
      <c r="B45" s="7" t="inlineStr">
        <is>
          <t>TIINDIA</t>
        </is>
      </c>
      <c r="C45" s="14" t="inlineStr">
        <is>
          <t>CE</t>
        </is>
      </c>
      <c r="D45" s="14" t="inlineStr">
        <is>
          <t>mid</t>
        </is>
      </c>
      <c r="E45" s="21" t="n">
        <v>3400</v>
      </c>
      <c r="F45" s="14" t="inlineStr">
        <is>
          <t>2025-02-27</t>
        </is>
      </c>
      <c r="G45" s="8" t="n">
        <v>150</v>
      </c>
      <c r="H45" s="22" t="n">
        <v>-66</v>
      </c>
      <c r="I45" s="22" t="n">
        <v>-6.4</v>
      </c>
      <c r="J45" s="22" t="n">
        <v>14.7</v>
      </c>
      <c r="K45" s="23" t="n">
        <v>43.1</v>
      </c>
      <c r="L45" s="23" t="n">
        <v>43.05</v>
      </c>
      <c r="M45" s="23" t="n">
        <v>52.7</v>
      </c>
      <c r="N45" s="23" t="n">
        <v>19.5</v>
      </c>
      <c r="O45" s="23" t="n">
        <v>21.4</v>
      </c>
      <c r="P45" s="23" t="n">
        <v>21.35</v>
      </c>
      <c r="Q45" s="8">
        <f>K45*G45</f>
        <v/>
      </c>
      <c r="R45" s="24">
        <f>(M45-K45)*G45</f>
        <v/>
      </c>
      <c r="S45" s="25">
        <f>(M45/K45-1)*100</f>
        <v/>
      </c>
      <c r="T45" s="26">
        <f>(N45-K45)*G45</f>
        <v/>
      </c>
      <c r="U45" s="27">
        <f>(N45/K45-1)*100</f>
        <v/>
      </c>
      <c r="V45" s="11">
        <f>(P45-K45)*G45</f>
        <v/>
      </c>
      <c r="W45" s="11" t="n">
        <v>-3512.11</v>
      </c>
      <c r="X45" s="10">
        <f>W45/Q45*100</f>
        <v/>
      </c>
      <c r="Y45" s="12" t="n">
        <v>0.112</v>
      </c>
      <c r="Z45" s="14" t="inlineStr">
        <is>
          <t>2025_H1</t>
        </is>
      </c>
    </row>
    <row r="46">
      <c r="A46" s="14" t="inlineStr">
        <is>
          <t>2025-02-05</t>
        </is>
      </c>
      <c r="B46" s="7" t="inlineStr">
        <is>
          <t>MFSL</t>
        </is>
      </c>
      <c r="C46" s="14" t="inlineStr">
        <is>
          <t>CE</t>
        </is>
      </c>
      <c r="D46" s="14" t="inlineStr">
        <is>
          <t>mid</t>
        </is>
      </c>
      <c r="E46" s="21" t="n">
        <v>1280</v>
      </c>
      <c r="F46" s="14" t="inlineStr">
        <is>
          <t>2025-02-27</t>
        </is>
      </c>
      <c r="G46" s="8" t="n">
        <v>800</v>
      </c>
      <c r="H46" s="22" t="n">
        <v>-59.2</v>
      </c>
      <c r="I46" s="22" t="n">
        <v>-49.9</v>
      </c>
      <c r="J46" s="22" t="n">
        <v>-27.8</v>
      </c>
      <c r="K46" s="23" t="n">
        <v>7.85</v>
      </c>
      <c r="L46" s="23" t="n">
        <v>7.8</v>
      </c>
      <c r="M46" s="23" t="n">
        <v>10</v>
      </c>
      <c r="N46" s="23" t="n">
        <v>2.9</v>
      </c>
      <c r="O46" s="23" t="n">
        <v>3.2</v>
      </c>
      <c r="P46" s="23" t="n">
        <v>3.15</v>
      </c>
      <c r="Q46" s="8">
        <f>K46*G46</f>
        <v/>
      </c>
      <c r="R46" s="24">
        <f>(M46-K46)*G46</f>
        <v/>
      </c>
      <c r="S46" s="25">
        <f>(M46/K46-1)*100</f>
        <v/>
      </c>
      <c r="T46" s="26">
        <f>(N46-K46)*G46</f>
        <v/>
      </c>
      <c r="U46" s="27">
        <f>(N46/K46-1)*100</f>
        <v/>
      </c>
      <c r="V46" s="11">
        <f>(P46-K46)*G46</f>
        <v/>
      </c>
      <c r="W46" s="11" t="n">
        <v>-3990.87</v>
      </c>
      <c r="X46" s="10">
        <f>W46/Q46*100</f>
        <v/>
      </c>
      <c r="Y46" s="12" t="n">
        <v>-1.28</v>
      </c>
      <c r="Z46" s="14" t="inlineStr">
        <is>
          <t>2025_H1</t>
        </is>
      </c>
    </row>
    <row r="47">
      <c r="A47" s="14" t="inlineStr">
        <is>
          <t>2025-02-05</t>
        </is>
      </c>
      <c r="B47" s="7" t="inlineStr">
        <is>
          <t>TATAPOWER</t>
        </is>
      </c>
      <c r="C47" s="14" t="inlineStr">
        <is>
          <t>PE</t>
        </is>
      </c>
      <c r="D47" s="14" t="inlineStr">
        <is>
          <t>large</t>
        </is>
      </c>
      <c r="E47" s="21" t="n">
        <v>350</v>
      </c>
      <c r="F47" s="14" t="inlineStr">
        <is>
          <t>2025-02-27</t>
        </is>
      </c>
      <c r="G47" s="8" t="n">
        <v>1350</v>
      </c>
      <c r="H47" s="22" t="n">
        <v>10.4</v>
      </c>
      <c r="I47" s="22" t="n">
        <v>8.6</v>
      </c>
      <c r="J47" s="22" t="n">
        <v>5.1</v>
      </c>
      <c r="K47" s="23" t="n">
        <v>5.9</v>
      </c>
      <c r="L47" s="23" t="n">
        <v>5.85</v>
      </c>
      <c r="M47" s="23" t="n">
        <v>6</v>
      </c>
      <c r="N47" s="23" t="n">
        <v>2.95</v>
      </c>
      <c r="O47" s="23" t="n">
        <v>5.1</v>
      </c>
      <c r="P47" s="23" t="n">
        <v>5.05</v>
      </c>
      <c r="Q47" s="8">
        <f>K47*G47</f>
        <v/>
      </c>
      <c r="R47" s="24">
        <f>(M47-K47)*G47</f>
        <v/>
      </c>
      <c r="S47" s="25">
        <f>(M47/K47-1)*100</f>
        <v/>
      </c>
      <c r="T47" s="26">
        <f>(N47-K47)*G47</f>
        <v/>
      </c>
      <c r="U47" s="27">
        <f>(N47/K47-1)*100</f>
        <v/>
      </c>
      <c r="V47" s="11">
        <f>(P47-K47)*G47</f>
        <v/>
      </c>
      <c r="W47" s="11" t="n">
        <v>-1359.22</v>
      </c>
      <c r="X47" s="10">
        <f>W47/Q47*100</f>
        <v/>
      </c>
      <c r="Y47" s="12" t="n">
        <v>0.068</v>
      </c>
      <c r="Z47" s="14" t="inlineStr">
        <is>
          <t>2025_H1</t>
        </is>
      </c>
    </row>
    <row r="48">
      <c r="A48" s="14" t="inlineStr">
        <is>
          <t>2025-02-06</t>
        </is>
      </c>
      <c r="B48" s="7" t="inlineStr">
        <is>
          <t>CUMMINSIND</t>
        </is>
      </c>
      <c r="C48" s="14" t="inlineStr">
        <is>
          <t>PE</t>
        </is>
      </c>
      <c r="D48" s="14" t="inlineStr">
        <is>
          <t>large</t>
        </is>
      </c>
      <c r="E48" s="21" t="n">
        <v>2850</v>
      </c>
      <c r="F48" s="14" t="inlineStr">
        <is>
          <t>2025-02-27</t>
        </is>
      </c>
      <c r="G48" s="8" t="n">
        <v>150</v>
      </c>
      <c r="H48" s="22" t="n">
        <v>11.9</v>
      </c>
      <c r="I48" s="22" t="n">
        <v>24.3</v>
      </c>
      <c r="J48" s="22" t="n">
        <v>21.8</v>
      </c>
      <c r="K48" s="23" t="n">
        <v>50.05</v>
      </c>
      <c r="L48" s="23" t="n">
        <v>50</v>
      </c>
      <c r="M48" s="23" t="n">
        <v>74.3</v>
      </c>
      <c r="N48" s="23" t="n">
        <v>45.05</v>
      </c>
      <c r="O48" s="23" t="n">
        <v>56.8</v>
      </c>
      <c r="P48" s="23" t="n">
        <v>56.75</v>
      </c>
      <c r="Q48" s="8">
        <f>K48*G48</f>
        <v/>
      </c>
      <c r="R48" s="24">
        <f>(M48-K48)*G48</f>
        <v/>
      </c>
      <c r="S48" s="25">
        <f>(M48/K48-1)*100</f>
        <v/>
      </c>
      <c r="T48" s="26">
        <f>(N48-K48)*G48</f>
        <v/>
      </c>
      <c r="U48" s="27">
        <f>(N48/K48-1)*100</f>
        <v/>
      </c>
      <c r="V48" s="11">
        <f>(P48-K48)*G48</f>
        <v/>
      </c>
      <c r="W48" s="11" t="n">
        <v>777.86</v>
      </c>
      <c r="X48" s="10">
        <f>W48/Q48*100</f>
        <v/>
      </c>
      <c r="Y48" s="12" t="n">
        <v>3.322</v>
      </c>
      <c r="Z48" s="14" t="inlineStr">
        <is>
          <t>2025_H1</t>
        </is>
      </c>
    </row>
    <row r="49">
      <c r="A49" s="14" t="inlineStr">
        <is>
          <t>2025-02-06</t>
        </is>
      </c>
      <c r="B49" s="7" t="inlineStr">
        <is>
          <t>NAUKRI</t>
        </is>
      </c>
      <c r="C49" s="14" t="inlineStr">
        <is>
          <t>PE</t>
        </is>
      </c>
      <c r="D49" s="14" t="inlineStr">
        <is>
          <t>large</t>
        </is>
      </c>
      <c r="E49" s="21" t="n">
        <v>7700</v>
      </c>
      <c r="F49" s="14" t="inlineStr">
        <is>
          <t>2025-02-27</t>
        </is>
      </c>
      <c r="G49" s="8" t="n">
        <v>75</v>
      </c>
      <c r="H49" s="22" t="n">
        <v>141.5</v>
      </c>
      <c r="I49" s="22" t="n">
        <v>240.4</v>
      </c>
      <c r="J49" s="22" t="n">
        <v>15.2</v>
      </c>
      <c r="K49" s="23" t="n">
        <v>97.15000000000001</v>
      </c>
      <c r="L49" s="23" t="n">
        <v>97.09999999999999</v>
      </c>
      <c r="M49" s="23" t="n">
        <v>129.8</v>
      </c>
      <c r="N49" s="23" t="n">
        <v>72.40000000000001</v>
      </c>
      <c r="O49" s="23" t="n">
        <v>101</v>
      </c>
      <c r="P49" s="23" t="n">
        <v>100.95</v>
      </c>
      <c r="Q49" s="8">
        <f>K49*G49</f>
        <v/>
      </c>
      <c r="R49" s="24">
        <f>(M49-K49)*G49</f>
        <v/>
      </c>
      <c r="S49" s="25">
        <f>(M49/K49-1)*100</f>
        <v/>
      </c>
      <c r="T49" s="26">
        <f>(N49-K49)*G49</f>
        <v/>
      </c>
      <c r="U49" s="27">
        <f>(N49/K49-1)*100</f>
        <v/>
      </c>
      <c r="V49" s="11">
        <f>(P49-K49)*G49</f>
        <v/>
      </c>
      <c r="W49" s="11" t="n">
        <v>71.38</v>
      </c>
      <c r="X49" s="10">
        <f>W49/Q49*100</f>
        <v/>
      </c>
      <c r="Y49" s="12" t="n">
        <v>0.602</v>
      </c>
      <c r="Z49" s="14" t="inlineStr">
        <is>
          <t>2025_H1</t>
        </is>
      </c>
    </row>
    <row r="50">
      <c r="A50" s="14" t="inlineStr">
        <is>
          <t>2025-02-06</t>
        </is>
      </c>
      <c r="B50" s="7" t="inlineStr">
        <is>
          <t>PAGEIND</t>
        </is>
      </c>
      <c r="C50" s="14" t="inlineStr">
        <is>
          <t>PE</t>
        </is>
      </c>
      <c r="D50" s="14" t="inlineStr">
        <is>
          <t>mid</t>
        </is>
      </c>
      <c r="E50" s="21" t="n">
        <v>42000</v>
      </c>
      <c r="F50" s="14" t="inlineStr">
        <is>
          <t>2025-02-27</t>
        </is>
      </c>
      <c r="G50" s="8" t="n">
        <v>15</v>
      </c>
      <c r="H50" s="22" t="n">
        <v>34.3</v>
      </c>
      <c r="I50" s="22" t="n">
        <v>4.8</v>
      </c>
      <c r="J50" s="22" t="n">
        <v>6.9</v>
      </c>
      <c r="K50" s="23" t="n">
        <v>375.05</v>
      </c>
      <c r="L50" s="23" t="n">
        <v>375</v>
      </c>
      <c r="M50" s="23" t="n">
        <v>791.2</v>
      </c>
      <c r="N50" s="23" t="n">
        <v>375</v>
      </c>
      <c r="O50" s="23" t="n">
        <v>657.8</v>
      </c>
      <c r="P50" s="23" t="n">
        <v>657.75</v>
      </c>
      <c r="Q50" s="8">
        <f>K50*G50</f>
        <v/>
      </c>
      <c r="R50" s="24">
        <f>(M50-K50)*G50</f>
        <v/>
      </c>
      <c r="S50" s="25">
        <f>(M50/K50-1)*100</f>
        <v/>
      </c>
      <c r="T50" s="26">
        <f>(N50-K50)*G50</f>
        <v/>
      </c>
      <c r="U50" s="27">
        <f>(N50/K50-1)*100</f>
        <v/>
      </c>
      <c r="V50" s="11">
        <f>(P50-K50)*G50</f>
        <v/>
      </c>
      <c r="W50" s="11" t="n">
        <v>3861.97</v>
      </c>
      <c r="X50" s="10">
        <f>W50/Q50*100</f>
        <v/>
      </c>
      <c r="Y50" s="12" t="n">
        <v>3.167</v>
      </c>
      <c r="Z50" s="14" t="inlineStr">
        <is>
          <t>2025_H1</t>
        </is>
      </c>
    </row>
    <row r="51">
      <c r="A51" s="14" t="inlineStr">
        <is>
          <t>2025-02-06</t>
        </is>
      </c>
      <c r="B51" s="7" t="inlineStr">
        <is>
          <t>SOLARINDS</t>
        </is>
      </c>
      <c r="C51" s="14" t="inlineStr">
        <is>
          <t>PE</t>
        </is>
      </c>
      <c r="D51" s="14" t="inlineStr">
        <is>
          <t>mid</t>
        </is>
      </c>
      <c r="E51" s="21" t="n">
        <v>8500</v>
      </c>
      <c r="F51" s="14" t="inlineStr">
        <is>
          <t>2025-02-27</t>
        </is>
      </c>
      <c r="G51" s="8" t="n">
        <v>75</v>
      </c>
      <c r="H51" s="22" t="n">
        <v>52.1</v>
      </c>
      <c r="I51" s="22" t="n">
        <v>11.1</v>
      </c>
      <c r="J51" s="22" t="n">
        <v>38.1</v>
      </c>
      <c r="K51" s="23" t="n">
        <v>60.05</v>
      </c>
      <c r="L51" s="23" t="n">
        <v>60</v>
      </c>
      <c r="M51" s="23" t="n">
        <v>244.9</v>
      </c>
      <c r="N51" s="23" t="n">
        <v>60</v>
      </c>
      <c r="O51" s="23" t="n">
        <v>168.05</v>
      </c>
      <c r="P51" s="23" t="n">
        <v>168</v>
      </c>
      <c r="Q51" s="8">
        <f>K51*G51</f>
        <v/>
      </c>
      <c r="R51" s="24">
        <f>(M51-K51)*G51</f>
        <v/>
      </c>
      <c r="S51" s="25">
        <f>(M51/K51-1)*100</f>
        <v/>
      </c>
      <c r="T51" s="26">
        <f>(N51-K51)*G51</f>
        <v/>
      </c>
      <c r="U51" s="27">
        <f>(N51/K51-1)*100</f>
        <v/>
      </c>
      <c r="V51" s="11">
        <f>(P51-K51)*G51</f>
        <v/>
      </c>
      <c r="W51" s="11" t="n">
        <v>7680.74</v>
      </c>
      <c r="X51" s="10">
        <f>W51/Q51*100</f>
        <v/>
      </c>
      <c r="Y51" s="12" t="n">
        <v>6.99</v>
      </c>
      <c r="Z51" s="14" t="inlineStr">
        <is>
          <t>2025_H1</t>
        </is>
      </c>
    </row>
    <row r="52">
      <c r="A52" s="14" t="inlineStr">
        <is>
          <t>2025-02-06</t>
        </is>
      </c>
      <c r="B52" s="7" t="inlineStr">
        <is>
          <t>ZYDUSLIFE</t>
        </is>
      </c>
      <c r="C52" s="14" t="inlineStr">
        <is>
          <t>PE</t>
        </is>
      </c>
      <c r="D52" s="14" t="inlineStr">
        <is>
          <t>large</t>
        </is>
      </c>
      <c r="E52" s="21" t="n">
        <v>930</v>
      </c>
      <c r="F52" s="14" t="inlineStr">
        <is>
          <t>2025-02-27</t>
        </is>
      </c>
      <c r="G52" s="8" t="n">
        <v>900</v>
      </c>
      <c r="H52" s="22" t="n">
        <v>29.9</v>
      </c>
      <c r="I52" s="22" t="n">
        <v>11.5</v>
      </c>
      <c r="J52" s="22" t="n">
        <v>17</v>
      </c>
      <c r="K52" s="23" t="n">
        <v>8.550000000000001</v>
      </c>
      <c r="L52" s="23" t="n">
        <v>8.5</v>
      </c>
      <c r="M52" s="23" t="n">
        <v>9.949999999999999</v>
      </c>
      <c r="N52" s="23" t="n">
        <v>3.55</v>
      </c>
      <c r="O52" s="23" t="n">
        <v>3.85</v>
      </c>
      <c r="P52" s="23" t="n">
        <v>3.8</v>
      </c>
      <c r="Q52" s="8">
        <f>K52*G52</f>
        <v/>
      </c>
      <c r="R52" s="24">
        <f>(M52-K52)*G52</f>
        <v/>
      </c>
      <c r="S52" s="25">
        <f>(M52/K52-1)*100</f>
        <v/>
      </c>
      <c r="T52" s="26">
        <f>(N52-K52)*G52</f>
        <v/>
      </c>
      <c r="U52" s="27">
        <f>(N52/K52-1)*100</f>
        <v/>
      </c>
      <c r="V52" s="11">
        <f>(P52-K52)*G52</f>
        <v/>
      </c>
      <c r="W52" s="11" t="n">
        <v>-4443.38</v>
      </c>
      <c r="X52" s="10">
        <f>W52/Q52*100</f>
        <v/>
      </c>
      <c r="Y52" s="12" t="n">
        <v>-2.459</v>
      </c>
      <c r="Z52" s="14" t="inlineStr">
        <is>
          <t>2025_H1</t>
        </is>
      </c>
    </row>
    <row r="53">
      <c r="A53" s="14" t="inlineStr">
        <is>
          <t>2025-02-07</t>
        </is>
      </c>
      <c r="B53" s="7" t="inlineStr">
        <is>
          <t>BHARTIARTL</t>
        </is>
      </c>
      <c r="C53" s="14" t="inlineStr">
        <is>
          <t>PE</t>
        </is>
      </c>
      <c r="D53" s="14" t="inlineStr">
        <is>
          <t>large</t>
        </is>
      </c>
      <c r="E53" s="21" t="n">
        <v>1580</v>
      </c>
      <c r="F53" s="14" t="inlineStr">
        <is>
          <t>2025-02-27</t>
        </is>
      </c>
      <c r="G53" s="8" t="n">
        <v>475</v>
      </c>
      <c r="H53" s="22" t="n">
        <v>460.9</v>
      </c>
      <c r="I53" s="22" t="n">
        <v>288.5</v>
      </c>
      <c r="J53" s="22" t="n">
        <v>19.1</v>
      </c>
      <c r="K53" s="23" t="n">
        <v>12.05</v>
      </c>
      <c r="L53" s="23" t="n">
        <v>12</v>
      </c>
      <c r="M53" s="23" t="n">
        <v>12</v>
      </c>
      <c r="N53" s="23" t="n">
        <v>4.65</v>
      </c>
      <c r="O53" s="23" t="n">
        <v>5.5</v>
      </c>
      <c r="P53" s="23" t="n">
        <v>5.45</v>
      </c>
      <c r="Q53" s="8">
        <f>K53*G53</f>
        <v/>
      </c>
      <c r="R53" s="24">
        <f>(M53-K53)*G53</f>
        <v/>
      </c>
      <c r="S53" s="25">
        <f>(M53/K53-1)*100</f>
        <v/>
      </c>
      <c r="T53" s="26">
        <f>(N53-K53)*G53</f>
        <v/>
      </c>
      <c r="U53" s="27">
        <f>(N53/K53-1)*100</f>
        <v/>
      </c>
      <c r="V53" s="11">
        <f>(P53-K53)*G53</f>
        <v/>
      </c>
      <c r="W53" s="11" t="n">
        <v>-3272.88</v>
      </c>
      <c r="X53" s="10">
        <f>W53/Q53*100</f>
        <v/>
      </c>
      <c r="Y53" s="12" t="n">
        <v>-2.55</v>
      </c>
      <c r="Z53" s="14" t="inlineStr">
        <is>
          <t>2025_H1</t>
        </is>
      </c>
    </row>
    <row r="54">
      <c r="A54" s="14" t="inlineStr">
        <is>
          <t>2025-02-07</t>
        </is>
      </c>
      <c r="B54" s="7" t="inlineStr">
        <is>
          <t>PIIND</t>
        </is>
      </c>
      <c r="C54" s="14" t="inlineStr">
        <is>
          <t>CE</t>
        </is>
      </c>
      <c r="D54" s="14" t="inlineStr">
        <is>
          <t>mid</t>
        </is>
      </c>
      <c r="E54" s="21" t="n">
        <v>3700</v>
      </c>
      <c r="F54" s="14" t="inlineStr">
        <is>
          <t>2025-02-27</t>
        </is>
      </c>
      <c r="G54" s="8" t="n">
        <v>125</v>
      </c>
      <c r="H54" s="22" t="n">
        <v>-16.9</v>
      </c>
      <c r="I54" s="22" t="n">
        <v>-26.7</v>
      </c>
      <c r="J54" s="22" t="n">
        <v>0.2</v>
      </c>
      <c r="K54" s="23" t="n">
        <v>60.1</v>
      </c>
      <c r="L54" s="23" t="n">
        <v>60.05</v>
      </c>
      <c r="M54" s="23" t="n">
        <v>74.15000000000001</v>
      </c>
      <c r="N54" s="23" t="n">
        <v>36.4</v>
      </c>
      <c r="O54" s="23" t="n">
        <v>44.85</v>
      </c>
      <c r="P54" s="23" t="n">
        <v>44.8</v>
      </c>
      <c r="Q54" s="8">
        <f>K54*G54</f>
        <v/>
      </c>
      <c r="R54" s="24">
        <f>(M54-K54)*G54</f>
        <v/>
      </c>
      <c r="S54" s="25">
        <f>(M54/K54-1)*100</f>
        <v/>
      </c>
      <c r="T54" s="26">
        <f>(N54-K54)*G54</f>
        <v/>
      </c>
      <c r="U54" s="27">
        <f>(N54/K54-1)*100</f>
        <v/>
      </c>
      <c r="V54" s="11">
        <f>(P54-K54)*G54</f>
        <v/>
      </c>
      <c r="W54" s="11" t="n">
        <v>-2236.1</v>
      </c>
      <c r="X54" s="10">
        <f>W54/Q54*100</f>
        <v/>
      </c>
      <c r="Y54" s="12" t="n">
        <v>0.439</v>
      </c>
      <c r="Z54" s="14" t="inlineStr">
        <is>
          <t>2025_H1</t>
        </is>
      </c>
    </row>
    <row r="55">
      <c r="A55" s="14" t="inlineStr">
        <is>
          <t>2025-02-07</t>
        </is>
      </c>
      <c r="B55" s="7" t="inlineStr">
        <is>
          <t>RECLTD</t>
        </is>
      </c>
      <c r="C55" s="14" t="inlineStr">
        <is>
          <t>PE</t>
        </is>
      </c>
      <c r="D55" s="14" t="inlineStr">
        <is>
          <t>large</t>
        </is>
      </c>
      <c r="E55" s="21" t="n">
        <v>400</v>
      </c>
      <c r="F55" s="14" t="inlineStr">
        <is>
          <t>2025-02-27</t>
        </is>
      </c>
      <c r="G55" s="8" t="n">
        <v>1000</v>
      </c>
      <c r="H55" s="22" t="n">
        <v>23.2</v>
      </c>
      <c r="I55" s="22" t="n">
        <v>1</v>
      </c>
      <c r="J55" s="22" t="n">
        <v>18.4</v>
      </c>
      <c r="K55" s="23" t="n">
        <v>7.65</v>
      </c>
      <c r="L55" s="23" t="n">
        <v>7.6</v>
      </c>
      <c r="M55" s="23" t="n">
        <v>7.9</v>
      </c>
      <c r="N55" s="23" t="n">
        <v>2.75</v>
      </c>
      <c r="O55" s="23" t="n">
        <v>4</v>
      </c>
      <c r="P55" s="23" t="n">
        <v>3.95</v>
      </c>
      <c r="Q55" s="8">
        <f>K55*G55</f>
        <v/>
      </c>
      <c r="R55" s="24">
        <f>(M55-K55)*G55</f>
        <v/>
      </c>
      <c r="S55" s="25">
        <f>(M55/K55-1)*100</f>
        <v/>
      </c>
      <c r="T55" s="26">
        <f>(N55-K55)*G55</f>
        <v/>
      </c>
      <c r="U55" s="27">
        <f>(N55/K55-1)*100</f>
        <v/>
      </c>
      <c r="V55" s="11">
        <f>(P55-K55)*G55</f>
        <v/>
      </c>
      <c r="W55" s="11" t="n">
        <v>-3874.22</v>
      </c>
      <c r="X55" s="10">
        <f>W55/Q55*100</f>
        <v/>
      </c>
      <c r="Y55" s="12" t="n">
        <v>-2.557</v>
      </c>
      <c r="Z55" s="14" t="inlineStr">
        <is>
          <t>2025_H1</t>
        </is>
      </c>
    </row>
    <row r="56">
      <c r="A56" s="14" t="inlineStr">
        <is>
          <t>2025-02-07</t>
        </is>
      </c>
      <c r="B56" s="7" t="inlineStr">
        <is>
          <t>TRENT</t>
        </is>
      </c>
      <c r="C56" s="14" t="inlineStr">
        <is>
          <t>PE</t>
        </is>
      </c>
      <c r="D56" s="14" t="inlineStr">
        <is>
          <t>large</t>
        </is>
      </c>
      <c r="E56" s="21" t="n">
        <v>4800</v>
      </c>
      <c r="F56" s="14" t="inlineStr">
        <is>
          <t>2025-02-27</t>
        </is>
      </c>
      <c r="G56" s="8" t="n">
        <v>100</v>
      </c>
      <c r="H56" s="22" t="n">
        <v>34</v>
      </c>
      <c r="I56" s="22" t="n">
        <v>48.2</v>
      </c>
      <c r="J56" s="22" t="n">
        <v>34.3</v>
      </c>
      <c r="K56" s="23" t="n">
        <v>74.55</v>
      </c>
      <c r="L56" s="23" t="n">
        <v>74.5</v>
      </c>
      <c r="M56" s="23" t="n">
        <v>74.5</v>
      </c>
      <c r="N56" s="23" t="n">
        <v>21.25</v>
      </c>
      <c r="O56" s="23" t="n">
        <v>23.6</v>
      </c>
      <c r="P56" s="23" t="n">
        <v>23.55</v>
      </c>
      <c r="Q56" s="8">
        <f>K56*G56</f>
        <v/>
      </c>
      <c r="R56" s="24">
        <f>(M56-K56)*G56</f>
        <v/>
      </c>
      <c r="S56" s="25">
        <f>(M56/K56-1)*100</f>
        <v/>
      </c>
      <c r="T56" s="26">
        <f>(N56-K56)*G56</f>
        <v/>
      </c>
      <c r="U56" s="27">
        <f>(N56/K56-1)*100</f>
        <v/>
      </c>
      <c r="V56" s="11">
        <f>(P56-K56)*G56</f>
        <v/>
      </c>
      <c r="W56" s="11" t="n">
        <v>-5253.18</v>
      </c>
      <c r="X56" s="10">
        <f>W56/Q56*100</f>
        <v/>
      </c>
      <c r="Y56" s="12" t="n">
        <v>-2.499</v>
      </c>
      <c r="Z56" s="14" t="inlineStr">
        <is>
          <t>2025_H1</t>
        </is>
      </c>
    </row>
    <row r="57">
      <c r="A57" s="14" t="inlineStr">
        <is>
          <t>2025-02-10</t>
        </is>
      </c>
      <c r="B57" s="7" t="inlineStr">
        <is>
          <t>DELHIVERY</t>
        </is>
      </c>
      <c r="C57" s="14" t="inlineStr">
        <is>
          <t>PE</t>
        </is>
      </c>
      <c r="D57" s="14" t="inlineStr">
        <is>
          <t>small</t>
        </is>
      </c>
      <c r="E57" s="21" t="n">
        <v>285</v>
      </c>
      <c r="F57" s="14" t="inlineStr">
        <is>
          <t>2025-02-27</t>
        </is>
      </c>
      <c r="G57" s="8" t="n">
        <v>1525</v>
      </c>
      <c r="H57" s="22" t="n">
        <v>113.4</v>
      </c>
      <c r="I57" s="22" t="n">
        <v>145</v>
      </c>
      <c r="J57" s="22" t="n">
        <v>8.4</v>
      </c>
      <c r="K57" s="23" t="n">
        <v>3.4</v>
      </c>
      <c r="L57" s="23" t="n">
        <v>3.35</v>
      </c>
      <c r="M57" s="23" t="n">
        <v>7.85</v>
      </c>
      <c r="N57" s="23" t="n">
        <v>2.95</v>
      </c>
      <c r="O57" s="23" t="n">
        <v>6.05</v>
      </c>
      <c r="P57" s="23" t="n">
        <v>6</v>
      </c>
      <c r="Q57" s="8">
        <f>K57*G57</f>
        <v/>
      </c>
      <c r="R57" s="24">
        <f>(M57-K57)*G57</f>
        <v/>
      </c>
      <c r="S57" s="25">
        <f>(M57/K57-1)*100</f>
        <v/>
      </c>
      <c r="T57" s="26">
        <f>(N57-K57)*G57</f>
        <v/>
      </c>
      <c r="U57" s="27">
        <f>(N57/K57-1)*100</f>
        <v/>
      </c>
      <c r="V57" s="11">
        <f>(P57-K57)*G57</f>
        <v/>
      </c>
      <c r="W57" s="11" t="n">
        <v>3467.84</v>
      </c>
      <c r="X57" s="10">
        <f>W57/Q57*100</f>
        <v/>
      </c>
      <c r="Y57" s="12" t="n">
        <v>5.934</v>
      </c>
      <c r="Z57" s="14" t="inlineStr">
        <is>
          <t>2025_H1</t>
        </is>
      </c>
    </row>
    <row r="58">
      <c r="A58" s="14" t="inlineStr">
        <is>
          <t>2025-02-10</t>
        </is>
      </c>
      <c r="B58" s="7" t="inlineStr">
        <is>
          <t>M&amp;M</t>
        </is>
      </c>
      <c r="C58" s="14" t="inlineStr">
        <is>
          <t>PE</t>
        </is>
      </c>
      <c r="D58" s="14" t="inlineStr">
        <is>
          <t>large</t>
        </is>
      </c>
      <c r="E58" s="21" t="n">
        <v>3150</v>
      </c>
      <c r="F58" s="14" t="inlineStr">
        <is>
          <t>2025-02-27</t>
        </is>
      </c>
      <c r="G58" s="8" t="n">
        <v>175</v>
      </c>
      <c r="H58" s="22" t="n">
        <v>21.7</v>
      </c>
      <c r="I58" s="22" t="n">
        <v>7.8</v>
      </c>
      <c r="J58" s="22" t="n">
        <v>17.5</v>
      </c>
      <c r="K58" s="23" t="n">
        <v>43.4</v>
      </c>
      <c r="L58" s="23" t="n">
        <v>43.35</v>
      </c>
      <c r="M58" s="23" t="n">
        <v>82.8</v>
      </c>
      <c r="N58" s="23" t="n">
        <v>29.1</v>
      </c>
      <c r="O58" s="23" t="n">
        <v>78.90000000000001</v>
      </c>
      <c r="P58" s="23" t="n">
        <v>78.84999999999999</v>
      </c>
      <c r="Q58" s="8">
        <f>K58*G58</f>
        <v/>
      </c>
      <c r="R58" s="24">
        <f>(M58-K58)*G58</f>
        <v/>
      </c>
      <c r="S58" s="25">
        <f>(M58/K58-1)*100</f>
        <v/>
      </c>
      <c r="T58" s="26">
        <f>(N58-K58)*G58</f>
        <v/>
      </c>
      <c r="U58" s="27">
        <f>(N58/K58-1)*100</f>
        <v/>
      </c>
      <c r="V58" s="11">
        <f>(P58-K58)*G58</f>
        <v/>
      </c>
      <c r="W58" s="11" t="n">
        <v>5912.69</v>
      </c>
      <c r="X58" s="10">
        <f>W58/Q58*100</f>
        <v/>
      </c>
      <c r="Y58" s="12" t="n">
        <v>2.242</v>
      </c>
      <c r="Z58" s="14" t="inlineStr">
        <is>
          <t>2025_H1</t>
        </is>
      </c>
    </row>
    <row r="59">
      <c r="A59" s="14" t="inlineStr">
        <is>
          <t>2025-02-10</t>
        </is>
      </c>
      <c r="B59" s="7" t="inlineStr">
        <is>
          <t>OIL</t>
        </is>
      </c>
      <c r="C59" s="14" t="inlineStr">
        <is>
          <t>CE</t>
        </is>
      </c>
      <c r="D59" s="14" t="inlineStr">
        <is>
          <t>mid</t>
        </is>
      </c>
      <c r="E59" s="21" t="n">
        <v>440</v>
      </c>
      <c r="F59" s="14" t="inlineStr">
        <is>
          <t>2025-02-27</t>
        </is>
      </c>
      <c r="G59" s="8" t="n">
        <v>1075</v>
      </c>
      <c r="H59" s="22" t="n">
        <v>-44.1</v>
      </c>
      <c r="I59" s="22" t="n">
        <v>-29.6</v>
      </c>
      <c r="J59" s="22" t="n">
        <v>-16.7</v>
      </c>
      <c r="K59" s="23" t="n">
        <v>5.1</v>
      </c>
      <c r="L59" s="23" t="n">
        <v>5.05</v>
      </c>
      <c r="M59" s="23" t="n">
        <v>5.4</v>
      </c>
      <c r="N59" s="23" t="n">
        <v>2.4</v>
      </c>
      <c r="O59" s="23" t="n">
        <v>3.05</v>
      </c>
      <c r="P59" s="23" t="n">
        <v>3</v>
      </c>
      <c r="Q59" s="8">
        <f>K59*G59</f>
        <v/>
      </c>
      <c r="R59" s="24">
        <f>(M59-K59)*G59</f>
        <v/>
      </c>
      <c r="S59" s="25">
        <f>(M59/K59-1)*100</f>
        <v/>
      </c>
      <c r="T59" s="26">
        <f>(N59-K59)*G59</f>
        <v/>
      </c>
      <c r="U59" s="27">
        <f>(N59/K59-1)*100</f>
        <v/>
      </c>
      <c r="V59" s="11">
        <f>(P59-K59)*G59</f>
        <v/>
      </c>
      <c r="W59" s="11" t="n">
        <v>-2487.52</v>
      </c>
      <c r="X59" s="10">
        <f>W59/Q59*100</f>
        <v/>
      </c>
      <c r="Y59" s="12" t="n">
        <v>-2.302</v>
      </c>
      <c r="Z59" s="14" t="inlineStr">
        <is>
          <t>2025_H1</t>
        </is>
      </c>
    </row>
    <row r="60">
      <c r="A60" s="14" t="inlineStr">
        <is>
          <t>2025-02-11</t>
        </is>
      </c>
      <c r="B60" s="7" t="inlineStr">
        <is>
          <t>EICHERMOT</t>
        </is>
      </c>
      <c r="C60" s="14" t="inlineStr">
        <is>
          <t>PE</t>
        </is>
      </c>
      <c r="D60" s="14" t="inlineStr">
        <is>
          <t>large</t>
        </is>
      </c>
      <c r="E60" s="21" t="n">
        <v>4800</v>
      </c>
      <c r="F60" s="14" t="inlineStr">
        <is>
          <t>2025-02-27</t>
        </is>
      </c>
      <c r="G60" s="8" t="n">
        <v>175</v>
      </c>
      <c r="H60" s="22" t="n">
        <v>17.5</v>
      </c>
      <c r="I60" s="22" t="n">
        <v>6.4</v>
      </c>
      <c r="J60" s="22" t="n">
        <v>19</v>
      </c>
      <c r="K60" s="23" t="n">
        <v>34.05</v>
      </c>
      <c r="L60" s="23" t="n">
        <v>34</v>
      </c>
      <c r="M60" s="23" t="n">
        <v>77.95</v>
      </c>
      <c r="N60" s="23" t="n">
        <v>32.5</v>
      </c>
      <c r="O60" s="23" t="n">
        <v>45.65</v>
      </c>
      <c r="P60" s="23" t="n">
        <v>45.6</v>
      </c>
      <c r="Q60" s="8">
        <f>K60*G60</f>
        <v/>
      </c>
      <c r="R60" s="24">
        <f>(M60-K60)*G60</f>
        <v/>
      </c>
      <c r="S60" s="25">
        <f>(M60/K60-1)*100</f>
        <v/>
      </c>
      <c r="T60" s="26">
        <f>(N60-K60)*G60</f>
        <v/>
      </c>
      <c r="U60" s="27">
        <f>(N60/K60-1)*100</f>
        <v/>
      </c>
      <c r="V60" s="11">
        <f>(P60-K60)*G60</f>
        <v/>
      </c>
      <c r="W60" s="11" t="n">
        <v>1816.64</v>
      </c>
      <c r="X60" s="10">
        <f>W60/Q60*100</f>
        <v/>
      </c>
      <c r="Y60" s="12" t="n">
        <v>3.24</v>
      </c>
      <c r="Z60" s="14" t="inlineStr">
        <is>
          <t>2025_H1</t>
        </is>
      </c>
    </row>
    <row r="61">
      <c r="A61" s="14" t="inlineStr">
        <is>
          <t>2025-02-11</t>
        </is>
      </c>
      <c r="B61" s="7" t="inlineStr">
        <is>
          <t>NYKAA</t>
        </is>
      </c>
      <c r="C61" s="14" t="inlineStr">
        <is>
          <t>PE</t>
        </is>
      </c>
      <c r="D61" s="14" t="inlineStr">
        <is>
          <t>mid</t>
        </is>
      </c>
      <c r="E61" s="21" t="n">
        <v>165</v>
      </c>
      <c r="F61" s="14" t="inlineStr">
        <is>
          <t>2025-02-27</t>
        </is>
      </c>
      <c r="G61" s="8" t="n">
        <v>2950</v>
      </c>
      <c r="H61" s="22" t="n">
        <v>51.3</v>
      </c>
      <c r="I61" s="22" t="n">
        <v>103.6</v>
      </c>
      <c r="J61" s="22" t="n">
        <v>26.7</v>
      </c>
      <c r="K61" s="23" t="n">
        <v>2.65</v>
      </c>
      <c r="L61" s="23" t="n">
        <v>2.6</v>
      </c>
      <c r="M61" s="23" t="n">
        <v>5.65</v>
      </c>
      <c r="N61" s="23" t="n">
        <v>2.5</v>
      </c>
      <c r="O61" s="23" t="n">
        <v>4.45</v>
      </c>
      <c r="P61" s="23" t="n">
        <v>4.4</v>
      </c>
      <c r="Q61" s="8">
        <f>K61*G61</f>
        <v/>
      </c>
      <c r="R61" s="24">
        <f>(M61-K61)*G61</f>
        <v/>
      </c>
      <c r="S61" s="25">
        <f>(M61/K61-1)*100</f>
        <v/>
      </c>
      <c r="T61" s="26">
        <f>(N61-K61)*G61</f>
        <v/>
      </c>
      <c r="U61" s="27">
        <f>(N61/K61-1)*100</f>
        <v/>
      </c>
      <c r="V61" s="11">
        <f>(P61-K61)*G61</f>
        <v/>
      </c>
      <c r="W61" s="11" t="n">
        <v>4670.91</v>
      </c>
      <c r="X61" s="10">
        <f>W61/Q61*100</f>
        <v/>
      </c>
      <c r="Y61" s="12" t="n">
        <v>2.17</v>
      </c>
      <c r="Z61" s="14" t="inlineStr">
        <is>
          <t>2025_H1</t>
        </is>
      </c>
    </row>
    <row r="62">
      <c r="A62" s="14" t="inlineStr">
        <is>
          <t>2025-02-13</t>
        </is>
      </c>
      <c r="B62" s="7" t="inlineStr">
        <is>
          <t>ASHOKLEY</t>
        </is>
      </c>
      <c r="C62" s="14" t="inlineStr">
        <is>
          <t>PE</t>
        </is>
      </c>
      <c r="D62" s="14" t="inlineStr">
        <is>
          <t>mid</t>
        </is>
      </c>
      <c r="E62" s="21" t="n">
        <v>215</v>
      </c>
      <c r="F62" s="14" t="inlineStr">
        <is>
          <t>2025-02-27</t>
        </is>
      </c>
      <c r="G62" s="8" t="n">
        <v>2500</v>
      </c>
      <c r="H62" s="22" t="n">
        <v>34.6</v>
      </c>
      <c r="I62" s="22" t="n">
        <v>6.9</v>
      </c>
      <c r="J62" s="22" t="n">
        <v>8.1</v>
      </c>
      <c r="K62" s="23" t="n">
        <v>3.15</v>
      </c>
      <c r="L62" s="23" t="n">
        <v>3.1</v>
      </c>
      <c r="M62" s="23" t="n">
        <v>4.55</v>
      </c>
      <c r="N62" s="23" t="n">
        <v>2.6</v>
      </c>
      <c r="O62" s="23" t="n">
        <v>4.05</v>
      </c>
      <c r="P62" s="23" t="n">
        <v>4</v>
      </c>
      <c r="Q62" s="8">
        <f>K62*G62</f>
        <v/>
      </c>
      <c r="R62" s="24">
        <f>(M62-K62)*G62</f>
        <v/>
      </c>
      <c r="S62" s="25">
        <f>(M62/K62-1)*100</f>
        <v/>
      </c>
      <c r="T62" s="26">
        <f>(N62-K62)*G62</f>
        <v/>
      </c>
      <c r="U62" s="27">
        <f>(N62/K62-1)*100</f>
        <v/>
      </c>
      <c r="V62" s="11">
        <f>(P62-K62)*G62</f>
        <v/>
      </c>
      <c r="W62" s="11" t="n">
        <v>1697.54</v>
      </c>
      <c r="X62" s="10">
        <f>W62/Q62*100</f>
        <v/>
      </c>
      <c r="Y62" s="12" t="n">
        <v>1.587</v>
      </c>
      <c r="Z62" s="14" t="inlineStr">
        <is>
          <t>2025_H1</t>
        </is>
      </c>
    </row>
    <row r="63">
      <c r="A63" s="14" t="inlineStr">
        <is>
          <t>2025-02-13</t>
        </is>
      </c>
      <c r="B63" s="7" t="inlineStr">
        <is>
          <t>BHARATFORG</t>
        </is>
      </c>
      <c r="C63" s="14" t="inlineStr">
        <is>
          <t>CE</t>
        </is>
      </c>
      <c r="D63" s="14" t="inlineStr">
        <is>
          <t>mid</t>
        </is>
      </c>
      <c r="E63" s="21" t="n">
        <v>1120</v>
      </c>
      <c r="F63" s="14" t="inlineStr">
        <is>
          <t>2025-02-27</t>
        </is>
      </c>
      <c r="G63" s="8" t="n">
        <v>500</v>
      </c>
      <c r="H63" s="22" t="n">
        <v>-16.4</v>
      </c>
      <c r="I63" s="22" t="n">
        <v>-12.5</v>
      </c>
      <c r="J63" s="22" t="n">
        <v>-10.1</v>
      </c>
      <c r="K63" s="23" t="n">
        <v>15.05</v>
      </c>
      <c r="L63" s="23" t="n">
        <v>15</v>
      </c>
      <c r="M63" s="23" t="n">
        <v>19.6</v>
      </c>
      <c r="N63" s="23" t="n">
        <v>9.9</v>
      </c>
      <c r="O63" s="23" t="n">
        <v>12.65</v>
      </c>
      <c r="P63" s="23" t="n">
        <v>12.6</v>
      </c>
      <c r="Q63" s="8">
        <f>K63*G63</f>
        <v/>
      </c>
      <c r="R63" s="24">
        <f>(M63-K63)*G63</f>
        <v/>
      </c>
      <c r="S63" s="25">
        <f>(M63/K63-1)*100</f>
        <v/>
      </c>
      <c r="T63" s="26">
        <f>(N63-K63)*G63</f>
        <v/>
      </c>
      <c r="U63" s="27">
        <f>(N63/K63-1)*100</f>
        <v/>
      </c>
      <c r="V63" s="11">
        <f>(P63-K63)*G63</f>
        <v/>
      </c>
      <c r="W63" s="11" t="n">
        <v>-1564.19</v>
      </c>
      <c r="X63" s="10">
        <f>W63/Q63*100</f>
        <v/>
      </c>
      <c r="Y63" s="12" t="n">
        <v>0.112</v>
      </c>
      <c r="Z63" s="14" t="inlineStr">
        <is>
          <t>2025_H1</t>
        </is>
      </c>
    </row>
    <row r="64">
      <c r="A64" s="14" t="inlineStr">
        <is>
          <t>2025-02-13</t>
        </is>
      </c>
      <c r="B64" s="7" t="inlineStr">
        <is>
          <t>JUBLFOOD</t>
        </is>
      </c>
      <c r="C64" s="14" t="inlineStr">
        <is>
          <t>CE</t>
        </is>
      </c>
      <c r="D64" s="14" t="inlineStr">
        <is>
          <t>mid</t>
        </is>
      </c>
      <c r="E64" s="21" t="n">
        <v>680</v>
      </c>
      <c r="F64" s="14" t="inlineStr">
        <is>
          <t>2025-02-27</t>
        </is>
      </c>
      <c r="G64" s="8" t="n">
        <v>1250</v>
      </c>
      <c r="H64" s="22" t="n">
        <v>-34.2</v>
      </c>
      <c r="I64" s="22" t="n">
        <v>-35</v>
      </c>
      <c r="J64" s="22" t="n">
        <v>56.1</v>
      </c>
      <c r="K64" s="23" t="n">
        <v>5</v>
      </c>
      <c r="L64" s="23" t="n">
        <v>4.95</v>
      </c>
      <c r="M64" s="23" t="n">
        <v>23.4</v>
      </c>
      <c r="N64" s="23" t="n">
        <v>4.95</v>
      </c>
      <c r="O64" s="23" t="n">
        <v>10.2</v>
      </c>
      <c r="P64" s="23" t="n">
        <v>10.15</v>
      </c>
      <c r="Q64" s="8">
        <f>K64*G64</f>
        <v/>
      </c>
      <c r="R64" s="24">
        <f>(M64-K64)*G64</f>
        <v/>
      </c>
      <c r="S64" s="25">
        <f>(M64/K64-1)*100</f>
        <v/>
      </c>
      <c r="T64" s="26">
        <f>(N64-K64)*G64</f>
        <v/>
      </c>
      <c r="U64" s="27">
        <f>(N64/K64-1)*100</f>
        <v/>
      </c>
      <c r="V64" s="11">
        <f>(P64-K64)*G64</f>
        <v/>
      </c>
      <c r="W64" s="11" t="n">
        <v>5984.37</v>
      </c>
      <c r="X64" s="10">
        <f>W64/Q64*100</f>
        <v/>
      </c>
      <c r="Y64" s="12" t="n">
        <v>3.453</v>
      </c>
      <c r="Z64" s="14" t="inlineStr">
        <is>
          <t>2025_H1</t>
        </is>
      </c>
    </row>
    <row r="65">
      <c r="A65" s="14" t="inlineStr">
        <is>
          <t>2025-02-13</t>
        </is>
      </c>
      <c r="B65" s="7" t="inlineStr">
        <is>
          <t>MUTHOOTFIN</t>
        </is>
      </c>
      <c r="C65" s="14" t="inlineStr">
        <is>
          <t>PE</t>
        </is>
      </c>
      <c r="D65" s="14" t="inlineStr">
        <is>
          <t>mid</t>
        </is>
      </c>
      <c r="E65" s="21" t="n">
        <v>2160</v>
      </c>
      <c r="F65" s="14" t="inlineStr">
        <is>
          <t>2025-02-27</t>
        </is>
      </c>
      <c r="G65" s="8" t="n">
        <v>275</v>
      </c>
      <c r="H65" s="22" t="n">
        <v>21.5</v>
      </c>
      <c r="I65" s="22" t="n">
        <v>5.3</v>
      </c>
      <c r="J65" s="22" t="n">
        <v>35.9</v>
      </c>
      <c r="K65" s="23" t="n">
        <v>28.1</v>
      </c>
      <c r="L65" s="23" t="n">
        <v>28.05</v>
      </c>
      <c r="M65" s="23" t="n">
        <v>28.05</v>
      </c>
      <c r="N65" s="23" t="n">
        <v>9.199999999999999</v>
      </c>
      <c r="O65" s="23" t="n">
        <v>10.4</v>
      </c>
      <c r="P65" s="23" t="n">
        <v>10.35</v>
      </c>
      <c r="Q65" s="8">
        <f>K65*G65</f>
        <v/>
      </c>
      <c r="R65" s="24">
        <f>(M65-K65)*G65</f>
        <v/>
      </c>
      <c r="S65" s="25">
        <f>(M65/K65-1)*100</f>
        <v/>
      </c>
      <c r="T65" s="26">
        <f>(N65-K65)*G65</f>
        <v/>
      </c>
      <c r="U65" s="27">
        <f>(N65/K65-1)*100</f>
        <v/>
      </c>
      <c r="V65" s="11">
        <f>(P65-K65)*G65</f>
        <v/>
      </c>
      <c r="W65" s="11" t="n">
        <v>-5148.88</v>
      </c>
      <c r="X65" s="10">
        <f>W65/Q65*100</f>
        <v/>
      </c>
      <c r="Y65" s="12" t="n">
        <v>-3.068</v>
      </c>
      <c r="Z65" s="14" t="inlineStr">
        <is>
          <t>2025_H1</t>
        </is>
      </c>
    </row>
    <row r="66">
      <c r="A66" s="14" t="inlineStr">
        <is>
          <t>2025-02-13</t>
        </is>
      </c>
      <c r="B66" s="7" t="inlineStr">
        <is>
          <t>PFC</t>
        </is>
      </c>
      <c r="C66" s="14" t="inlineStr">
        <is>
          <t>PE</t>
        </is>
      </c>
      <c r="D66" s="14" t="inlineStr">
        <is>
          <t>large</t>
        </is>
      </c>
      <c r="E66" s="21" t="n">
        <v>350</v>
      </c>
      <c r="F66" s="14" t="inlineStr">
        <is>
          <t>2025-02-27</t>
        </is>
      </c>
      <c r="G66" s="8" t="n">
        <v>1300</v>
      </c>
      <c r="H66" s="22" t="n">
        <v>12228.5</v>
      </c>
      <c r="I66" s="22" t="n">
        <v>7.5</v>
      </c>
      <c r="J66" s="22" t="n">
        <v>11268.6</v>
      </c>
      <c r="K66" s="23" t="n">
        <v>4.55</v>
      </c>
      <c r="L66" s="23" t="n">
        <v>4.5</v>
      </c>
      <c r="M66" s="23" t="n">
        <v>4.5</v>
      </c>
      <c r="N66" s="23" t="n">
        <v>2</v>
      </c>
      <c r="O66" s="23" t="n">
        <v>2.85</v>
      </c>
      <c r="P66" s="23" t="n">
        <v>2.8</v>
      </c>
      <c r="Q66" s="8">
        <f>K66*G66</f>
        <v/>
      </c>
      <c r="R66" s="24">
        <f>(M66-K66)*G66</f>
        <v/>
      </c>
      <c r="S66" s="25">
        <f>(M66/K66-1)*100</f>
        <v/>
      </c>
      <c r="T66" s="26">
        <f>(N66-K66)*G66</f>
        <v/>
      </c>
      <c r="U66" s="27">
        <f>(N66/K66-1)*100</f>
        <v/>
      </c>
      <c r="V66" s="11">
        <f>(P66-K66)*G66</f>
        <v/>
      </c>
      <c r="W66" s="11" t="n">
        <v>-2427.4</v>
      </c>
      <c r="X66" s="10">
        <f>W66/Q66*100</f>
        <v/>
      </c>
      <c r="Y66" s="12" t="n">
        <v>-1.989</v>
      </c>
      <c r="Z66" s="14" t="inlineStr">
        <is>
          <t>2025_H1</t>
        </is>
      </c>
    </row>
    <row r="67">
      <c r="A67" s="14" t="inlineStr">
        <is>
          <t>2025-02-17</t>
        </is>
      </c>
      <c r="B67" s="7" t="inlineStr">
        <is>
          <t>MOTHERSON</t>
        </is>
      </c>
      <c r="C67" s="14" t="inlineStr">
        <is>
          <t>PE</t>
        </is>
      </c>
      <c r="D67" s="14" t="inlineStr">
        <is>
          <t>large</t>
        </is>
      </c>
      <c r="E67" s="21" t="n">
        <v>117.5</v>
      </c>
      <c r="F67" s="14" t="inlineStr">
        <is>
          <t>2025-02-27</t>
        </is>
      </c>
      <c r="G67" s="8" t="n">
        <v>3550</v>
      </c>
      <c r="H67" s="22" t="n">
        <v>55.4</v>
      </c>
      <c r="I67" s="22" t="n">
        <v>3.7</v>
      </c>
      <c r="J67" s="22" t="n">
        <v>7.7</v>
      </c>
      <c r="K67" s="23" t="n">
        <v>2.05</v>
      </c>
      <c r="L67" s="23" t="n">
        <v>2</v>
      </c>
      <c r="M67" s="23" t="n">
        <v>2.05</v>
      </c>
      <c r="N67" s="23" t="n">
        <v>0.9</v>
      </c>
      <c r="O67" s="23" t="n">
        <v>0.95</v>
      </c>
      <c r="P67" s="23" t="n">
        <v>0.9</v>
      </c>
      <c r="Q67" s="8">
        <f>K67*G67</f>
        <v/>
      </c>
      <c r="R67" s="24">
        <f>(M67-K67)*G67</f>
        <v/>
      </c>
      <c r="S67" s="25">
        <f>(M67/K67-1)*100</f>
        <v/>
      </c>
      <c r="T67" s="26">
        <f>(N67-K67)*G67</f>
        <v/>
      </c>
      <c r="U67" s="27">
        <f>(N67/K67-1)*100</f>
        <v/>
      </c>
      <c r="V67" s="11">
        <f>(P67-K67)*G67</f>
        <v/>
      </c>
      <c r="W67" s="11" t="n">
        <v>-4243.85</v>
      </c>
      <c r="X67" s="10">
        <f>W67/Q67*100</f>
        <v/>
      </c>
      <c r="Y67" s="12" t="n">
        <v>1.129</v>
      </c>
      <c r="Z67" s="14" t="inlineStr">
        <is>
          <t>2025_H1</t>
        </is>
      </c>
    </row>
    <row r="68">
      <c r="A68" s="14" t="inlineStr">
        <is>
          <t>2025-04-29</t>
        </is>
      </c>
      <c r="B68" s="7" t="inlineStr">
        <is>
          <t>KPITTECH</t>
        </is>
      </c>
      <c r="C68" s="14" t="inlineStr">
        <is>
          <t>PE</t>
        </is>
      </c>
      <c r="D68" s="14" t="inlineStr">
        <is>
          <t>mid</t>
        </is>
      </c>
      <c r="E68" s="21" t="n">
        <v>1080</v>
      </c>
      <c r="F68" s="14" t="inlineStr">
        <is>
          <t>2025-05-29</t>
        </is>
      </c>
      <c r="G68" s="8" t="n">
        <v>400</v>
      </c>
      <c r="H68" s="22" t="n">
        <v>47.5</v>
      </c>
      <c r="I68" s="22" t="n">
        <v>30.9</v>
      </c>
      <c r="J68" s="22" t="n">
        <v>16</v>
      </c>
      <c r="K68" s="23" t="n">
        <v>17.05</v>
      </c>
      <c r="L68" s="23" t="n">
        <v>17</v>
      </c>
      <c r="M68" s="23" t="n">
        <v>19.95</v>
      </c>
      <c r="N68" s="23" t="n">
        <v>7.75</v>
      </c>
      <c r="O68" s="23" t="n">
        <v>9.65</v>
      </c>
      <c r="P68" s="23" t="n">
        <v>9.6</v>
      </c>
      <c r="Q68" s="8">
        <f>K68*G68</f>
        <v/>
      </c>
      <c r="R68" s="24">
        <f>(M68-K68)*G68</f>
        <v/>
      </c>
      <c r="S68" s="25">
        <f>(M68/K68-1)*100</f>
        <v/>
      </c>
      <c r="T68" s="26">
        <f>(N68-K68)*G68</f>
        <v/>
      </c>
      <c r="U68" s="27">
        <f>(N68/K68-1)*100</f>
        <v/>
      </c>
      <c r="V68" s="11">
        <f>(P68-K68)*G68</f>
        <v/>
      </c>
      <c r="W68" s="11" t="n">
        <v>-3250.84</v>
      </c>
      <c r="X68" s="10">
        <f>W68/Q68*100</f>
        <v/>
      </c>
      <c r="Y68" s="12" t="n">
        <v>-2.913</v>
      </c>
      <c r="Z68" s="14" t="inlineStr">
        <is>
          <t>2025_H1</t>
        </is>
      </c>
    </row>
    <row r="69">
      <c r="A69" s="14" t="inlineStr">
        <is>
          <t>2025-04-30</t>
        </is>
      </c>
      <c r="B69" s="7" t="inlineStr">
        <is>
          <t>BAJFINANCE</t>
        </is>
      </c>
      <c r="C69" s="14" t="inlineStr">
        <is>
          <t>PE</t>
        </is>
      </c>
      <c r="D69" s="14" t="inlineStr">
        <is>
          <t>large</t>
        </is>
      </c>
      <c r="E69" s="21" t="n">
        <v>8100</v>
      </c>
      <c r="F69" s="14" t="inlineStr">
        <is>
          <t>2025-05-29</t>
        </is>
      </c>
      <c r="G69" s="8" t="n">
        <v>125</v>
      </c>
      <c r="H69" s="22" t="n">
        <v>18.9</v>
      </c>
      <c r="I69" s="22" t="n">
        <v>5.5</v>
      </c>
      <c r="J69" s="22" t="n">
        <v>23.7</v>
      </c>
      <c r="K69" s="23" t="n">
        <v>50.1</v>
      </c>
      <c r="L69" s="23" t="n">
        <v>50.05</v>
      </c>
      <c r="M69" s="23" t="n">
        <v>111.15</v>
      </c>
      <c r="N69" s="23" t="n">
        <v>50.05</v>
      </c>
      <c r="O69" s="23" t="n">
        <v>80.34999999999999</v>
      </c>
      <c r="P69" s="23" t="n">
        <v>80.3</v>
      </c>
      <c r="Q69" s="8">
        <f>K69*G69</f>
        <v/>
      </c>
      <c r="R69" s="24">
        <f>(M69-K69)*G69</f>
        <v/>
      </c>
      <c r="S69" s="25">
        <f>(M69/K69-1)*100</f>
        <v/>
      </c>
      <c r="T69" s="26">
        <f>(N69-K69)*G69</f>
        <v/>
      </c>
      <c r="U69" s="27">
        <f>(N69/K69-1)*100</f>
        <v/>
      </c>
      <c r="V69" s="11">
        <f>(P69-K69)*G69</f>
        <v/>
      </c>
      <c r="W69" s="11" t="n">
        <v>3542.69</v>
      </c>
      <c r="X69" s="10">
        <f>W69/Q69*100</f>
        <v/>
      </c>
      <c r="Y69" s="12" t="n">
        <v>2.325</v>
      </c>
      <c r="Z69" s="14" t="inlineStr">
        <is>
          <t>2025_H1</t>
        </is>
      </c>
    </row>
    <row r="70">
      <c r="A70" s="14" t="inlineStr">
        <is>
          <t>2025-05-02</t>
        </is>
      </c>
      <c r="B70" s="7" t="inlineStr">
        <is>
          <t>VBL</t>
        </is>
      </c>
      <c r="C70" s="14" t="inlineStr">
        <is>
          <t>PE</t>
        </is>
      </c>
      <c r="D70" s="14" t="inlineStr">
        <is>
          <t>large</t>
        </is>
      </c>
      <c r="E70" s="21" t="n">
        <v>480</v>
      </c>
      <c r="F70" s="14" t="inlineStr">
        <is>
          <t>2025-05-29</t>
        </is>
      </c>
      <c r="G70" s="8" t="n">
        <v>875</v>
      </c>
      <c r="H70" s="22" t="n">
        <v>33.5</v>
      </c>
      <c r="I70" s="22" t="n">
        <v>273.8</v>
      </c>
      <c r="J70" s="22" t="n">
        <v>29.2</v>
      </c>
      <c r="K70" s="23" t="n">
        <v>8.699999999999999</v>
      </c>
      <c r="L70" s="23" t="n">
        <v>8.65</v>
      </c>
      <c r="M70" s="23" t="n">
        <v>10.45</v>
      </c>
      <c r="N70" s="23" t="n">
        <v>6.1</v>
      </c>
      <c r="O70" s="23" t="n">
        <v>6.45</v>
      </c>
      <c r="P70" s="23" t="n">
        <v>6.4</v>
      </c>
      <c r="Q70" s="8">
        <f>K70*G70</f>
        <v/>
      </c>
      <c r="R70" s="24">
        <f>(M70-K70)*G70</f>
        <v/>
      </c>
      <c r="S70" s="25">
        <f>(M70/K70-1)*100</f>
        <v/>
      </c>
      <c r="T70" s="26">
        <f>(N70-K70)*G70</f>
        <v/>
      </c>
      <c r="U70" s="27">
        <f>(N70/K70-1)*100</f>
        <v/>
      </c>
      <c r="V70" s="11">
        <f>(P70-K70)*G70</f>
        <v/>
      </c>
      <c r="W70" s="11" t="n">
        <v>-2206.01</v>
      </c>
      <c r="X70" s="10">
        <f>W70/Q70*100</f>
        <v/>
      </c>
      <c r="Y70" s="12" t="n">
        <v>0.456</v>
      </c>
      <c r="Z70" s="14" t="inlineStr">
        <is>
          <t>2025_H1</t>
        </is>
      </c>
    </row>
    <row r="71">
      <c r="A71" s="14" t="inlineStr">
        <is>
          <t>2025-05-05</t>
        </is>
      </c>
      <c r="B71" s="7" t="inlineStr">
        <is>
          <t>CDSL</t>
        </is>
      </c>
      <c r="C71" s="14" t="inlineStr">
        <is>
          <t>CE</t>
        </is>
      </c>
      <c r="D71" s="14" t="inlineStr">
        <is>
          <t>small</t>
        </is>
      </c>
      <c r="E71" s="21" t="n">
        <v>1360</v>
      </c>
      <c r="F71" s="14" t="inlineStr">
        <is>
          <t>2025-05-29</t>
        </is>
      </c>
      <c r="G71" s="8" t="n">
        <v>350</v>
      </c>
      <c r="H71" s="22" t="n">
        <v>-22.4</v>
      </c>
      <c r="I71" s="22" t="n">
        <v>-22.7</v>
      </c>
      <c r="J71" s="22" t="n">
        <v>-6.8</v>
      </c>
      <c r="K71" s="23" t="n">
        <v>17.1</v>
      </c>
      <c r="L71" s="23" t="n">
        <v>17.05</v>
      </c>
      <c r="M71" s="23" t="n">
        <v>35.7</v>
      </c>
      <c r="N71" s="23" t="n">
        <v>11.9</v>
      </c>
      <c r="O71" s="23" t="n">
        <v>29.9</v>
      </c>
      <c r="P71" s="23" t="n">
        <v>29.85</v>
      </c>
      <c r="Q71" s="8">
        <f>K71*G71</f>
        <v/>
      </c>
      <c r="R71" s="24">
        <f>(M71-K71)*G71</f>
        <v/>
      </c>
      <c r="S71" s="25">
        <f>(M71/K71-1)*100</f>
        <v/>
      </c>
      <c r="T71" s="26">
        <f>(N71-K71)*G71</f>
        <v/>
      </c>
      <c r="U71" s="27">
        <f>(N71/K71-1)*100</f>
        <v/>
      </c>
      <c r="V71" s="11">
        <f>(P71-K71)*G71</f>
        <v/>
      </c>
      <c r="W71" s="11" t="n">
        <v>3899.57</v>
      </c>
      <c r="X71" s="10">
        <f>W71/Q71*100</f>
        <v/>
      </c>
      <c r="Y71" s="12" t="n">
        <v>2.625</v>
      </c>
      <c r="Z71" s="14" t="inlineStr">
        <is>
          <t>2025_H1</t>
        </is>
      </c>
    </row>
    <row r="72">
      <c r="A72" s="14" t="inlineStr">
        <is>
          <t>2025-05-05</t>
        </is>
      </c>
      <c r="B72" s="7" t="inlineStr">
        <is>
          <t>INDIANB</t>
        </is>
      </c>
      <c r="C72" s="14" t="inlineStr">
        <is>
          <t>PE</t>
        </is>
      </c>
      <c r="D72" s="14" t="inlineStr">
        <is>
          <t>mid</t>
        </is>
      </c>
      <c r="E72" s="21" t="n">
        <v>530</v>
      </c>
      <c r="F72" s="14" t="inlineStr">
        <is>
          <t>2025-05-29</t>
        </is>
      </c>
      <c r="G72" s="8" t="n">
        <v>950</v>
      </c>
      <c r="H72" s="22" t="n">
        <v>29.9</v>
      </c>
      <c r="I72" s="22" t="n">
        <v>2.5</v>
      </c>
      <c r="J72" s="22" t="n">
        <v>8.4</v>
      </c>
      <c r="K72" s="23" t="n">
        <v>7.55</v>
      </c>
      <c r="L72" s="23" t="n">
        <v>7.5</v>
      </c>
      <c r="M72" s="23" t="n">
        <v>11.85</v>
      </c>
      <c r="N72" s="23" t="n">
        <v>3.9</v>
      </c>
      <c r="O72" s="23" t="n">
        <v>4.85</v>
      </c>
      <c r="P72" s="23" t="n">
        <v>4.8</v>
      </c>
      <c r="Q72" s="8">
        <f>K72*G72</f>
        <v/>
      </c>
      <c r="R72" s="24">
        <f>(M72-K72)*G72</f>
        <v/>
      </c>
      <c r="S72" s="25">
        <f>(M72/K72-1)*100</f>
        <v/>
      </c>
      <c r="T72" s="26">
        <f>(N72-K72)*G72</f>
        <v/>
      </c>
      <c r="U72" s="27">
        <f>(N72/K72-1)*100</f>
        <v/>
      </c>
      <c r="V72" s="11">
        <f>(P72-K72)*G72</f>
        <v/>
      </c>
      <c r="W72" s="11" t="n">
        <v>-2906.34</v>
      </c>
      <c r="X72" s="10">
        <f>W72/Q72*100</f>
        <v/>
      </c>
      <c r="Y72" s="12" t="n">
        <v>-1.318</v>
      </c>
      <c r="Z72" s="14" t="inlineStr">
        <is>
          <t>2025_H1</t>
        </is>
      </c>
    </row>
    <row r="73">
      <c r="A73" s="14" t="inlineStr">
        <is>
          <t>2025-05-06</t>
        </is>
      </c>
      <c r="B73" s="7" t="inlineStr">
        <is>
          <t>COFORGE</t>
        </is>
      </c>
      <c r="C73" s="14" t="inlineStr">
        <is>
          <t>PE</t>
        </is>
      </c>
      <c r="D73" s="14" t="inlineStr">
        <is>
          <t>mid</t>
        </is>
      </c>
      <c r="E73" s="21" t="n">
        <v>7300</v>
      </c>
      <c r="F73" s="14" t="inlineStr">
        <is>
          <t>2025-05-29</t>
        </is>
      </c>
      <c r="G73" s="8" t="n">
        <v>75</v>
      </c>
      <c r="H73" s="22" t="n">
        <v>34.1</v>
      </c>
      <c r="I73" s="22" t="n">
        <v>20.1</v>
      </c>
      <c r="J73" s="22" t="n">
        <v>44.6</v>
      </c>
      <c r="K73" s="23" t="n">
        <v>92.75</v>
      </c>
      <c r="L73" s="23" t="n">
        <v>92.7</v>
      </c>
      <c r="M73" s="23" t="n">
        <v>254.95</v>
      </c>
      <c r="N73" s="23" t="n">
        <v>82.55</v>
      </c>
      <c r="O73" s="23" t="n">
        <v>241.35</v>
      </c>
      <c r="P73" s="23" t="n">
        <v>241.3</v>
      </c>
      <c r="Q73" s="8">
        <f>K73*G73</f>
        <v/>
      </c>
      <c r="R73" s="24">
        <f>(M73-K73)*G73</f>
        <v/>
      </c>
      <c r="S73" s="25">
        <f>(M73/K73-1)*100</f>
        <v/>
      </c>
      <c r="T73" s="26">
        <f>(N73-K73)*G73</f>
        <v/>
      </c>
      <c r="U73" s="27">
        <f>(N73/K73-1)*100</f>
        <v/>
      </c>
      <c r="V73" s="11">
        <f>(P73-K73)*G73</f>
        <v/>
      </c>
      <c r="W73" s="11" t="n">
        <v>10555.07</v>
      </c>
      <c r="X73" s="10">
        <f>W73/Q73*100</f>
        <v/>
      </c>
      <c r="Y73" s="12" t="n">
        <v>5.401</v>
      </c>
      <c r="Z73" s="14" t="inlineStr">
        <is>
          <t>2025_H1</t>
        </is>
      </c>
    </row>
    <row r="74">
      <c r="A74" s="14" t="inlineStr">
        <is>
          <t>2025-05-19</t>
        </is>
      </c>
      <c r="B74" s="7" t="inlineStr">
        <is>
          <t>DIVISLAB</t>
        </is>
      </c>
      <c r="C74" s="14" t="inlineStr">
        <is>
          <t>PE</t>
        </is>
      </c>
      <c r="D74" s="14" t="inlineStr">
        <is>
          <t>large</t>
        </is>
      </c>
      <c r="E74" s="21" t="n">
        <v>6150</v>
      </c>
      <c r="F74" s="14" t="inlineStr">
        <is>
          <t>2025-05-29</t>
        </is>
      </c>
      <c r="G74" s="8" t="n">
        <v>100</v>
      </c>
      <c r="H74" s="22" t="n">
        <v>23</v>
      </c>
      <c r="I74" s="22" t="n">
        <v>12.4</v>
      </c>
      <c r="J74" s="22" t="n">
        <v>12.2</v>
      </c>
      <c r="K74" s="23" t="n">
        <v>62.6</v>
      </c>
      <c r="L74" s="23" t="n">
        <v>62.55</v>
      </c>
      <c r="M74" s="23" t="n">
        <v>72.2</v>
      </c>
      <c r="N74" s="23" t="n">
        <v>20.3</v>
      </c>
      <c r="O74" s="23" t="n">
        <v>28.8</v>
      </c>
      <c r="P74" s="23" t="n">
        <v>28.75</v>
      </c>
      <c r="Q74" s="8">
        <f>K74*G74</f>
        <v/>
      </c>
      <c r="R74" s="24">
        <f>(M74-K74)*G74</f>
        <v/>
      </c>
      <c r="S74" s="25">
        <f>(M74/K74-1)*100</f>
        <v/>
      </c>
      <c r="T74" s="26">
        <f>(N74-K74)*G74</f>
        <v/>
      </c>
      <c r="U74" s="27">
        <f>(N74/K74-1)*100</f>
        <v/>
      </c>
      <c r="V74" s="11">
        <f>(P74-K74)*G74</f>
        <v/>
      </c>
      <c r="W74" s="11" t="n">
        <v>-3531.88</v>
      </c>
      <c r="X74" s="10">
        <f>W74/Q74*100</f>
        <v/>
      </c>
      <c r="Y74" s="12" t="n">
        <v>-2.812</v>
      </c>
      <c r="Z74" s="14" t="inlineStr">
        <is>
          <t>2025_H1</t>
        </is>
      </c>
    </row>
    <row r="75">
      <c r="A75" s="14" t="inlineStr">
        <is>
          <t>2025-05-20</t>
        </is>
      </c>
      <c r="B75" s="7" t="inlineStr">
        <is>
          <t>BEL</t>
        </is>
      </c>
      <c r="C75" s="14" t="inlineStr">
        <is>
          <t>PE</t>
        </is>
      </c>
      <c r="D75" s="14" t="inlineStr">
        <is>
          <t>large</t>
        </is>
      </c>
      <c r="E75" s="21" t="n">
        <v>345</v>
      </c>
      <c r="F75" s="14" t="inlineStr">
        <is>
          <t>2025-05-29</t>
        </is>
      </c>
      <c r="G75" s="8" t="n">
        <v>2850</v>
      </c>
      <c r="H75" s="22" t="n">
        <v>18.4</v>
      </c>
      <c r="I75" s="22" t="n">
        <v>62.2</v>
      </c>
      <c r="J75" s="22" t="n">
        <v>6.8</v>
      </c>
      <c r="K75" s="23" t="n">
        <v>2.55</v>
      </c>
      <c r="L75" s="23" t="n">
        <v>2.5</v>
      </c>
      <c r="M75" s="23" t="n">
        <v>4.15</v>
      </c>
      <c r="N75" s="23" t="n">
        <v>1.55</v>
      </c>
      <c r="O75" s="23" t="n">
        <v>2.3</v>
      </c>
      <c r="P75" s="23" t="n">
        <v>2.25</v>
      </c>
      <c r="Q75" s="8">
        <f>K75*G75</f>
        <v/>
      </c>
      <c r="R75" s="24">
        <f>(M75-K75)*G75</f>
        <v/>
      </c>
      <c r="S75" s="25">
        <f>(M75/K75-1)*100</f>
        <v/>
      </c>
      <c r="T75" s="26">
        <f>(N75-K75)*G75</f>
        <v/>
      </c>
      <c r="U75" s="27">
        <f>(N75/K75-1)*100</f>
        <v/>
      </c>
      <c r="V75" s="11">
        <f>(P75-K75)*G75</f>
        <v/>
      </c>
      <c r="W75" s="11" t="n">
        <v>-1054.6</v>
      </c>
      <c r="X75" s="10">
        <f>W75/Q75*100</f>
        <v/>
      </c>
      <c r="Y75" s="12" t="n">
        <v>1.516</v>
      </c>
      <c r="Z75" s="14" t="inlineStr">
        <is>
          <t>2025_H1</t>
        </is>
      </c>
    </row>
    <row r="76">
      <c r="A76" s="14" t="inlineStr">
        <is>
          <t>2025-05-20</t>
        </is>
      </c>
      <c r="B76" s="7" t="inlineStr">
        <is>
          <t>DLF</t>
        </is>
      </c>
      <c r="C76" s="14" t="inlineStr">
        <is>
          <t>PE</t>
        </is>
      </c>
      <c r="D76" s="14" t="inlineStr">
        <is>
          <t>large</t>
        </is>
      </c>
      <c r="E76" s="21" t="n">
        <v>740</v>
      </c>
      <c r="F76" s="14" t="inlineStr">
        <is>
          <t>2025-05-29</t>
        </is>
      </c>
      <c r="G76" s="8" t="n">
        <v>825</v>
      </c>
      <c r="H76" s="22" t="n">
        <v>39.4</v>
      </c>
      <c r="I76" s="22" t="n">
        <v>21.1</v>
      </c>
      <c r="J76" s="22" t="n">
        <v>46.5</v>
      </c>
      <c r="K76" s="23" t="n">
        <v>9.5</v>
      </c>
      <c r="L76" s="23" t="n">
        <v>9.449999999999999</v>
      </c>
      <c r="M76" s="23" t="n">
        <v>16.65</v>
      </c>
      <c r="N76" s="23" t="n">
        <v>4.75</v>
      </c>
      <c r="O76" s="23" t="n">
        <v>9.4</v>
      </c>
      <c r="P76" s="23" t="n">
        <v>9.35</v>
      </c>
      <c r="Q76" s="8">
        <f>K76*G76</f>
        <v/>
      </c>
      <c r="R76" s="24">
        <f>(M76-K76)*G76</f>
        <v/>
      </c>
      <c r="S76" s="25">
        <f>(M76/K76-1)*100</f>
        <v/>
      </c>
      <c r="T76" s="26">
        <f>(N76-K76)*G76</f>
        <v/>
      </c>
      <c r="U76" s="27">
        <f>(N76/K76-1)*100</f>
        <v/>
      </c>
      <c r="V76" s="11">
        <f>(P76-K76)*G76</f>
        <v/>
      </c>
      <c r="W76" s="11" t="n">
        <v>-344.8</v>
      </c>
      <c r="X76" s="10">
        <f>W76/Q76*100</f>
        <v/>
      </c>
      <c r="Y76" s="12" t="n">
        <v>2.143</v>
      </c>
      <c r="Z76" s="14" t="inlineStr">
        <is>
          <t>2025_H1</t>
        </is>
      </c>
    </row>
    <row r="77">
      <c r="A77" s="14" t="inlineStr">
        <is>
          <t>2025-05-20</t>
        </is>
      </c>
      <c r="B77" s="7" t="inlineStr">
        <is>
          <t>PIIND</t>
        </is>
      </c>
      <c r="C77" s="14" t="inlineStr">
        <is>
          <t>CE</t>
        </is>
      </c>
      <c r="D77" s="14" t="inlineStr">
        <is>
          <t>mid</t>
        </is>
      </c>
      <c r="E77" s="21" t="n">
        <v>3850</v>
      </c>
      <c r="F77" s="14" t="inlineStr">
        <is>
          <t>2025-05-29</t>
        </is>
      </c>
      <c r="G77" s="8" t="n">
        <v>125</v>
      </c>
      <c r="H77" s="22" t="n">
        <v>-10.6</v>
      </c>
      <c r="I77" s="22" t="n">
        <v>-11.3</v>
      </c>
      <c r="J77" s="22" t="n">
        <v>2.6</v>
      </c>
      <c r="K77" s="23" t="n">
        <v>48</v>
      </c>
      <c r="L77" s="23" t="n">
        <v>47.95</v>
      </c>
      <c r="M77" s="23" t="n">
        <v>95.55</v>
      </c>
      <c r="N77" s="23" t="n">
        <v>40</v>
      </c>
      <c r="O77" s="23" t="n">
        <v>41.95</v>
      </c>
      <c r="P77" s="23" t="n">
        <v>41.9</v>
      </c>
      <c r="Q77" s="8">
        <f>K77*G77</f>
        <v/>
      </c>
      <c r="R77" s="24">
        <f>(M77-K77)*G77</f>
        <v/>
      </c>
      <c r="S77" s="25">
        <f>(M77/K77-1)*100</f>
        <v/>
      </c>
      <c r="T77" s="26">
        <f>(N77-K77)*G77</f>
        <v/>
      </c>
      <c r="U77" s="27">
        <f>(N77/K77-1)*100</f>
        <v/>
      </c>
      <c r="V77" s="11">
        <f>(P77-K77)*G77</f>
        <v/>
      </c>
      <c r="W77" s="11" t="n">
        <v>-1047.22</v>
      </c>
      <c r="X77" s="10">
        <f>W77/Q77*100</f>
        <v/>
      </c>
      <c r="Y77" s="12" t="n">
        <v>0.789</v>
      </c>
      <c r="Z77" s="14" t="inlineStr">
        <is>
          <t>2025_H1</t>
        </is>
      </c>
    </row>
    <row r="78">
      <c r="A78" s="14" t="inlineStr">
        <is>
          <t>2025-05-21</t>
        </is>
      </c>
      <c r="B78" s="7" t="inlineStr">
        <is>
          <t>DIXON</t>
        </is>
      </c>
      <c r="C78" s="14" t="inlineStr">
        <is>
          <t>PE</t>
        </is>
      </c>
      <c r="D78" s="14" t="inlineStr">
        <is>
          <t>mid</t>
        </is>
      </c>
      <c r="E78" s="21" t="n">
        <v>15250</v>
      </c>
      <c r="F78" s="14" t="inlineStr">
        <is>
          <t>2025-05-29</t>
        </is>
      </c>
      <c r="G78" s="8" t="n">
        <v>50</v>
      </c>
      <c r="H78" s="22" t="n">
        <v>377.9</v>
      </c>
      <c r="I78" s="22" t="n">
        <v>115</v>
      </c>
      <c r="J78" s="22" t="n">
        <v>121</v>
      </c>
      <c r="K78" s="23" t="n">
        <v>115.9</v>
      </c>
      <c r="L78" s="23" t="n">
        <v>115.85</v>
      </c>
      <c r="M78" s="23" t="n">
        <v>527.8</v>
      </c>
      <c r="N78" s="23" t="n">
        <v>114.95</v>
      </c>
      <c r="O78" s="23" t="n">
        <v>274</v>
      </c>
      <c r="P78" s="23" t="n">
        <v>273.95</v>
      </c>
      <c r="Q78" s="8">
        <f>K78*G78</f>
        <v/>
      </c>
      <c r="R78" s="24">
        <f>(M78-K78)*G78</f>
        <v/>
      </c>
      <c r="S78" s="25">
        <f>(M78/K78-1)*100</f>
        <v/>
      </c>
      <c r="T78" s="26">
        <f>(N78-K78)*G78</f>
        <v/>
      </c>
      <c r="U78" s="27">
        <f>(N78/K78-1)*100</f>
        <v/>
      </c>
      <c r="V78" s="11">
        <f>(P78-K78)*G78</f>
        <v/>
      </c>
      <c r="W78" s="11" t="n">
        <v>7436.53</v>
      </c>
      <c r="X78" s="10">
        <f>W78/Q78*100</f>
        <v/>
      </c>
      <c r="Y78" s="12" t="n">
        <v>5.764</v>
      </c>
      <c r="Z78" s="14" t="inlineStr">
        <is>
          <t>2025_H1</t>
        </is>
      </c>
    </row>
    <row r="79">
      <c r="A79" s="14" t="inlineStr">
        <is>
          <t>2025-05-21</t>
        </is>
      </c>
      <c r="B79" s="7" t="inlineStr">
        <is>
          <t>HINDALCO</t>
        </is>
      </c>
      <c r="C79" s="14" t="inlineStr">
        <is>
          <t>PE</t>
        </is>
      </c>
      <c r="D79" s="14" t="inlineStr">
        <is>
          <t>large</t>
        </is>
      </c>
      <c r="E79" s="21" t="n">
        <v>640</v>
      </c>
      <c r="F79" s="14" t="inlineStr">
        <is>
          <t>2025-05-29</t>
        </is>
      </c>
      <c r="G79" s="8" t="n">
        <v>1400</v>
      </c>
      <c r="H79" s="22" t="n">
        <v>66.5</v>
      </c>
      <c r="I79" s="22" t="n">
        <v>41.5</v>
      </c>
      <c r="J79" s="22" t="n">
        <v>15.9</v>
      </c>
      <c r="K79" s="23" t="n">
        <v>5.15</v>
      </c>
      <c r="L79" s="23" t="n">
        <v>5.1</v>
      </c>
      <c r="M79" s="23" t="n">
        <v>6.45</v>
      </c>
      <c r="N79" s="23" t="n">
        <v>3.2</v>
      </c>
      <c r="O79" s="23" t="n">
        <v>3.8</v>
      </c>
      <c r="P79" s="23" t="n">
        <v>3.75</v>
      </c>
      <c r="Q79" s="8">
        <f>K79*G79</f>
        <v/>
      </c>
      <c r="R79" s="24">
        <f>(M79-K79)*G79</f>
        <v/>
      </c>
      <c r="S79" s="25">
        <f>(M79/K79-1)*100</f>
        <v/>
      </c>
      <c r="T79" s="26">
        <f>(N79-K79)*G79</f>
        <v/>
      </c>
      <c r="U79" s="27">
        <f>(N79/K79-1)*100</f>
        <v/>
      </c>
      <c r="V79" s="11">
        <f>(P79-K79)*G79</f>
        <v/>
      </c>
      <c r="W79" s="11" t="n">
        <v>-2145.15</v>
      </c>
      <c r="X79" s="10">
        <f>W79/Q79*100</f>
        <v/>
      </c>
      <c r="Y79" s="12" t="n">
        <v>0.615</v>
      </c>
      <c r="Z79" s="14" t="inlineStr">
        <is>
          <t>2025_H1</t>
        </is>
      </c>
    </row>
    <row r="80">
      <c r="A80" s="14" t="inlineStr">
        <is>
          <t>2025-05-21</t>
        </is>
      </c>
      <c r="B80" s="7" t="inlineStr">
        <is>
          <t>MAXHEALTH</t>
        </is>
      </c>
      <c r="C80" s="14" t="inlineStr">
        <is>
          <t>PE</t>
        </is>
      </c>
      <c r="D80" s="14" t="inlineStr">
        <is>
          <t>mid</t>
        </is>
      </c>
      <c r="E80" s="21" t="n">
        <v>1140</v>
      </c>
      <c r="F80" s="14" t="inlineStr">
        <is>
          <t>2025-05-29</t>
        </is>
      </c>
      <c r="G80" s="8" t="n">
        <v>525</v>
      </c>
      <c r="H80" s="22" t="n">
        <v>26.8</v>
      </c>
      <c r="I80" s="22" t="n">
        <v>33.6</v>
      </c>
      <c r="J80" s="22" t="n">
        <v>34.2</v>
      </c>
      <c r="K80" s="23" t="n">
        <v>14.05</v>
      </c>
      <c r="L80" s="23" t="n">
        <v>14</v>
      </c>
      <c r="M80" s="23" t="n">
        <v>29.35</v>
      </c>
      <c r="N80" s="23" t="n">
        <v>10.45</v>
      </c>
      <c r="O80" s="23" t="n">
        <v>22.6</v>
      </c>
      <c r="P80" s="23" t="n">
        <v>22.55</v>
      </c>
      <c r="Q80" s="8">
        <f>K80*G80</f>
        <v/>
      </c>
      <c r="R80" s="24">
        <f>(M80-K80)*G80</f>
        <v/>
      </c>
      <c r="S80" s="25">
        <f>(M80/K80-1)*100</f>
        <v/>
      </c>
      <c r="T80" s="26">
        <f>(N80-K80)*G80</f>
        <v/>
      </c>
      <c r="U80" s="27">
        <f>(N80/K80-1)*100</f>
        <v/>
      </c>
      <c r="V80" s="11">
        <f>(P80-K80)*G80</f>
        <v/>
      </c>
      <c r="W80" s="11" t="n">
        <v>4004.94</v>
      </c>
      <c r="X80" s="10">
        <f>W80/Q80*100</f>
        <v/>
      </c>
      <c r="Y80" s="12" t="n">
        <v>2.543</v>
      </c>
      <c r="Z80" s="14" t="inlineStr">
        <is>
          <t>2025_H1</t>
        </is>
      </c>
    </row>
    <row r="81">
      <c r="A81" s="14" t="inlineStr">
        <is>
          <t>2025-05-21</t>
        </is>
      </c>
      <c r="B81" s="7" t="inlineStr">
        <is>
          <t>UNITDSPR</t>
        </is>
      </c>
      <c r="C81" s="14" t="inlineStr">
        <is>
          <t>PE</t>
        </is>
      </c>
      <c r="D81" s="14" t="inlineStr">
        <is>
          <t>large</t>
        </is>
      </c>
      <c r="E81" s="21" t="n">
        <v>1540</v>
      </c>
      <c r="F81" s="14" t="inlineStr">
        <is>
          <t>2025-05-29</t>
        </is>
      </c>
      <c r="G81" s="8" t="n">
        <v>350</v>
      </c>
      <c r="H81" s="22" t="n">
        <v>74.7</v>
      </c>
      <c r="I81" s="22" t="n">
        <v>25.7</v>
      </c>
      <c r="J81" s="22" t="n">
        <v>1.9</v>
      </c>
      <c r="K81" s="23" t="n">
        <v>22.7</v>
      </c>
      <c r="L81" s="23" t="n">
        <v>22.65</v>
      </c>
      <c r="M81" s="23" t="n">
        <v>56.05</v>
      </c>
      <c r="N81" s="23" t="n">
        <v>16.95</v>
      </c>
      <c r="O81" s="23" t="n">
        <v>18.4</v>
      </c>
      <c r="P81" s="23" t="n">
        <v>18.35</v>
      </c>
      <c r="Q81" s="8">
        <f>K81*G81</f>
        <v/>
      </c>
      <c r="R81" s="24">
        <f>(M81-K81)*G81</f>
        <v/>
      </c>
      <c r="S81" s="25">
        <f>(M81/K81-1)*100</f>
        <v/>
      </c>
      <c r="T81" s="26">
        <f>(N81-K81)*G81</f>
        <v/>
      </c>
      <c r="U81" s="27">
        <f>(N81/K81-1)*100</f>
        <v/>
      </c>
      <c r="V81" s="11">
        <f>(P81-K81)*G81</f>
        <v/>
      </c>
      <c r="W81" s="11" t="n">
        <v>-1729.28</v>
      </c>
      <c r="X81" s="10">
        <f>W81/Q81*100</f>
        <v/>
      </c>
      <c r="Y81" s="12" t="n">
        <v>0.803</v>
      </c>
      <c r="Z81" s="14" t="inlineStr">
        <is>
          <t>2025_H1</t>
        </is>
      </c>
    </row>
    <row r="82">
      <c r="A82" s="14" t="inlineStr">
        <is>
          <t>2025-05-22</t>
        </is>
      </c>
      <c r="B82" s="7" t="inlineStr">
        <is>
          <t>INDIGO</t>
        </is>
      </c>
      <c r="C82" s="14" t="inlineStr">
        <is>
          <t>PE</t>
        </is>
      </c>
      <c r="D82" s="14" t="inlineStr">
        <is>
          <t>large</t>
        </is>
      </c>
      <c r="E82" s="21" t="n">
        <v>5150</v>
      </c>
      <c r="F82" s="14" t="inlineStr">
        <is>
          <t>2025-05-29</t>
        </is>
      </c>
      <c r="G82" s="8" t="n">
        <v>150</v>
      </c>
      <c r="H82" s="22" t="n">
        <v>61.9</v>
      </c>
      <c r="I82" s="22" t="n">
        <v>25.3</v>
      </c>
      <c r="J82" s="22" t="n">
        <v>24.3</v>
      </c>
      <c r="K82" s="23" t="n">
        <v>39.95</v>
      </c>
      <c r="L82" s="23" t="n">
        <v>39.9</v>
      </c>
      <c r="M82" s="23" t="n">
        <v>50.15</v>
      </c>
      <c r="N82" s="23" t="n">
        <v>10</v>
      </c>
      <c r="O82" s="23" t="n">
        <v>11.1</v>
      </c>
      <c r="P82" s="23" t="n">
        <v>11.05</v>
      </c>
      <c r="Q82" s="8">
        <f>K82*G82</f>
        <v/>
      </c>
      <c r="R82" s="24">
        <f>(M82-K82)*G82</f>
        <v/>
      </c>
      <c r="S82" s="25">
        <f>(M82/K82-1)*100</f>
        <v/>
      </c>
      <c r="T82" s="26">
        <f>(N82-K82)*G82</f>
        <v/>
      </c>
      <c r="U82" s="27">
        <f>(N82/K82-1)*100</f>
        <v/>
      </c>
      <c r="V82" s="11">
        <f>(P82-K82)*G82</f>
        <v/>
      </c>
      <c r="W82" s="11" t="n">
        <v>-4464.59</v>
      </c>
      <c r="X82" s="10">
        <f>W82/Q82*100</f>
        <v/>
      </c>
      <c r="Y82" s="12" t="n">
        <v>-0.695</v>
      </c>
      <c r="Z82" s="14" t="inlineStr">
        <is>
          <t>2025_H1</t>
        </is>
      </c>
    </row>
    <row r="83">
      <c r="A83" s="14" t="inlineStr">
        <is>
          <t>2025-05-22</t>
        </is>
      </c>
      <c r="B83" s="7" t="inlineStr">
        <is>
          <t>INDUSINDBK</t>
        </is>
      </c>
      <c r="C83" s="14" t="inlineStr">
        <is>
          <t>CE</t>
        </is>
      </c>
      <c r="D83" s="14" t="inlineStr">
        <is>
          <t>mid</t>
        </is>
      </c>
      <c r="E83" s="21" t="n">
        <v>780</v>
      </c>
      <c r="F83" s="14" t="inlineStr">
        <is>
          <t>2025-05-29</t>
        </is>
      </c>
      <c r="G83" s="8" t="n">
        <v>500</v>
      </c>
      <c r="H83" s="22" t="n">
        <v>-199.1</v>
      </c>
      <c r="I83" s="22" t="n">
        <v>-266.1</v>
      </c>
      <c r="J83" s="22" t="n">
        <v>-12.8</v>
      </c>
      <c r="K83" s="23" t="n">
        <v>15</v>
      </c>
      <c r="L83" s="23" t="n">
        <v>14.95</v>
      </c>
      <c r="M83" s="23" t="n">
        <v>37.4</v>
      </c>
      <c r="N83" s="23" t="n">
        <v>6.85</v>
      </c>
      <c r="O83" s="23" t="n">
        <v>24.6</v>
      </c>
      <c r="P83" s="23" t="n">
        <v>24.55</v>
      </c>
      <c r="Q83" s="8">
        <f>K83*G83</f>
        <v/>
      </c>
      <c r="R83" s="24">
        <f>(M83-K83)*G83</f>
        <v/>
      </c>
      <c r="S83" s="25">
        <f>(M83/K83-1)*100</f>
        <v/>
      </c>
      <c r="T83" s="26">
        <f>(N83-K83)*G83</f>
        <v/>
      </c>
      <c r="U83" s="27">
        <f>(N83/K83-1)*100</f>
        <v/>
      </c>
      <c r="V83" s="11">
        <f>(P83-K83)*G83</f>
        <v/>
      </c>
      <c r="W83" s="11" t="n">
        <v>4305.35</v>
      </c>
      <c r="X83" s="10">
        <f>W83/Q83*100</f>
        <v/>
      </c>
      <c r="Y83" s="12" t="n">
        <v>4.667</v>
      </c>
      <c r="Z83" s="14" t="inlineStr">
        <is>
          <t>2025_H1</t>
        </is>
      </c>
    </row>
    <row r="84">
      <c r="A84" s="14" t="inlineStr">
        <is>
          <t>2025-05-22</t>
        </is>
      </c>
      <c r="B84" s="7" t="inlineStr">
        <is>
          <t>NATIONALUM</t>
        </is>
      </c>
      <c r="C84" s="14" t="inlineStr">
        <is>
          <t>PE</t>
        </is>
      </c>
      <c r="D84" s="14" t="inlineStr">
        <is>
          <t>mid</t>
        </is>
      </c>
      <c r="E84" s="21" t="n">
        <v>180</v>
      </c>
      <c r="F84" s="14" t="inlineStr">
        <is>
          <t>2025-05-29</t>
        </is>
      </c>
      <c r="G84" s="8" t="n">
        <v>3750</v>
      </c>
      <c r="H84" s="22" t="n">
        <v>107.4</v>
      </c>
      <c r="I84" s="22" t="n">
        <v>32</v>
      </c>
      <c r="J84" s="22" t="n">
        <v>47.2</v>
      </c>
      <c r="K84" s="23" t="n">
        <v>2.05</v>
      </c>
      <c r="L84" s="23" t="n">
        <v>2</v>
      </c>
      <c r="M84" s="23" t="n">
        <v>2.95</v>
      </c>
      <c r="N84" s="23" t="n">
        <v>0.9</v>
      </c>
      <c r="O84" s="23" t="n">
        <v>1.85</v>
      </c>
      <c r="P84" s="23" t="n">
        <v>1.8</v>
      </c>
      <c r="Q84" s="8">
        <f>K84*G84</f>
        <v/>
      </c>
      <c r="R84" s="24">
        <f>(M84-K84)*G84</f>
        <v/>
      </c>
      <c r="S84" s="25">
        <f>(M84/K84-1)*100</f>
        <v/>
      </c>
      <c r="T84" s="26">
        <f>(N84-K84)*G84</f>
        <v/>
      </c>
      <c r="U84" s="27">
        <f>(N84/K84-1)*100</f>
        <v/>
      </c>
      <c r="V84" s="11">
        <f>(P84-K84)*G84</f>
        <v/>
      </c>
      <c r="W84" s="11" t="n">
        <v>-1289.87</v>
      </c>
      <c r="X84" s="10">
        <f>W84/Q84*100</f>
        <v/>
      </c>
      <c r="Y84" s="12" t="n">
        <v>2.658</v>
      </c>
      <c r="Z84" s="14" t="inlineStr">
        <is>
          <t>2025_H1</t>
        </is>
      </c>
    </row>
    <row r="85">
      <c r="A85" s="14" t="inlineStr">
        <is>
          <t>2025-05-22</t>
        </is>
      </c>
      <c r="B85" s="7" t="inlineStr">
        <is>
          <t>ONGC</t>
        </is>
      </c>
      <c r="C85" s="14" t="inlineStr">
        <is>
          <t>CE</t>
        </is>
      </c>
      <c r="D85" s="14" t="inlineStr">
        <is>
          <t>large</t>
        </is>
      </c>
      <c r="E85" s="21" t="n">
        <v>250</v>
      </c>
      <c r="F85" s="14" t="inlineStr">
        <is>
          <t>2025-05-29</t>
        </is>
      </c>
      <c r="G85" s="8" t="n">
        <v>1925</v>
      </c>
      <c r="H85" s="22" t="n">
        <v>-23.2</v>
      </c>
      <c r="I85" s="22" t="n">
        <v>-9.5</v>
      </c>
      <c r="J85" s="22" t="n">
        <v>2.4</v>
      </c>
      <c r="K85" s="23" t="n">
        <v>3.6</v>
      </c>
      <c r="L85" s="23" t="n">
        <v>3.55</v>
      </c>
      <c r="M85" s="23" t="n">
        <v>4.1</v>
      </c>
      <c r="N85" s="23" t="n">
        <v>0.95</v>
      </c>
      <c r="O85" s="23" t="n">
        <v>1.15</v>
      </c>
      <c r="P85" s="23" t="n">
        <v>1.1</v>
      </c>
      <c r="Q85" s="8">
        <f>K85*G85</f>
        <v/>
      </c>
      <c r="R85" s="24">
        <f>(M85-K85)*G85</f>
        <v/>
      </c>
      <c r="S85" s="25">
        <f>(M85/K85-1)*100</f>
        <v/>
      </c>
      <c r="T85" s="26">
        <f>(N85-K85)*G85</f>
        <v/>
      </c>
      <c r="U85" s="27">
        <f>(N85/K85-1)*100</f>
        <v/>
      </c>
      <c r="V85" s="11">
        <f>(P85-K85)*G85</f>
        <v/>
      </c>
      <c r="W85" s="11" t="n">
        <v>-4957.37</v>
      </c>
      <c r="X85" s="10">
        <f>W85/Q85*100</f>
        <v/>
      </c>
      <c r="Y85" s="12" t="n">
        <v>-2.819</v>
      </c>
      <c r="Z85" s="14" t="inlineStr">
        <is>
          <t>2025_H1</t>
        </is>
      </c>
    </row>
    <row r="86">
      <c r="A86" s="14" t="inlineStr">
        <is>
          <t>2025-05-23</t>
        </is>
      </c>
      <c r="B86" s="7" t="inlineStr">
        <is>
          <t>ITC</t>
        </is>
      </c>
      <c r="C86" s="14" t="inlineStr">
        <is>
          <t>PE</t>
        </is>
      </c>
      <c r="D86" s="14" t="inlineStr">
        <is>
          <t>large</t>
        </is>
      </c>
      <c r="E86" s="21" t="n">
        <v>420</v>
      </c>
      <c r="F86" s="14" t="inlineStr">
        <is>
          <t>2025-05-29</t>
        </is>
      </c>
      <c r="G86" s="8" t="n">
        <v>1600</v>
      </c>
      <c r="H86" s="22" t="n">
        <v>281.6</v>
      </c>
      <c r="I86" s="22" t="n">
        <v>295.1</v>
      </c>
      <c r="J86" s="22" t="n">
        <v>4.8</v>
      </c>
      <c r="K86" s="23" t="n">
        <v>3.5</v>
      </c>
      <c r="L86" s="23" t="n">
        <v>3.45</v>
      </c>
      <c r="M86" s="23" t="n">
        <v>3.8</v>
      </c>
      <c r="N86" s="23" t="n">
        <v>0.65</v>
      </c>
      <c r="O86" s="23" t="n">
        <v>1.05</v>
      </c>
      <c r="P86" s="23" t="n">
        <v>1</v>
      </c>
      <c r="Q86" s="8">
        <f>K86*G86</f>
        <v/>
      </c>
      <c r="R86" s="24">
        <f>(M86-K86)*G86</f>
        <v/>
      </c>
      <c r="S86" s="25">
        <f>(M86/K86-1)*100</f>
        <v/>
      </c>
      <c r="T86" s="26">
        <f>(N86-K86)*G86</f>
        <v/>
      </c>
      <c r="U86" s="27">
        <f>(N86/K86-1)*100</f>
        <v/>
      </c>
      <c r="V86" s="11">
        <f>(P86-K86)*G86</f>
        <v/>
      </c>
      <c r="W86" s="11" t="n">
        <v>-4124.8</v>
      </c>
      <c r="X86" s="10">
        <f>W86/Q86*100</f>
        <v/>
      </c>
      <c r="Y86" s="12" t="n">
        <v>-0.53</v>
      </c>
      <c r="Z86" s="14" t="inlineStr">
        <is>
          <t>2025_H1</t>
        </is>
      </c>
    </row>
    <row r="87">
      <c r="A87" s="14" t="inlineStr">
        <is>
          <t>2025-05-23</t>
        </is>
      </c>
      <c r="B87" s="7" t="inlineStr">
        <is>
          <t>SUNPHARMA</t>
        </is>
      </c>
      <c r="C87" s="14" t="inlineStr">
        <is>
          <t>CE</t>
        </is>
      </c>
      <c r="D87" s="14" t="inlineStr">
        <is>
          <t>large</t>
        </is>
      </c>
      <c r="E87" s="21" t="n">
        <v>1720</v>
      </c>
      <c r="F87" s="14" t="inlineStr">
        <is>
          <t>2025-05-29</t>
        </is>
      </c>
      <c r="G87" s="8" t="n">
        <v>350</v>
      </c>
      <c r="H87" s="22" t="n">
        <v>-19</v>
      </c>
      <c r="I87" s="22" t="n">
        <v>-26.1</v>
      </c>
      <c r="J87" s="22" t="n">
        <v>8.1</v>
      </c>
      <c r="K87" s="23" t="n">
        <v>4.25</v>
      </c>
      <c r="L87" s="23" t="n">
        <v>4.2</v>
      </c>
      <c r="M87" s="23" t="n">
        <v>12.35</v>
      </c>
      <c r="N87" s="23" t="n">
        <v>2.05</v>
      </c>
      <c r="O87" s="23" t="n">
        <v>5.75</v>
      </c>
      <c r="P87" s="23" t="n">
        <v>5.7</v>
      </c>
      <c r="Q87" s="8">
        <f>K87*G87</f>
        <v/>
      </c>
      <c r="R87" s="24">
        <f>(M87-K87)*G87</f>
        <v/>
      </c>
      <c r="S87" s="25">
        <f>(M87/K87-1)*100</f>
        <v/>
      </c>
      <c r="T87" s="26">
        <f>(N87-K87)*G87</f>
        <v/>
      </c>
      <c r="U87" s="27">
        <f>(N87/K87-1)*100</f>
        <v/>
      </c>
      <c r="V87" s="11">
        <f>(P87-K87)*G87</f>
        <v/>
      </c>
      <c r="W87" s="11" t="n">
        <v>420.98</v>
      </c>
      <c r="X87" s="10">
        <f>W87/Q87*100</f>
        <v/>
      </c>
      <c r="Y87" s="12" t="n">
        <v>1.544</v>
      </c>
      <c r="Z87" s="14" t="inlineStr">
        <is>
          <t>2025_H1</t>
        </is>
      </c>
    </row>
    <row r="88">
      <c r="A88" s="14" t="inlineStr">
        <is>
          <t>2025-05-26</t>
        </is>
      </c>
      <c r="B88" s="7" t="inlineStr">
        <is>
          <t>NTPC</t>
        </is>
      </c>
      <c r="C88" s="14" t="inlineStr">
        <is>
          <t>PE</t>
        </is>
      </c>
      <c r="D88" s="14" t="inlineStr">
        <is>
          <t>large</t>
        </is>
      </c>
      <c r="E88" s="21" t="n">
        <v>345</v>
      </c>
      <c r="F88" s="14" t="inlineStr">
        <is>
          <t>2025-05-29</t>
        </is>
      </c>
      <c r="G88" s="8" t="n">
        <v>1500</v>
      </c>
      <c r="H88" s="22" t="n">
        <v>21.7</v>
      </c>
      <c r="I88" s="22" t="n">
        <v>52.8</v>
      </c>
      <c r="J88" s="22" t="n">
        <v>4.6</v>
      </c>
      <c r="K88" s="23" t="n">
        <v>3.55</v>
      </c>
      <c r="L88" s="23" t="n">
        <v>3.5</v>
      </c>
      <c r="M88" s="23" t="n">
        <v>4.2</v>
      </c>
      <c r="N88" s="23" t="n">
        <v>1.35</v>
      </c>
      <c r="O88" s="23" t="n">
        <v>3.95</v>
      </c>
      <c r="P88" s="23" t="n">
        <v>3.9</v>
      </c>
      <c r="Q88" s="8">
        <f>K88*G88</f>
        <v/>
      </c>
      <c r="R88" s="24">
        <f>(M88-K88)*G88</f>
        <v/>
      </c>
      <c r="S88" s="25">
        <f>(M88/K88-1)*100</f>
        <v/>
      </c>
      <c r="T88" s="26">
        <f>(N88-K88)*G88</f>
        <v/>
      </c>
      <c r="U88" s="27">
        <f>(N88/K88-1)*100</f>
        <v/>
      </c>
      <c r="V88" s="11">
        <f>(P88-K88)*G88</f>
        <v/>
      </c>
      <c r="W88" s="11" t="n">
        <v>352.4</v>
      </c>
      <c r="X88" s="10">
        <f>W88/Q88*100</f>
        <v/>
      </c>
      <c r="Y88" s="12" t="n">
        <v>2.137</v>
      </c>
      <c r="Z88" s="14" t="inlineStr">
        <is>
          <t>2025_H1</t>
        </is>
      </c>
    </row>
    <row r="89">
      <c r="A89" s="14" t="inlineStr">
        <is>
          <t>2025-05-28</t>
        </is>
      </c>
      <c r="B89" s="7" t="inlineStr">
        <is>
          <t>NAUKRI</t>
        </is>
      </c>
      <c r="C89" s="14" t="inlineStr">
        <is>
          <t>PE</t>
        </is>
      </c>
      <c r="D89" s="14" t="inlineStr">
        <is>
          <t>large</t>
        </is>
      </c>
      <c r="E89" s="21" t="n">
        <v>1300</v>
      </c>
      <c r="F89" s="14" t="inlineStr">
        <is>
          <t>2025-06-26</t>
        </is>
      </c>
      <c r="G89" s="8" t="n">
        <v>375</v>
      </c>
      <c r="H89" s="22" t="n">
        <v>670.7</v>
      </c>
      <c r="I89" s="22" t="n">
        <v>135</v>
      </c>
      <c r="J89" s="22" t="n">
        <v>14</v>
      </c>
      <c r="K89" s="23" t="n">
        <v>14.35</v>
      </c>
      <c r="L89" s="23" t="n">
        <v>14.3</v>
      </c>
      <c r="M89" s="23" t="n">
        <v>19.5</v>
      </c>
      <c r="N89" s="23" t="n">
        <v>10.65</v>
      </c>
      <c r="O89" s="23" t="n">
        <v>12</v>
      </c>
      <c r="P89" s="23" t="n">
        <v>11.95</v>
      </c>
      <c r="Q89" s="8">
        <f>K89*G89</f>
        <v/>
      </c>
      <c r="R89" s="24">
        <f>(M89-K89)*G89</f>
        <v/>
      </c>
      <c r="S89" s="25">
        <f>(M89/K89-1)*100</f>
        <v/>
      </c>
      <c r="T89" s="26">
        <f>(N89-K89)*G89</f>
        <v/>
      </c>
      <c r="U89" s="27">
        <f>(N89/K89-1)*100</f>
        <v/>
      </c>
      <c r="V89" s="11">
        <f>(P89-K89)*G89</f>
        <v/>
      </c>
      <c r="W89" s="11" t="n">
        <v>-1056.86</v>
      </c>
      <c r="X89" s="10">
        <f>W89/Q89*100</f>
        <v/>
      </c>
      <c r="Y89" s="12" t="n">
        <v>1.512</v>
      </c>
      <c r="Z89" s="14" t="inlineStr">
        <is>
          <t>2025_H1</t>
        </is>
      </c>
    </row>
    <row r="90">
      <c r="A90" s="14" t="inlineStr">
        <is>
          <t>2025-05-30</t>
        </is>
      </c>
      <c r="B90" s="7" t="inlineStr">
        <is>
          <t>BAJAJ-AUTO</t>
        </is>
      </c>
      <c r="C90" s="14" t="inlineStr">
        <is>
          <t>CE</t>
        </is>
      </c>
      <c r="D90" s="14" t="inlineStr">
        <is>
          <t>large</t>
        </is>
      </c>
      <c r="E90" s="21" t="n">
        <v>9500</v>
      </c>
      <c r="F90" s="14" t="inlineStr">
        <is>
          <t>2025-06-26</t>
        </is>
      </c>
      <c r="G90" s="8" t="n">
        <v>75</v>
      </c>
      <c r="H90" s="22" t="n">
        <v>-10.4</v>
      </c>
      <c r="I90" s="22" t="n">
        <v>-17.9</v>
      </c>
      <c r="J90" s="22" t="n">
        <v>9.4</v>
      </c>
      <c r="K90" s="23" t="n">
        <v>84.05</v>
      </c>
      <c r="L90" s="23" t="n">
        <v>84</v>
      </c>
      <c r="M90" s="23" t="n">
        <v>89.95</v>
      </c>
      <c r="N90" s="23" t="n">
        <v>37.2</v>
      </c>
      <c r="O90" s="23" t="n">
        <v>38.5</v>
      </c>
      <c r="P90" s="23" t="n">
        <v>38.45</v>
      </c>
      <c r="Q90" s="8">
        <f>K90*G90</f>
        <v/>
      </c>
      <c r="R90" s="24">
        <f>(M90-K90)*G90</f>
        <v/>
      </c>
      <c r="S90" s="25">
        <f>(M90/K90-1)*100</f>
        <v/>
      </c>
      <c r="T90" s="26">
        <f>(N90-K90)*G90</f>
        <v/>
      </c>
      <c r="U90" s="27">
        <f>(N90/K90-1)*100</f>
        <v/>
      </c>
      <c r="V90" s="11">
        <f>(P90-K90)*G90</f>
        <v/>
      </c>
      <c r="W90" s="11" t="n">
        <v>-3567.44</v>
      </c>
      <c r="X90" s="10">
        <f>W90/Q90*100</f>
        <v/>
      </c>
      <c r="Y90" s="12" t="n">
        <v>-2.048</v>
      </c>
      <c r="Z90" s="14" t="inlineStr">
        <is>
          <t>2025_H1</t>
        </is>
      </c>
    </row>
    <row r="91">
      <c r="A91" s="14" t="inlineStr">
        <is>
          <t>2025-06-02</t>
        </is>
      </c>
      <c r="B91" s="7" t="inlineStr">
        <is>
          <t>APOLLOHOSP</t>
        </is>
      </c>
      <c r="C91" s="14" t="inlineStr">
        <is>
          <t>PE</t>
        </is>
      </c>
      <c r="D91" s="14" t="inlineStr">
        <is>
          <t>mid</t>
        </is>
      </c>
      <c r="E91" s="21" t="n">
        <v>6650</v>
      </c>
      <c r="F91" s="14" t="inlineStr">
        <is>
          <t>2025-06-26</t>
        </is>
      </c>
      <c r="G91" s="8" t="n">
        <v>125</v>
      </c>
      <c r="H91" s="22" t="n">
        <v>60.4</v>
      </c>
      <c r="I91" s="22" t="n">
        <v>9.300000000000001</v>
      </c>
      <c r="J91" s="22" t="n">
        <v>13.1</v>
      </c>
      <c r="K91" s="23" t="n">
        <v>38.7</v>
      </c>
      <c r="L91" s="23" t="n">
        <v>38.65</v>
      </c>
      <c r="M91" s="23" t="n">
        <v>69.40000000000001</v>
      </c>
      <c r="N91" s="23" t="n">
        <v>30.55</v>
      </c>
      <c r="O91" s="23" t="n">
        <v>65.34999999999999</v>
      </c>
      <c r="P91" s="23" t="n">
        <v>65.3</v>
      </c>
      <c r="Q91" s="8">
        <f>K91*G91</f>
        <v/>
      </c>
      <c r="R91" s="24">
        <f>(M91-K91)*G91</f>
        <v/>
      </c>
      <c r="S91" s="25">
        <f>(M91/K91-1)*100</f>
        <v/>
      </c>
      <c r="T91" s="26">
        <f>(N91-K91)*G91</f>
        <v/>
      </c>
      <c r="U91" s="27">
        <f>(N91/K91-1)*100</f>
        <v/>
      </c>
      <c r="V91" s="11">
        <f>(P91-K91)*G91</f>
        <v/>
      </c>
      <c r="W91" s="11" t="n">
        <v>2999.95</v>
      </c>
      <c r="X91" s="10">
        <f>W91/Q91*100</f>
        <v/>
      </c>
      <c r="Y91" s="12" t="n">
        <v>0.41</v>
      </c>
      <c r="Z91" s="14" t="inlineStr">
        <is>
          <t>2025_H1</t>
        </is>
      </c>
    </row>
    <row r="92">
      <c r="A92" s="14" t="inlineStr">
        <is>
          <t>2025-07-11</t>
        </is>
      </c>
      <c r="B92" s="7" t="inlineStr">
        <is>
          <t>TATAELXSI</t>
        </is>
      </c>
      <c r="C92" s="14" t="inlineStr">
        <is>
          <t>CE</t>
        </is>
      </c>
      <c r="D92" s="14" t="inlineStr">
        <is>
          <t>mid</t>
        </is>
      </c>
      <c r="E92" s="21" t="n">
        <v>6200</v>
      </c>
      <c r="F92" s="14" t="inlineStr">
        <is>
          <t>2025-07-31</t>
        </is>
      </c>
      <c r="G92" s="8" t="n">
        <v>100</v>
      </c>
      <c r="H92" s="22" t="n">
        <v>-21.6</v>
      </c>
      <c r="I92" s="22" t="n">
        <v>-16.3</v>
      </c>
      <c r="J92" s="22" t="n">
        <v>-3.7</v>
      </c>
      <c r="K92" s="23" t="n">
        <v>57.2</v>
      </c>
      <c r="L92" s="23" t="n">
        <v>57.15</v>
      </c>
      <c r="M92" s="23" t="n">
        <v>127.65</v>
      </c>
      <c r="N92" s="23" t="n">
        <v>57.15</v>
      </c>
      <c r="O92" s="23" t="n">
        <v>119.25</v>
      </c>
      <c r="P92" s="23" t="n">
        <v>119.2</v>
      </c>
      <c r="Q92" s="8">
        <f>K92*G92</f>
        <v/>
      </c>
      <c r="R92" s="24">
        <f>(M92-K92)*G92</f>
        <v/>
      </c>
      <c r="S92" s="25">
        <f>(M92/K92-1)*100</f>
        <v/>
      </c>
      <c r="T92" s="26">
        <f>(N92-K92)*G92</f>
        <v/>
      </c>
      <c r="U92" s="27">
        <f>(N92/K92-1)*100</f>
        <v/>
      </c>
      <c r="V92" s="11">
        <f>(P92-K92)*G92</f>
        <v/>
      </c>
      <c r="W92" s="11" t="n">
        <v>5774.53</v>
      </c>
      <c r="X92" s="10">
        <f>W92/Q92*100</f>
        <v/>
      </c>
      <c r="Y92" s="12" t="n">
        <v>7.06</v>
      </c>
      <c r="Z92" s="14" t="inlineStr">
        <is>
          <t>2025_H2</t>
        </is>
      </c>
    </row>
    <row r="93">
      <c r="A93" s="14" t="inlineStr">
        <is>
          <t>2025-07-18</t>
        </is>
      </c>
      <c r="B93" s="7" t="inlineStr">
        <is>
          <t>HDFCAMC</t>
        </is>
      </c>
      <c r="C93" s="14" t="inlineStr">
        <is>
          <t>PE</t>
        </is>
      </c>
      <c r="D93" s="14" t="inlineStr">
        <is>
          <t>mid</t>
        </is>
      </c>
      <c r="E93" s="21" t="n">
        <v>5360</v>
      </c>
      <c r="F93" s="14" t="inlineStr">
        <is>
          <t>2025-07-31</t>
        </is>
      </c>
      <c r="G93" s="8" t="n">
        <v>150</v>
      </c>
      <c r="H93" s="22" t="n">
        <v>23.8</v>
      </c>
      <c r="I93" s="22" t="n">
        <v>17.1</v>
      </c>
      <c r="J93" s="22" t="n">
        <v>24.9</v>
      </c>
      <c r="K93" s="23" t="n">
        <v>37.55</v>
      </c>
      <c r="L93" s="23" t="n">
        <v>37.5</v>
      </c>
      <c r="M93" s="23" t="n">
        <v>40</v>
      </c>
      <c r="N93" s="23" t="n">
        <v>26.65</v>
      </c>
      <c r="O93" s="23" t="n">
        <v>27.05</v>
      </c>
      <c r="P93" s="23" t="n">
        <v>27</v>
      </c>
      <c r="Q93" s="8">
        <f>K93*G93</f>
        <v/>
      </c>
      <c r="R93" s="24">
        <f>(M93-K93)*G93</f>
        <v/>
      </c>
      <c r="S93" s="25">
        <f>(M93/K93-1)*100</f>
        <v/>
      </c>
      <c r="T93" s="26">
        <f>(N93-K93)*G93</f>
        <v/>
      </c>
      <c r="U93" s="27">
        <f>(N93/K93-1)*100</f>
        <v/>
      </c>
      <c r="V93" s="11">
        <f>(P93-K93)*G93</f>
        <v/>
      </c>
      <c r="W93" s="11" t="n">
        <v>-1833.67</v>
      </c>
      <c r="X93" s="10">
        <f>W93/Q93*100</f>
        <v/>
      </c>
      <c r="Y93" s="12" t="n">
        <v>-1.112</v>
      </c>
      <c r="Z93" s="14" t="inlineStr">
        <is>
          <t>2025_H2</t>
        </is>
      </c>
    </row>
    <row r="94">
      <c r="A94" s="14" t="inlineStr">
        <is>
          <t>2025-07-21</t>
        </is>
      </c>
      <c r="B94" s="7" t="inlineStr">
        <is>
          <t>AUBANK</t>
        </is>
      </c>
      <c r="C94" s="14" t="inlineStr">
        <is>
          <t>PE</t>
        </is>
      </c>
      <c r="D94" s="14" t="inlineStr">
        <is>
          <t>mid</t>
        </is>
      </c>
      <c r="E94" s="21" t="n">
        <v>730</v>
      </c>
      <c r="F94" s="14" t="inlineStr">
        <is>
          <t>2025-07-31</t>
        </is>
      </c>
      <c r="G94" s="8" t="n">
        <v>1000</v>
      </c>
      <c r="H94" s="22" t="n">
        <v>15.6</v>
      </c>
      <c r="I94" s="22" t="n">
        <v>15.3</v>
      </c>
      <c r="J94" s="22" t="n">
        <v>16.2</v>
      </c>
      <c r="K94" s="23" t="n">
        <v>5.05</v>
      </c>
      <c r="L94" s="23" t="n">
        <v>5</v>
      </c>
      <c r="M94" s="23" t="n">
        <v>12.65</v>
      </c>
      <c r="N94" s="23" t="n">
        <v>4.45</v>
      </c>
      <c r="O94" s="23" t="n">
        <v>4.65</v>
      </c>
      <c r="P94" s="23" t="n">
        <v>4.6</v>
      </c>
      <c r="Q94" s="8">
        <f>K94*G94</f>
        <v/>
      </c>
      <c r="R94" s="24">
        <f>(M94-K94)*G94</f>
        <v/>
      </c>
      <c r="S94" s="25">
        <f>(M94/K94-1)*100</f>
        <v/>
      </c>
      <c r="T94" s="26">
        <f>(N94-K94)*G94</f>
        <v/>
      </c>
      <c r="U94" s="27">
        <f>(N94/K94-1)*100</f>
        <v/>
      </c>
      <c r="V94" s="11">
        <f>(P94-K94)*G94</f>
        <v/>
      </c>
      <c r="W94" s="11" t="n">
        <v>-701.3</v>
      </c>
      <c r="X94" s="10">
        <f>W94/Q94*100</f>
        <v/>
      </c>
      <c r="Y94" s="12" t="n">
        <v>2.221</v>
      </c>
      <c r="Z94" s="14" t="inlineStr">
        <is>
          <t>2025_H2</t>
        </is>
      </c>
    </row>
    <row r="95">
      <c r="A95" s="14" t="inlineStr">
        <is>
          <t>2025-07-21</t>
        </is>
      </c>
      <c r="B95" s="7" t="inlineStr">
        <is>
          <t>ICICIBANK</t>
        </is>
      </c>
      <c r="C95" s="14" t="inlineStr">
        <is>
          <t>PE</t>
        </is>
      </c>
      <c r="D95" s="14" t="inlineStr">
        <is>
          <t>large</t>
        </is>
      </c>
      <c r="E95" s="21" t="n">
        <v>1410</v>
      </c>
      <c r="F95" s="14" t="inlineStr">
        <is>
          <t>2025-07-31</t>
        </is>
      </c>
      <c r="G95" s="8" t="n">
        <v>700</v>
      </c>
      <c r="H95" s="22" t="n">
        <v>15.9</v>
      </c>
      <c r="I95" s="22" t="n">
        <v>0.4</v>
      </c>
      <c r="J95" s="22" t="n">
        <v>10.1</v>
      </c>
      <c r="K95" s="23" t="n">
        <v>10</v>
      </c>
      <c r="L95" s="23" t="n">
        <v>9.949999999999999</v>
      </c>
      <c r="M95" s="23" t="n">
        <v>9.949999999999999</v>
      </c>
      <c r="N95" s="23" t="n">
        <v>2.35</v>
      </c>
      <c r="O95" s="23" t="n">
        <v>2.5</v>
      </c>
      <c r="P95" s="23" t="n">
        <v>2.45</v>
      </c>
      <c r="Q95" s="8">
        <f>K95*G95</f>
        <v/>
      </c>
      <c r="R95" s="24">
        <f>(M95-K95)*G95</f>
        <v/>
      </c>
      <c r="S95" s="25">
        <f>(M95/K95-1)*100</f>
        <v/>
      </c>
      <c r="T95" s="26">
        <f>(N95-K95)*G95</f>
        <v/>
      </c>
      <c r="U95" s="27">
        <f>(N95/K95-1)*100</f>
        <v/>
      </c>
      <c r="V95" s="11">
        <f>(P95-K95)*G95</f>
        <v/>
      </c>
      <c r="W95" s="11" t="n">
        <v>-5425.8</v>
      </c>
      <c r="X95" s="10">
        <f>W95/Q95*100</f>
        <v/>
      </c>
      <c r="Y95" s="12" t="n">
        <v>-1.229</v>
      </c>
      <c r="Z95" s="14" t="inlineStr">
        <is>
          <t>2025_H2</t>
        </is>
      </c>
    </row>
    <row r="96">
      <c r="A96" s="14" t="inlineStr">
        <is>
          <t>2025-07-21</t>
        </is>
      </c>
      <c r="B96" s="7" t="inlineStr">
        <is>
          <t>RELIANCE</t>
        </is>
      </c>
      <c r="C96" s="14" t="inlineStr">
        <is>
          <t>PE</t>
        </is>
      </c>
      <c r="D96" s="14" t="inlineStr">
        <is>
          <t>large</t>
        </is>
      </c>
      <c r="E96" s="21" t="n">
        <v>1460</v>
      </c>
      <c r="F96" s="14" t="inlineStr">
        <is>
          <t>2025-07-31</t>
        </is>
      </c>
      <c r="G96" s="8" t="n">
        <v>500</v>
      </c>
      <c r="H96" s="22" t="n">
        <v>76.5</v>
      </c>
      <c r="I96" s="22" t="n">
        <v>36.1</v>
      </c>
      <c r="J96" s="22" t="n">
        <v>5.3</v>
      </c>
      <c r="K96" s="23" t="n">
        <v>14.45</v>
      </c>
      <c r="L96" s="23" t="n">
        <v>14.4</v>
      </c>
      <c r="M96" s="23" t="n">
        <v>38.95</v>
      </c>
      <c r="N96" s="23" t="n">
        <v>14.35</v>
      </c>
      <c r="O96" s="23" t="n">
        <v>34.55</v>
      </c>
      <c r="P96" s="23" t="n">
        <v>34.5</v>
      </c>
      <c r="Q96" s="8">
        <f>K96*G96</f>
        <v/>
      </c>
      <c r="R96" s="24">
        <f>(M96-K96)*G96</f>
        <v/>
      </c>
      <c r="S96" s="25">
        <f>(M96/K96-1)*100</f>
        <v/>
      </c>
      <c r="T96" s="26">
        <f>(N96-K96)*G96</f>
        <v/>
      </c>
      <c r="U96" s="27">
        <f>(N96/K96-1)*100</f>
        <v/>
      </c>
      <c r="V96" s="11">
        <f>(P96-K96)*G96</f>
        <v/>
      </c>
      <c r="W96" s="11" t="n">
        <v>9696.65</v>
      </c>
      <c r="X96" s="10">
        <f>W96/Q96*100</f>
        <v/>
      </c>
      <c r="Y96" s="12" t="n">
        <v>2.485</v>
      </c>
      <c r="Z96" s="14" t="inlineStr">
        <is>
          <t>2025_H2</t>
        </is>
      </c>
    </row>
    <row r="97">
      <c r="A97" s="14" t="inlineStr">
        <is>
          <t>2025-07-22</t>
        </is>
      </c>
      <c r="B97" s="7" t="inlineStr">
        <is>
          <t>HAVELLS</t>
        </is>
      </c>
      <c r="C97" s="14" t="inlineStr">
        <is>
          <t>CE</t>
        </is>
      </c>
      <c r="D97" s="14" t="inlineStr">
        <is>
          <t>large</t>
        </is>
      </c>
      <c r="E97" s="21" t="n">
        <v>1580</v>
      </c>
      <c r="F97" s="14" t="inlineStr">
        <is>
          <t>2025-07-31</t>
        </is>
      </c>
      <c r="G97" s="8" t="n">
        <v>500</v>
      </c>
      <c r="H97" s="22" t="n">
        <v>-14.7</v>
      </c>
      <c r="I97" s="22" t="n">
        <v>-32.8</v>
      </c>
      <c r="J97" s="22" t="n">
        <v>-6</v>
      </c>
      <c r="K97" s="23" t="n">
        <v>15.05</v>
      </c>
      <c r="L97" s="23" t="n">
        <v>15</v>
      </c>
      <c r="M97" s="23" t="n">
        <v>26.8</v>
      </c>
      <c r="N97" s="23" t="n">
        <v>6.7</v>
      </c>
      <c r="O97" s="23" t="n">
        <v>23.9</v>
      </c>
      <c r="P97" s="23" t="n">
        <v>23.85</v>
      </c>
      <c r="Q97" s="8">
        <f>K97*G97</f>
        <v/>
      </c>
      <c r="R97" s="24">
        <f>(M97-K97)*G97</f>
        <v/>
      </c>
      <c r="S97" s="25">
        <f>(M97/K97-1)*100</f>
        <v/>
      </c>
      <c r="T97" s="26">
        <f>(N97-K97)*G97</f>
        <v/>
      </c>
      <c r="U97" s="27">
        <f>(N97/K97-1)*100</f>
        <v/>
      </c>
      <c r="V97" s="11">
        <f>(P97-K97)*G97</f>
        <v/>
      </c>
      <c r="W97" s="11" t="n">
        <v>4132.01</v>
      </c>
      <c r="X97" s="10">
        <f>W97/Q97*100</f>
        <v/>
      </c>
      <c r="Y97" s="12" t="n">
        <v>1.518</v>
      </c>
      <c r="Z97" s="14" t="inlineStr">
        <is>
          <t>2025_H2</t>
        </is>
      </c>
    </row>
    <row r="98">
      <c r="A98" s="14" t="inlineStr">
        <is>
          <t>2025-07-22</t>
        </is>
      </c>
      <c r="B98" s="7" t="inlineStr">
        <is>
          <t>OBEROIRLTY</t>
        </is>
      </c>
      <c r="C98" s="14" t="inlineStr">
        <is>
          <t>CE</t>
        </is>
      </c>
      <c r="D98" s="14" t="inlineStr">
        <is>
          <t>mid</t>
        </is>
      </c>
      <c r="E98" s="21" t="n">
        <v>1840</v>
      </c>
      <c r="F98" s="14" t="inlineStr">
        <is>
          <t>2025-07-31</t>
        </is>
      </c>
      <c r="G98" s="8" t="n">
        <v>350</v>
      </c>
      <c r="H98" s="22" t="n">
        <v>-27.9</v>
      </c>
      <c r="I98" s="22" t="n">
        <v>-2.8</v>
      </c>
      <c r="J98" s="22" t="n">
        <v>-29.7</v>
      </c>
      <c r="K98" s="23" t="n">
        <v>13.4</v>
      </c>
      <c r="L98" s="23" t="n">
        <v>13.35</v>
      </c>
      <c r="M98" s="23" t="n">
        <v>31.35</v>
      </c>
      <c r="N98" s="23" t="n">
        <v>13.2</v>
      </c>
      <c r="O98" s="23" t="n">
        <v>25.9</v>
      </c>
      <c r="P98" s="23" t="n">
        <v>25.85</v>
      </c>
      <c r="Q98" s="8">
        <f>K98*G98</f>
        <v/>
      </c>
      <c r="R98" s="24">
        <f>(M98-K98)*G98</f>
        <v/>
      </c>
      <c r="S98" s="25">
        <f>(M98/K98-1)*100</f>
        <v/>
      </c>
      <c r="T98" s="26">
        <f>(N98-K98)*G98</f>
        <v/>
      </c>
      <c r="U98" s="27">
        <f>(N98/K98-1)*100</f>
        <v/>
      </c>
      <c r="V98" s="11">
        <f>(P98-K98)*G98</f>
        <v/>
      </c>
      <c r="W98" s="11" t="n">
        <v>4016.07</v>
      </c>
      <c r="X98" s="10">
        <f>W98/Q98*100</f>
        <v/>
      </c>
      <c r="Y98" s="12" t="n">
        <v>2.538</v>
      </c>
      <c r="Z98" s="14" t="inlineStr">
        <is>
          <t>2025_H2</t>
        </is>
      </c>
    </row>
    <row r="99">
      <c r="A99" s="14" t="inlineStr">
        <is>
          <t>2025-07-23</t>
        </is>
      </c>
      <c r="B99" s="7" t="inlineStr">
        <is>
          <t>COLPAL</t>
        </is>
      </c>
      <c r="C99" s="14" t="inlineStr">
        <is>
          <t>CE</t>
        </is>
      </c>
      <c r="D99" s="14" t="inlineStr">
        <is>
          <t>mid</t>
        </is>
      </c>
      <c r="E99" s="21" t="n">
        <v>2380</v>
      </c>
      <c r="F99" s="14" t="inlineStr">
        <is>
          <t>2025-07-31</t>
        </is>
      </c>
      <c r="G99" s="8" t="n">
        <v>225</v>
      </c>
      <c r="H99" s="22" t="n">
        <v>-11.9</v>
      </c>
      <c r="I99" s="22" t="n">
        <v>-9.699999999999999</v>
      </c>
      <c r="J99" s="22" t="n">
        <v>-4.2</v>
      </c>
      <c r="K99" s="23" t="n">
        <v>22.05</v>
      </c>
      <c r="L99" s="23" t="n">
        <v>22</v>
      </c>
      <c r="M99" s="23" t="n">
        <v>22</v>
      </c>
      <c r="N99" s="23" t="n">
        <v>4.2</v>
      </c>
      <c r="O99" s="23" t="n">
        <v>5</v>
      </c>
      <c r="P99" s="23" t="n">
        <v>4.95</v>
      </c>
      <c r="Q99" s="8">
        <f>K99*G99</f>
        <v/>
      </c>
      <c r="R99" s="24">
        <f>(M99-K99)*G99</f>
        <v/>
      </c>
      <c r="S99" s="25">
        <f>(M99/K99-1)*100</f>
        <v/>
      </c>
      <c r="T99" s="26">
        <f>(N99-K99)*G99</f>
        <v/>
      </c>
      <c r="U99" s="27">
        <f>(N99/K99-1)*100</f>
        <v/>
      </c>
      <c r="V99" s="11">
        <f>(P99-K99)*G99</f>
        <v/>
      </c>
      <c r="W99" s="11" t="n">
        <v>-4020.57</v>
      </c>
      <c r="X99" s="10">
        <f>W99/Q99*100</f>
        <v/>
      </c>
      <c r="Y99" s="12" t="n">
        <v>-2.753</v>
      </c>
      <c r="Z99" s="14" t="inlineStr">
        <is>
          <t>2025_H2</t>
        </is>
      </c>
    </row>
    <row r="100">
      <c r="A100" s="14" t="inlineStr">
        <is>
          <t>2025-07-24</t>
        </is>
      </c>
      <c r="B100" s="7" t="inlineStr">
        <is>
          <t>COFORGE</t>
        </is>
      </c>
      <c r="C100" s="14" t="inlineStr">
        <is>
          <t>PE</t>
        </is>
      </c>
      <c r="D100" s="14" t="inlineStr">
        <is>
          <t>mid</t>
        </is>
      </c>
      <c r="E100" s="21" t="n">
        <v>1740</v>
      </c>
      <c r="F100" s="14" t="inlineStr">
        <is>
          <t>2025-07-31</t>
        </is>
      </c>
      <c r="G100" s="8" t="n">
        <v>375</v>
      </c>
      <c r="H100" s="22" t="n">
        <v>155.9</v>
      </c>
      <c r="I100" s="22" t="n">
        <v>16</v>
      </c>
      <c r="J100" s="22" t="n">
        <v>53.6</v>
      </c>
      <c r="K100" s="23" t="n">
        <v>15.2</v>
      </c>
      <c r="L100" s="23" t="n">
        <v>15.15</v>
      </c>
      <c r="M100" s="23" t="n">
        <v>78.15000000000001</v>
      </c>
      <c r="N100" s="23" t="n">
        <v>15.15</v>
      </c>
      <c r="O100" s="23" t="n">
        <v>75.3</v>
      </c>
      <c r="P100" s="23" t="n">
        <v>75.25</v>
      </c>
      <c r="Q100" s="8">
        <f>K100*G100</f>
        <v/>
      </c>
      <c r="R100" s="24">
        <f>(M100-K100)*G100</f>
        <v/>
      </c>
      <c r="S100" s="25">
        <f>(M100/K100-1)*100</f>
        <v/>
      </c>
      <c r="T100" s="26">
        <f>(N100-K100)*G100</f>
        <v/>
      </c>
      <c r="U100" s="27">
        <f>(N100/K100-1)*100</f>
        <v/>
      </c>
      <c r="V100" s="11">
        <f>(P100-K100)*G100</f>
        <v/>
      </c>
      <c r="W100" s="11" t="n">
        <v>21736.4</v>
      </c>
      <c r="X100" s="10">
        <f>W100/Q100*100</f>
        <v/>
      </c>
      <c r="Y100" s="12" t="n">
        <v>8.565</v>
      </c>
      <c r="Z100" s="14" t="inlineStr">
        <is>
          <t>2025_H2</t>
        </is>
      </c>
    </row>
    <row r="101">
      <c r="A101" s="14" t="inlineStr">
        <is>
          <t>2025-07-24</t>
        </is>
      </c>
      <c r="B101" s="7" t="inlineStr">
        <is>
          <t>PERSISTENT</t>
        </is>
      </c>
      <c r="C101" s="14" t="inlineStr">
        <is>
          <t>PE</t>
        </is>
      </c>
      <c r="D101" s="14" t="inlineStr">
        <is>
          <t>mid</t>
        </is>
      </c>
      <c r="E101" s="21" t="n">
        <v>5300</v>
      </c>
      <c r="F101" s="14" t="inlineStr">
        <is>
          <t>2025-07-31</t>
        </is>
      </c>
      <c r="G101" s="8" t="n">
        <v>100</v>
      </c>
      <c r="H101" s="22" t="n">
        <v>38.7</v>
      </c>
      <c r="I101" s="22" t="n">
        <v>7.4</v>
      </c>
      <c r="J101" s="22" t="n">
        <v>21.8</v>
      </c>
      <c r="K101" s="23" t="n">
        <v>63.65</v>
      </c>
      <c r="L101" s="23" t="n">
        <v>63.6</v>
      </c>
      <c r="M101" s="23" t="n">
        <v>265.5</v>
      </c>
      <c r="N101" s="23" t="n">
        <v>63.55</v>
      </c>
      <c r="O101" s="23" t="n">
        <v>177.6</v>
      </c>
      <c r="P101" s="23" t="n">
        <v>177.55</v>
      </c>
      <c r="Q101" s="8">
        <f>K101*G101</f>
        <v/>
      </c>
      <c r="R101" s="24">
        <f>(M101-K101)*G101</f>
        <v/>
      </c>
      <c r="S101" s="25">
        <f>(M101/K101-1)*100</f>
        <v/>
      </c>
      <c r="T101" s="26">
        <f>(N101-K101)*G101</f>
        <v/>
      </c>
      <c r="U101" s="27">
        <f>(N101/K101-1)*100</f>
        <v/>
      </c>
      <c r="V101" s="11">
        <f>(P101-K101)*G101</f>
        <v/>
      </c>
      <c r="W101" s="11" t="n">
        <v>10823.43</v>
      </c>
      <c r="X101" s="10">
        <f>W101/Q101*100</f>
        <v/>
      </c>
      <c r="Y101" s="12" t="n">
        <v>6.353</v>
      </c>
      <c r="Z101" s="14" t="inlineStr">
        <is>
          <t>2025_H2</t>
        </is>
      </c>
    </row>
    <row r="102">
      <c r="A102" s="14" t="inlineStr">
        <is>
          <t>2025-07-25</t>
        </is>
      </c>
      <c r="B102" s="7" t="inlineStr">
        <is>
          <t>BAJFINANCE</t>
        </is>
      </c>
      <c r="C102" s="14" t="inlineStr">
        <is>
          <t>PE</t>
        </is>
      </c>
      <c r="D102" s="14" t="inlineStr">
        <is>
          <t>large</t>
        </is>
      </c>
      <c r="E102" s="21" t="n">
        <v>890</v>
      </c>
      <c r="F102" s="14" t="inlineStr">
        <is>
          <t>2025-07-31</t>
        </is>
      </c>
      <c r="G102" s="8" t="n">
        <v>750</v>
      </c>
      <c r="H102" s="22" t="n">
        <v>21.8</v>
      </c>
      <c r="I102" s="22" t="n">
        <v>4.8</v>
      </c>
      <c r="J102" s="22" t="n">
        <v>21.3</v>
      </c>
      <c r="K102" s="23" t="n">
        <v>7.25</v>
      </c>
      <c r="L102" s="23" t="n">
        <v>7.2</v>
      </c>
      <c r="M102" s="23" t="n">
        <v>10.6</v>
      </c>
      <c r="N102" s="23" t="n">
        <v>2.7</v>
      </c>
      <c r="O102" s="23" t="n">
        <v>3.6</v>
      </c>
      <c r="P102" s="23" t="n">
        <v>3.55</v>
      </c>
      <c r="Q102" s="8">
        <f>K102*G102</f>
        <v/>
      </c>
      <c r="R102" s="24">
        <f>(M102-K102)*G102</f>
        <v/>
      </c>
      <c r="S102" s="25">
        <f>(M102/K102-1)*100</f>
        <v/>
      </c>
      <c r="T102" s="26">
        <f>(N102-K102)*G102</f>
        <v/>
      </c>
      <c r="U102" s="27">
        <f>(N102/K102-1)*100</f>
        <v/>
      </c>
      <c r="V102" s="11">
        <f>(P102-K102)*G102</f>
        <v/>
      </c>
      <c r="W102" s="11" t="n">
        <v>-2910.76</v>
      </c>
      <c r="X102" s="10">
        <f>W102/Q102*100</f>
        <v/>
      </c>
      <c r="Y102" s="12" t="n">
        <v>-0.8110000000000001</v>
      </c>
      <c r="Z102" s="14" t="inlineStr">
        <is>
          <t>2025_H2</t>
        </is>
      </c>
    </row>
    <row r="103">
      <c r="A103" s="14" t="inlineStr">
        <is>
          <t>2025-07-25</t>
        </is>
      </c>
      <c r="B103" s="7" t="inlineStr">
        <is>
          <t>INDIANB</t>
        </is>
      </c>
      <c r="C103" s="14" t="inlineStr">
        <is>
          <t>CE</t>
        </is>
      </c>
      <c r="D103" s="14" t="inlineStr">
        <is>
          <t>mid</t>
        </is>
      </c>
      <c r="E103" s="21" t="n">
        <v>673.75</v>
      </c>
      <c r="F103" s="14" t="inlineStr">
        <is>
          <t>2025-07-31</t>
        </is>
      </c>
      <c r="G103" s="8" t="n">
        <v>1000</v>
      </c>
      <c r="H103" s="22" t="n">
        <v>-11.4</v>
      </c>
      <c r="I103" s="22" t="n">
        <v>-23.7</v>
      </c>
      <c r="J103" s="22" t="n">
        <v>8.300000000000001</v>
      </c>
      <c r="K103" s="23" t="n">
        <v>5.55</v>
      </c>
      <c r="L103" s="23" t="n">
        <v>5.5</v>
      </c>
      <c r="M103" s="23" t="n">
        <v>5.5</v>
      </c>
      <c r="N103" s="23" t="n">
        <v>1.2</v>
      </c>
      <c r="O103" s="23" t="n">
        <v>1.6</v>
      </c>
      <c r="P103" s="23" t="n">
        <v>1.55</v>
      </c>
      <c r="Q103" s="8">
        <f>K103*G103</f>
        <v/>
      </c>
      <c r="R103" s="24">
        <f>(M103-K103)*G103</f>
        <v/>
      </c>
      <c r="S103" s="25">
        <f>(M103/K103-1)*100</f>
        <v/>
      </c>
      <c r="T103" s="26">
        <f>(N103-K103)*G103</f>
        <v/>
      </c>
      <c r="U103" s="27">
        <f>(N103/K103-1)*100</f>
        <v/>
      </c>
      <c r="V103" s="11">
        <f>(P103-K103)*G103</f>
        <v/>
      </c>
      <c r="W103" s="11" t="n">
        <v>-4194.69</v>
      </c>
      <c r="X103" s="10">
        <f>W103/Q103*100</f>
        <v/>
      </c>
      <c r="Y103" s="12" t="n">
        <v>-2.336</v>
      </c>
      <c r="Z103" s="14" t="inlineStr">
        <is>
          <t>2025_H2</t>
        </is>
      </c>
    </row>
    <row r="104">
      <c r="A104" s="14" t="inlineStr">
        <is>
          <t>2025-07-25</t>
        </is>
      </c>
      <c r="B104" s="7" t="inlineStr">
        <is>
          <t>SUPREMEIND</t>
        </is>
      </c>
      <c r="C104" s="14" t="inlineStr">
        <is>
          <t>CE</t>
        </is>
      </c>
      <c r="D104" s="14" t="inlineStr">
        <is>
          <t>mid</t>
        </is>
      </c>
      <c r="E104" s="21" t="n">
        <v>4350</v>
      </c>
      <c r="F104" s="14" t="inlineStr">
        <is>
          <t>2025-07-31</t>
        </is>
      </c>
      <c r="G104" s="8" t="n">
        <v>175</v>
      </c>
      <c r="H104" s="22" t="n">
        <v>-26</v>
      </c>
      <c r="I104" s="22" t="n">
        <v>-31.2</v>
      </c>
      <c r="J104" s="22" t="n">
        <v>-1</v>
      </c>
      <c r="K104" s="23" t="n">
        <v>32</v>
      </c>
      <c r="L104" s="23" t="n">
        <v>31.95</v>
      </c>
      <c r="M104" s="23" t="n">
        <v>78.84999999999999</v>
      </c>
      <c r="N104" s="23" t="n">
        <v>20.6</v>
      </c>
      <c r="O104" s="23" t="n">
        <v>51.95</v>
      </c>
      <c r="P104" s="23" t="n">
        <v>51.9</v>
      </c>
      <c r="Q104" s="8">
        <f>K104*G104</f>
        <v/>
      </c>
      <c r="R104" s="24">
        <f>(M104-K104)*G104</f>
        <v/>
      </c>
      <c r="S104" s="25">
        <f>(M104/K104-1)*100</f>
        <v/>
      </c>
      <c r="T104" s="26">
        <f>(N104-K104)*G104</f>
        <v/>
      </c>
      <c r="U104" s="27">
        <f>(N104/K104-1)*100</f>
        <v/>
      </c>
      <c r="V104" s="11">
        <f>(P104-K104)*G104</f>
        <v/>
      </c>
      <c r="W104" s="11" t="n">
        <v>3121.68</v>
      </c>
      <c r="X104" s="10">
        <f>W104/Q104*100</f>
        <v/>
      </c>
      <c r="Y104" s="12" t="n">
        <v>2.63</v>
      </c>
      <c r="Z104" s="14" t="inlineStr">
        <is>
          <t>2025_H2</t>
        </is>
      </c>
    </row>
    <row r="105">
      <c r="A105" s="14" t="inlineStr">
        <is>
          <t>2025-07-28</t>
        </is>
      </c>
      <c r="B105" s="7" t="inlineStr">
        <is>
          <t>BAJAJFINSV</t>
        </is>
      </c>
      <c r="C105" s="14" t="inlineStr">
        <is>
          <t>PE</t>
        </is>
      </c>
      <c r="D105" s="14" t="inlineStr">
        <is>
          <t>large</t>
        </is>
      </c>
      <c r="E105" s="21" t="n">
        <v>1960</v>
      </c>
      <c r="F105" s="14" t="inlineStr">
        <is>
          <t>2025-07-31</t>
        </is>
      </c>
      <c r="G105" s="8" t="n">
        <v>500</v>
      </c>
      <c r="H105" s="22" t="n">
        <v>26.6</v>
      </c>
      <c r="I105" s="22" t="n">
        <v>12</v>
      </c>
      <c r="J105" s="22" t="n">
        <v>12.6</v>
      </c>
      <c r="K105" s="23" t="n">
        <v>12.6</v>
      </c>
      <c r="L105" s="23" t="n">
        <v>12.55</v>
      </c>
      <c r="M105" s="23" t="n">
        <v>15.25</v>
      </c>
      <c r="N105" s="23" t="n">
        <v>4.2</v>
      </c>
      <c r="O105" s="23" t="n">
        <v>13.1</v>
      </c>
      <c r="P105" s="23" t="n">
        <v>13.05</v>
      </c>
      <c r="Q105" s="8">
        <f>K105*G105</f>
        <v/>
      </c>
      <c r="R105" s="24">
        <f>(M105-K105)*G105</f>
        <v/>
      </c>
      <c r="S105" s="25">
        <f>(M105/K105-1)*100</f>
        <v/>
      </c>
      <c r="T105" s="26">
        <f>(N105-K105)*G105</f>
        <v/>
      </c>
      <c r="U105" s="27">
        <f>(N105/K105-1)*100</f>
        <v/>
      </c>
      <c r="V105" s="11">
        <f>(P105-K105)*G105</f>
        <v/>
      </c>
      <c r="W105" s="11" t="n">
        <v>34.17</v>
      </c>
      <c r="X105" s="10">
        <f>W105/Q105*100</f>
        <v/>
      </c>
      <c r="Y105" s="12" t="n">
        <v>0.613</v>
      </c>
      <c r="Z105" s="14" t="inlineStr">
        <is>
          <t>2025_H2</t>
        </is>
      </c>
    </row>
    <row r="106">
      <c r="A106" s="14" t="inlineStr">
        <is>
          <t>2025-07-28</t>
        </is>
      </c>
      <c r="B106" s="7" t="inlineStr">
        <is>
          <t>KOTAKBANK</t>
        </is>
      </c>
      <c r="C106" s="14" t="inlineStr">
        <is>
          <t>CE</t>
        </is>
      </c>
      <c r="D106" s="14" t="inlineStr">
        <is>
          <t>large</t>
        </is>
      </c>
      <c r="E106" s="21" t="n">
        <v>2120</v>
      </c>
      <c r="F106" s="14" t="inlineStr">
        <is>
          <t>2025-07-31</t>
        </is>
      </c>
      <c r="G106" s="8" t="n">
        <v>400</v>
      </c>
      <c r="H106" s="22" t="n">
        <v>-40</v>
      </c>
      <c r="I106" s="22" t="n">
        <v>-9.300000000000001</v>
      </c>
      <c r="J106" s="22" t="n">
        <v>8.9</v>
      </c>
      <c r="K106" s="23" t="n">
        <v>8.199999999999999</v>
      </c>
      <c r="L106" s="23" t="n">
        <v>8.15</v>
      </c>
      <c r="M106" s="23" t="n">
        <v>8.25</v>
      </c>
      <c r="N106" s="23" t="n">
        <v>0.75</v>
      </c>
      <c r="O106" s="23" t="n">
        <v>0.85</v>
      </c>
      <c r="P106" s="23" t="n">
        <v>0.8</v>
      </c>
      <c r="Q106" s="8">
        <f>K106*G106</f>
        <v/>
      </c>
      <c r="R106" s="24">
        <f>(M106-K106)*G106</f>
        <v/>
      </c>
      <c r="S106" s="25">
        <f>(M106/K106-1)*100</f>
        <v/>
      </c>
      <c r="T106" s="26">
        <f>(N106-K106)*G106</f>
        <v/>
      </c>
      <c r="U106" s="27">
        <f>(N106/K106-1)*100</f>
        <v/>
      </c>
      <c r="V106" s="11">
        <f>(P106-K106)*G106</f>
        <v/>
      </c>
      <c r="W106" s="11" t="n">
        <v>-3045.29</v>
      </c>
      <c r="X106" s="10">
        <f>W106/Q106*100</f>
        <v/>
      </c>
      <c r="Y106" s="12" t="n">
        <v>-2.901</v>
      </c>
      <c r="Z106" s="14" t="inlineStr">
        <is>
          <t>2025_H2</t>
        </is>
      </c>
    </row>
    <row r="107">
      <c r="A107" s="14" t="inlineStr">
        <is>
          <t>2025-07-28</t>
        </is>
      </c>
      <c r="B107" s="7" t="inlineStr">
        <is>
          <t>PETRONET</t>
        </is>
      </c>
      <c r="C107" s="14" t="inlineStr">
        <is>
          <t>CE</t>
        </is>
      </c>
      <c r="D107" s="14" t="inlineStr">
        <is>
          <t>mid</t>
        </is>
      </c>
      <c r="E107" s="21" t="n">
        <v>300</v>
      </c>
      <c r="F107" s="14" t="inlineStr">
        <is>
          <t>2025-07-31</t>
        </is>
      </c>
      <c r="G107" s="8" t="n">
        <v>1800</v>
      </c>
      <c r="H107" s="22" t="n">
        <v>-23.8</v>
      </c>
      <c r="I107" s="22" t="n">
        <v>-23.1</v>
      </c>
      <c r="J107" s="22" t="n">
        <v>-11.4</v>
      </c>
      <c r="K107" s="23" t="n">
        <v>3.05</v>
      </c>
      <c r="L107" s="23" t="n">
        <v>3</v>
      </c>
      <c r="M107" s="23" t="n">
        <v>9.35</v>
      </c>
      <c r="N107" s="23" t="n">
        <v>2.35</v>
      </c>
      <c r="O107" s="23" t="n">
        <v>4.1</v>
      </c>
      <c r="P107" s="23" t="n">
        <v>4.05</v>
      </c>
      <c r="Q107" s="8">
        <f>K107*G107</f>
        <v/>
      </c>
      <c r="R107" s="24">
        <f>(M107-K107)*G107</f>
        <v/>
      </c>
      <c r="S107" s="25">
        <f>(M107/K107-1)*100</f>
        <v/>
      </c>
      <c r="T107" s="26">
        <f>(N107-K107)*G107</f>
        <v/>
      </c>
      <c r="U107" s="27">
        <f>(N107/K107-1)*100</f>
        <v/>
      </c>
      <c r="V107" s="11">
        <f>(P107-K107)*G107</f>
        <v/>
      </c>
      <c r="W107" s="11" t="n">
        <v>1480.72</v>
      </c>
      <c r="X107" s="10">
        <f>W107/Q107*100</f>
        <v/>
      </c>
      <c r="Y107" s="12" t="n">
        <v>1.277</v>
      </c>
      <c r="Z107" s="14" t="inlineStr">
        <is>
          <t>2025_H2</t>
        </is>
      </c>
    </row>
    <row r="108">
      <c r="A108" s="14" t="inlineStr">
        <is>
          <t>2025-07-29</t>
        </is>
      </c>
      <c r="B108" s="7" t="inlineStr">
        <is>
          <t>TORNTPHARM</t>
        </is>
      </c>
      <c r="C108" s="14" t="inlineStr">
        <is>
          <t>PE</t>
        </is>
      </c>
      <c r="D108" s="14" t="inlineStr">
        <is>
          <t>large</t>
        </is>
      </c>
      <c r="E108" s="21" t="n">
        <v>3550</v>
      </c>
      <c r="F108" s="14" t="inlineStr">
        <is>
          <t>2025-07-31</t>
        </is>
      </c>
      <c r="G108" s="8" t="n">
        <v>250</v>
      </c>
      <c r="H108" s="22" t="n">
        <v>19.9</v>
      </c>
      <c r="I108" s="22" t="n">
        <v>10</v>
      </c>
      <c r="J108" s="22" t="n">
        <v>11.2</v>
      </c>
      <c r="K108" s="23" t="n">
        <v>18.05</v>
      </c>
      <c r="L108" s="23" t="n">
        <v>18</v>
      </c>
      <c r="M108" s="23" t="n">
        <v>18</v>
      </c>
      <c r="N108" s="23" t="n">
        <v>1.9</v>
      </c>
      <c r="O108" s="23" t="n">
        <v>2.1</v>
      </c>
      <c r="P108" s="23" t="n">
        <v>2.05</v>
      </c>
      <c r="Q108" s="8">
        <f>K108*G108</f>
        <v/>
      </c>
      <c r="R108" s="24">
        <f>(M108-K108)*G108</f>
        <v/>
      </c>
      <c r="S108" s="25">
        <f>(M108/K108-1)*100</f>
        <v/>
      </c>
      <c r="T108" s="26">
        <f>(N108-K108)*G108</f>
        <v/>
      </c>
      <c r="U108" s="27">
        <f>(N108/K108-1)*100</f>
        <v/>
      </c>
      <c r="V108" s="11">
        <f>(P108-K108)*G108</f>
        <v/>
      </c>
      <c r="W108" s="11" t="n">
        <v>-4100.46</v>
      </c>
      <c r="X108" s="10">
        <f>W108/Q108*100</f>
        <v/>
      </c>
      <c r="Y108" s="12" t="n">
        <v>-2.948</v>
      </c>
      <c r="Z108" s="14" t="inlineStr">
        <is>
          <t>2025_H2</t>
        </is>
      </c>
    </row>
    <row r="109">
      <c r="A109" s="14" t="inlineStr">
        <is>
          <t>2025-07-31</t>
        </is>
      </c>
      <c r="B109" s="7" t="inlineStr">
        <is>
          <t>INDIGO</t>
        </is>
      </c>
      <c r="C109" s="14" t="inlineStr">
        <is>
          <t>CE</t>
        </is>
      </c>
      <c r="D109" s="14" t="inlineStr">
        <is>
          <t>large</t>
        </is>
      </c>
      <c r="E109" s="21" t="n">
        <v>6200</v>
      </c>
      <c r="F109" s="14" t="inlineStr">
        <is>
          <t>2025-08-28</t>
        </is>
      </c>
      <c r="G109" s="8" t="n">
        <v>150</v>
      </c>
      <c r="H109" s="22" t="n">
        <v>-20.2</v>
      </c>
      <c r="I109" s="22" t="n">
        <v>-29.1</v>
      </c>
      <c r="J109" s="22" t="n">
        <v>4.7</v>
      </c>
      <c r="K109" s="23" t="n">
        <v>28.05</v>
      </c>
      <c r="L109" s="23" t="n">
        <v>28</v>
      </c>
      <c r="M109" s="23" t="n">
        <v>56.75</v>
      </c>
      <c r="N109" s="23" t="n">
        <v>24.95</v>
      </c>
      <c r="O109" s="23" t="n">
        <v>43.35</v>
      </c>
      <c r="P109" s="23" t="n">
        <v>43.3</v>
      </c>
      <c r="Q109" s="8">
        <f>K109*G109</f>
        <v/>
      </c>
      <c r="R109" s="24">
        <f>(M109-K109)*G109</f>
        <v/>
      </c>
      <c r="S109" s="25">
        <f>(M109/K109-1)*100</f>
        <v/>
      </c>
      <c r="T109" s="26">
        <f>(N109-K109)*G109</f>
        <v/>
      </c>
      <c r="U109" s="27">
        <f>(N109/K109-1)*100</f>
        <v/>
      </c>
      <c r="V109" s="11">
        <f>(P109-K109)*G109</f>
        <v/>
      </c>
      <c r="W109" s="11" t="n">
        <v>2118.9</v>
      </c>
      <c r="X109" s="10">
        <f>W109/Q109*100</f>
        <v/>
      </c>
      <c r="Y109" s="12" t="n">
        <v>5.076</v>
      </c>
      <c r="Z109" s="14" t="inlineStr">
        <is>
          <t>2025_H2</t>
        </is>
      </c>
    </row>
    <row r="110">
      <c r="A110" s="14" t="inlineStr">
        <is>
          <t>2025-07-31</t>
        </is>
      </c>
      <c r="B110" s="7" t="inlineStr">
        <is>
          <t>KPITTECH</t>
        </is>
      </c>
      <c r="C110" s="14" t="inlineStr">
        <is>
          <t>CE</t>
        </is>
      </c>
      <c r="D110" s="14" t="inlineStr">
        <is>
          <t>mid</t>
        </is>
      </c>
      <c r="E110" s="21" t="n">
        <v>1320</v>
      </c>
      <c r="F110" s="14" t="inlineStr">
        <is>
          <t>2025-08-28</t>
        </is>
      </c>
      <c r="G110" s="8" t="n">
        <v>400</v>
      </c>
      <c r="H110" s="22" t="n">
        <v>-15.8</v>
      </c>
      <c r="I110" s="22" t="n">
        <v>-29.8</v>
      </c>
      <c r="J110" s="22" t="n">
        <v>12.8</v>
      </c>
      <c r="K110" s="23" t="n">
        <v>18.1</v>
      </c>
      <c r="L110" s="23" t="n">
        <v>18.05</v>
      </c>
      <c r="M110" s="23" t="n">
        <v>18.85</v>
      </c>
      <c r="N110" s="23" t="n">
        <v>11.15</v>
      </c>
      <c r="O110" s="23" t="n">
        <v>12.6</v>
      </c>
      <c r="P110" s="23" t="n">
        <v>12.55</v>
      </c>
      <c r="Q110" s="8">
        <f>K110*G110</f>
        <v/>
      </c>
      <c r="R110" s="24">
        <f>(M110-K110)*G110</f>
        <v/>
      </c>
      <c r="S110" s="25">
        <f>(M110/K110-1)*100</f>
        <v/>
      </c>
      <c r="T110" s="26">
        <f>(N110-K110)*G110</f>
        <v/>
      </c>
      <c r="U110" s="27">
        <f>(N110/K110-1)*100</f>
        <v/>
      </c>
      <c r="V110" s="11">
        <f>(P110-K110)*G110</f>
        <v/>
      </c>
      <c r="W110" s="11" t="n">
        <v>-2525.3</v>
      </c>
      <c r="X110" s="10">
        <f>W110/Q110*100</f>
        <v/>
      </c>
      <c r="Y110" s="12" t="n">
        <v>-1.089</v>
      </c>
      <c r="Z110" s="14" t="inlineStr">
        <is>
          <t>2025_H2</t>
        </is>
      </c>
    </row>
    <row r="111">
      <c r="A111" s="14" t="inlineStr">
        <is>
          <t>2025-07-31</t>
        </is>
      </c>
      <c r="B111" s="7" t="inlineStr">
        <is>
          <t>M&amp;M</t>
        </is>
      </c>
      <c r="C111" s="14" t="inlineStr">
        <is>
          <t>PE</t>
        </is>
      </c>
      <c r="D111" s="14" t="inlineStr">
        <is>
          <t>large</t>
        </is>
      </c>
      <c r="E111" s="21" t="n">
        <v>2950</v>
      </c>
      <c r="F111" s="14" t="inlineStr">
        <is>
          <t>2025-08-28</t>
        </is>
      </c>
      <c r="G111" s="8" t="n">
        <v>200</v>
      </c>
      <c r="H111" s="22" t="n">
        <v>23.4</v>
      </c>
      <c r="I111" s="22" t="n">
        <v>23.6</v>
      </c>
      <c r="J111" s="22" t="n">
        <v>22.3</v>
      </c>
      <c r="K111" s="23" t="n">
        <v>30.65</v>
      </c>
      <c r="L111" s="23" t="n">
        <v>30.6</v>
      </c>
      <c r="M111" s="23" t="n">
        <v>37.05</v>
      </c>
      <c r="N111" s="23" t="n">
        <v>17.05</v>
      </c>
      <c r="O111" s="23" t="n">
        <v>22.9</v>
      </c>
      <c r="P111" s="23" t="n">
        <v>22.85</v>
      </c>
      <c r="Q111" s="8">
        <f>K111*G111</f>
        <v/>
      </c>
      <c r="R111" s="24">
        <f>(M111-K111)*G111</f>
        <v/>
      </c>
      <c r="S111" s="25">
        <f>(M111/K111-1)*100</f>
        <v/>
      </c>
      <c r="T111" s="26">
        <f>(N111-K111)*G111</f>
        <v/>
      </c>
      <c r="U111" s="27">
        <f>(N111/K111-1)*100</f>
        <v/>
      </c>
      <c r="V111" s="11">
        <f>(P111-K111)*G111</f>
        <v/>
      </c>
      <c r="W111" s="11" t="n">
        <v>-1725.73</v>
      </c>
      <c r="X111" s="10">
        <f>W111/Q111*100</f>
        <v/>
      </c>
      <c r="Y111" s="12" t="n">
        <v>0.679</v>
      </c>
      <c r="Z111" s="14" t="inlineStr">
        <is>
          <t>2025_H2</t>
        </is>
      </c>
    </row>
    <row r="112">
      <c r="A112" s="14" t="inlineStr">
        <is>
          <t>2025-08-01</t>
        </is>
      </c>
      <c r="B112" s="7" t="inlineStr">
        <is>
          <t>ADANIENT</t>
        </is>
      </c>
      <c r="C112" s="14" t="inlineStr">
        <is>
          <t>CE</t>
        </is>
      </c>
      <c r="D112" s="14" t="inlineStr">
        <is>
          <t>large</t>
        </is>
      </c>
      <c r="E112" s="21" t="n">
        <v>2600</v>
      </c>
      <c r="F112" s="14" t="inlineStr">
        <is>
          <t>2025-08-28</t>
        </is>
      </c>
      <c r="G112" s="8" t="n">
        <v>300</v>
      </c>
      <c r="H112" s="22" t="n">
        <v>-44.9</v>
      </c>
      <c r="I112" s="22" t="n">
        <v>-29.4</v>
      </c>
      <c r="J112" s="22" t="n">
        <v>-13.8</v>
      </c>
      <c r="K112" s="23" t="n">
        <v>18.05</v>
      </c>
      <c r="L112" s="23" t="n">
        <v>18</v>
      </c>
      <c r="M112" s="23" t="n">
        <v>21.35</v>
      </c>
      <c r="N112" s="23" t="n">
        <v>8.050000000000001</v>
      </c>
      <c r="O112" s="23" t="n">
        <v>9</v>
      </c>
      <c r="P112" s="23" t="n">
        <v>8.949999999999999</v>
      </c>
      <c r="Q112" s="8">
        <f>K112*G112</f>
        <v/>
      </c>
      <c r="R112" s="24">
        <f>(M112-K112)*G112</f>
        <v/>
      </c>
      <c r="S112" s="25">
        <f>(M112/K112-1)*100</f>
        <v/>
      </c>
      <c r="T112" s="26">
        <f>(N112-K112)*G112</f>
        <v/>
      </c>
      <c r="U112" s="27">
        <f>(N112/K112-1)*100</f>
        <v/>
      </c>
      <c r="V112" s="11">
        <f>(P112-K112)*G112</f>
        <v/>
      </c>
      <c r="W112" s="11" t="n">
        <v>-2865.79</v>
      </c>
      <c r="X112" s="10">
        <f>W112/Q112*100</f>
        <v/>
      </c>
      <c r="Y112" s="12" t="n">
        <v>-3.056</v>
      </c>
      <c r="Z112" s="14" t="inlineStr">
        <is>
          <t>2025_H2</t>
        </is>
      </c>
    </row>
    <row r="113">
      <c r="A113" s="14" t="inlineStr">
        <is>
          <t>2025-08-01</t>
        </is>
      </c>
      <c r="B113" s="7" t="inlineStr">
        <is>
          <t>JSWENERGY</t>
        </is>
      </c>
      <c r="C113" s="14" t="inlineStr">
        <is>
          <t>PE</t>
        </is>
      </c>
      <c r="D113" s="14" t="inlineStr">
        <is>
          <t>mid</t>
        </is>
      </c>
      <c r="E113" s="21" t="n">
        <v>500</v>
      </c>
      <c r="F113" s="14" t="inlineStr">
        <is>
          <t>2025-08-28</t>
        </is>
      </c>
      <c r="G113" s="8" t="n">
        <v>1000</v>
      </c>
      <c r="H113" s="22" t="n">
        <v>56.5</v>
      </c>
      <c r="I113" s="22" t="n">
        <v>101.7</v>
      </c>
      <c r="J113" s="22" t="n">
        <v>78.59999999999999</v>
      </c>
      <c r="K113" s="23" t="n">
        <v>8</v>
      </c>
      <c r="L113" s="23" t="n">
        <v>7.95</v>
      </c>
      <c r="M113" s="23" t="n">
        <v>14.8</v>
      </c>
      <c r="N113" s="23" t="n">
        <v>7.05</v>
      </c>
      <c r="O113" s="23" t="n">
        <v>13.75</v>
      </c>
      <c r="P113" s="23" t="n">
        <v>13.7</v>
      </c>
      <c r="Q113" s="8">
        <f>K113*G113</f>
        <v/>
      </c>
      <c r="R113" s="24">
        <f>(M113-K113)*G113</f>
        <v/>
      </c>
      <c r="S113" s="25">
        <f>(M113/K113-1)*100</f>
        <v/>
      </c>
      <c r="T113" s="26">
        <f>(N113-K113)*G113</f>
        <v/>
      </c>
      <c r="U113" s="27">
        <f>(N113/K113-1)*100</f>
        <v/>
      </c>
      <c r="V113" s="11">
        <f>(P113-K113)*G113</f>
        <v/>
      </c>
      <c r="W113" s="11" t="n">
        <v>5188.89</v>
      </c>
      <c r="X113" s="10">
        <f>W113/Q113*100</f>
        <v/>
      </c>
      <c r="Y113" s="12" t="n">
        <v>3.462</v>
      </c>
      <c r="Z113" s="14" t="inlineStr">
        <is>
          <t>2025_H2</t>
        </is>
      </c>
    </row>
    <row r="114">
      <c r="A114" s="14" t="inlineStr">
        <is>
          <t>2025-08-01</t>
        </is>
      </c>
      <c r="B114" s="7" t="inlineStr">
        <is>
          <t>VEDL</t>
        </is>
      </c>
      <c r="C114" s="14" t="inlineStr">
        <is>
          <t>CE</t>
        </is>
      </c>
      <c r="D114" s="14" t="inlineStr">
        <is>
          <t>large</t>
        </is>
      </c>
      <c r="E114" s="21" t="n">
        <v>450</v>
      </c>
      <c r="F114" s="14" t="inlineStr">
        <is>
          <t>2025-08-28</t>
        </is>
      </c>
      <c r="G114" s="8" t="n">
        <v>1150</v>
      </c>
      <c r="H114" s="22" t="n">
        <v>-12.5</v>
      </c>
      <c r="I114" s="22" t="n">
        <v>-10.2</v>
      </c>
      <c r="J114" s="22" t="n">
        <v>5.8</v>
      </c>
      <c r="K114" s="23" t="n">
        <v>4.3</v>
      </c>
      <c r="L114" s="23" t="n">
        <v>4.25</v>
      </c>
      <c r="M114" s="23" t="n">
        <v>5.4</v>
      </c>
      <c r="N114" s="23" t="n">
        <v>3.55</v>
      </c>
      <c r="O114" s="23" t="n">
        <v>3.75</v>
      </c>
      <c r="P114" s="23" t="n">
        <v>3.7</v>
      </c>
      <c r="Q114" s="8">
        <f>K114*G114</f>
        <v/>
      </c>
      <c r="R114" s="24">
        <f>(M114-K114)*G114</f>
        <v/>
      </c>
      <c r="S114" s="25">
        <f>(M114/K114-1)*100</f>
        <v/>
      </c>
      <c r="T114" s="26">
        <f>(N114-K114)*G114</f>
        <v/>
      </c>
      <c r="U114" s="27">
        <f>(N114/K114-1)*100</f>
        <v/>
      </c>
      <c r="V114" s="11">
        <f>(P114-K114)*G114</f>
        <v/>
      </c>
      <c r="W114" s="11" t="n">
        <v>-839.59</v>
      </c>
      <c r="X114" s="10">
        <f>W114/Q114*100</f>
        <v/>
      </c>
      <c r="Y114" s="12" t="n">
        <v>-0.153</v>
      </c>
      <c r="Z114" s="14" t="inlineStr">
        <is>
          <t>2025_H2</t>
        </is>
      </c>
    </row>
    <row r="115">
      <c r="A115" s="14" t="inlineStr">
        <is>
          <t>2025-08-04</t>
        </is>
      </c>
      <c r="B115" s="7" t="inlineStr">
        <is>
          <t>DELHIVERY</t>
        </is>
      </c>
      <c r="C115" s="14" t="inlineStr">
        <is>
          <t>PE</t>
        </is>
      </c>
      <c r="D115" s="14" t="inlineStr">
        <is>
          <t>small</t>
        </is>
      </c>
      <c r="E115" s="21" t="n">
        <v>395</v>
      </c>
      <c r="F115" s="14" t="inlineStr">
        <is>
          <t>2025-08-28</t>
        </is>
      </c>
      <c r="G115" s="8" t="n">
        <v>2075</v>
      </c>
      <c r="H115" s="22" t="n">
        <v>67.5</v>
      </c>
      <c r="I115" s="22" t="n">
        <v>25.5</v>
      </c>
      <c r="J115" s="22" t="n">
        <v>5.6</v>
      </c>
      <c r="K115" s="23" t="n">
        <v>2.2</v>
      </c>
      <c r="L115" s="23" t="n">
        <v>2.15</v>
      </c>
      <c r="M115" s="23" t="n">
        <v>2.35</v>
      </c>
      <c r="N115" s="23" t="n">
        <v>1.15</v>
      </c>
      <c r="O115" s="23" t="n">
        <v>1.15</v>
      </c>
      <c r="P115" s="23" t="n">
        <v>1.1</v>
      </c>
      <c r="Q115" s="8">
        <f>K115*G115</f>
        <v/>
      </c>
      <c r="R115" s="24">
        <f>(M115-K115)*G115</f>
        <v/>
      </c>
      <c r="S115" s="25">
        <f>(M115/K115-1)*100</f>
        <v/>
      </c>
      <c r="T115" s="26">
        <f>(N115-K115)*G115</f>
        <v/>
      </c>
      <c r="U115" s="27">
        <f>(N115/K115-1)*100</f>
        <v/>
      </c>
      <c r="V115" s="11">
        <f>(P115-K115)*G115</f>
        <v/>
      </c>
      <c r="W115" s="11" t="n">
        <v>-2541.56</v>
      </c>
      <c r="X115" s="10">
        <f>W115/Q115*100</f>
        <v/>
      </c>
      <c r="Y115" s="12" t="n">
        <v>-4.909</v>
      </c>
      <c r="Z115" s="14" t="inlineStr">
        <is>
          <t>2025_H2</t>
        </is>
      </c>
    </row>
    <row r="116">
      <c r="A116" s="14" t="inlineStr">
        <is>
          <t>2025-08-05</t>
        </is>
      </c>
      <c r="B116" s="7" t="inlineStr">
        <is>
          <t>AUROPHARMA</t>
        </is>
      </c>
      <c r="C116" s="14" t="inlineStr">
        <is>
          <t>CE</t>
        </is>
      </c>
      <c r="D116" s="14" t="inlineStr">
        <is>
          <t>mid</t>
        </is>
      </c>
      <c r="E116" s="21" t="n">
        <v>1140</v>
      </c>
      <c r="F116" s="14" t="inlineStr">
        <is>
          <t>2025-08-28</t>
        </is>
      </c>
      <c r="G116" s="8" t="n">
        <v>550</v>
      </c>
      <c r="H116" s="22" t="n">
        <v>-10.2</v>
      </c>
      <c r="I116" s="22" t="n">
        <v>-8.699999999999999</v>
      </c>
      <c r="J116" s="22" t="n">
        <v>4</v>
      </c>
      <c r="K116" s="23" t="n">
        <v>10.05</v>
      </c>
      <c r="L116" s="23" t="n">
        <v>10</v>
      </c>
      <c r="M116" s="23" t="n">
        <v>23.5</v>
      </c>
      <c r="N116" s="23" t="n">
        <v>8.6</v>
      </c>
      <c r="O116" s="23" t="n">
        <v>11.25</v>
      </c>
      <c r="P116" s="23" t="n">
        <v>11.2</v>
      </c>
      <c r="Q116" s="8">
        <f>K116*G116</f>
        <v/>
      </c>
      <c r="R116" s="24">
        <f>(M116-K116)*G116</f>
        <v/>
      </c>
      <c r="S116" s="25">
        <f>(M116/K116-1)*100</f>
        <v/>
      </c>
      <c r="T116" s="26">
        <f>(N116-K116)*G116</f>
        <v/>
      </c>
      <c r="U116" s="27">
        <f>(N116/K116-1)*100</f>
        <v/>
      </c>
      <c r="V116" s="11">
        <f>(P116-K116)*G116</f>
        <v/>
      </c>
      <c r="W116" s="11" t="n">
        <v>337.22</v>
      </c>
      <c r="X116" s="10">
        <f>W116/Q116*100</f>
        <v/>
      </c>
      <c r="Y116" s="12" t="n">
        <v>0.578</v>
      </c>
      <c r="Z116" s="14" t="inlineStr">
        <is>
          <t>2025_H2</t>
        </is>
      </c>
    </row>
    <row r="117">
      <c r="A117" s="14" t="inlineStr">
        <is>
          <t>2025-08-05</t>
        </is>
      </c>
      <c r="B117" s="7" t="inlineStr">
        <is>
          <t>SHREECEM</t>
        </is>
      </c>
      <c r="C117" s="14" t="inlineStr">
        <is>
          <t>PE</t>
        </is>
      </c>
      <c r="D117" s="14" t="inlineStr">
        <is>
          <t>large</t>
        </is>
      </c>
      <c r="E117" s="21" t="n">
        <v>29000</v>
      </c>
      <c r="F117" s="14" t="inlineStr">
        <is>
          <t>2025-08-28</t>
        </is>
      </c>
      <c r="G117" s="8" t="n">
        <v>25</v>
      </c>
      <c r="H117" s="22" t="n">
        <v>131.2</v>
      </c>
      <c r="I117" s="22" t="n">
        <v>11.9</v>
      </c>
      <c r="J117" s="22" t="n">
        <v>3.1</v>
      </c>
      <c r="K117" s="23" t="n">
        <v>221.1</v>
      </c>
      <c r="L117" s="23" t="n">
        <v>221.05</v>
      </c>
      <c r="M117" s="23" t="n">
        <v>317.15</v>
      </c>
      <c r="N117" s="23" t="n">
        <v>172.35</v>
      </c>
      <c r="O117" s="23" t="n">
        <v>254.35</v>
      </c>
      <c r="P117" s="23" t="n">
        <v>254.3</v>
      </c>
      <c r="Q117" s="8">
        <f>K117*G117</f>
        <v/>
      </c>
      <c r="R117" s="24">
        <f>(M117-K117)*G117</f>
        <v/>
      </c>
      <c r="S117" s="25">
        <f>(M117/K117-1)*100</f>
        <v/>
      </c>
      <c r="T117" s="26">
        <f>(N117-K117)*G117</f>
        <v/>
      </c>
      <c r="U117" s="27">
        <f>(N117/K117-1)*100</f>
        <v/>
      </c>
      <c r="V117" s="11">
        <f>(P117-K117)*G117</f>
        <v/>
      </c>
      <c r="W117" s="11" t="n">
        <v>649.24</v>
      </c>
      <c r="X117" s="10">
        <f>W117/Q117*100</f>
        <v/>
      </c>
      <c r="Y117" s="12" t="n">
        <v>2.186</v>
      </c>
      <c r="Z117" s="14" t="inlineStr">
        <is>
          <t>2025_H2</t>
        </is>
      </c>
    </row>
    <row r="118">
      <c r="A118" s="14" t="inlineStr">
        <is>
          <t>2025-08-05</t>
        </is>
      </c>
      <c r="B118" s="7" t="inlineStr">
        <is>
          <t>SONACOMS</t>
        </is>
      </c>
      <c r="C118" s="14" t="inlineStr">
        <is>
          <t>CE</t>
        </is>
      </c>
      <c r="D118" s="14" t="inlineStr">
        <is>
          <t>mid</t>
        </is>
      </c>
      <c r="E118" s="21" t="n">
        <v>470</v>
      </c>
      <c r="F118" s="14" t="inlineStr">
        <is>
          <t>2025-08-28</t>
        </is>
      </c>
      <c r="G118" s="8" t="n">
        <v>1050</v>
      </c>
      <c r="H118" s="22" t="n">
        <v>-14.1</v>
      </c>
      <c r="I118" s="22" t="n">
        <v>-25.6</v>
      </c>
      <c r="J118" s="22" t="n">
        <v>-4.7</v>
      </c>
      <c r="K118" s="23" t="n">
        <v>6</v>
      </c>
      <c r="L118" s="23" t="n">
        <v>5.95</v>
      </c>
      <c r="M118" s="23" t="n">
        <v>11.65</v>
      </c>
      <c r="N118" s="23" t="n">
        <v>5.25</v>
      </c>
      <c r="O118" s="23" t="n">
        <v>8.1</v>
      </c>
      <c r="P118" s="23" t="n">
        <v>8.050000000000001</v>
      </c>
      <c r="Q118" s="8">
        <f>K118*G118</f>
        <v/>
      </c>
      <c r="R118" s="24">
        <f>(M118-K118)*G118</f>
        <v/>
      </c>
      <c r="S118" s="25">
        <f>(M118/K118-1)*100</f>
        <v/>
      </c>
      <c r="T118" s="26">
        <f>(N118-K118)*G118</f>
        <v/>
      </c>
      <c r="U118" s="27">
        <f>(N118/K118-1)*100</f>
        <v/>
      </c>
      <c r="V118" s="11">
        <f>(P118-K118)*G118</f>
        <v/>
      </c>
      <c r="W118" s="11" t="n">
        <v>1791.18</v>
      </c>
      <c r="X118" s="10">
        <f>W118/Q118*100</f>
        <v/>
      </c>
      <c r="Y118" s="12" t="n">
        <v>3.256</v>
      </c>
      <c r="Z118" s="14" t="inlineStr">
        <is>
          <t>2025_H2</t>
        </is>
      </c>
    </row>
    <row r="119">
      <c r="A119" s="14" t="inlineStr">
        <is>
          <t>2025-08-06</t>
        </is>
      </c>
      <c r="B119" s="7" t="inlineStr">
        <is>
          <t>LUPIN</t>
        </is>
      </c>
      <c r="C119" s="14" t="inlineStr">
        <is>
          <t>PE</t>
        </is>
      </c>
      <c r="D119" s="14" t="inlineStr">
        <is>
          <t>large</t>
        </is>
      </c>
      <c r="E119" s="21" t="n">
        <v>1780</v>
      </c>
      <c r="F119" s="14" t="inlineStr">
        <is>
          <t>2025-08-28</t>
        </is>
      </c>
      <c r="G119" s="8" t="n">
        <v>425</v>
      </c>
      <c r="H119" s="22" t="n">
        <v>51.6</v>
      </c>
      <c r="I119" s="22" t="n">
        <v>56.1</v>
      </c>
      <c r="J119" s="22" t="n">
        <v>11.9</v>
      </c>
      <c r="K119" s="23" t="n">
        <v>17.05</v>
      </c>
      <c r="L119" s="23" t="n">
        <v>17</v>
      </c>
      <c r="M119" s="23" t="n">
        <v>28</v>
      </c>
      <c r="N119" s="23" t="n">
        <v>17</v>
      </c>
      <c r="O119" s="23" t="n">
        <v>23.8</v>
      </c>
      <c r="P119" s="23" t="n">
        <v>23.75</v>
      </c>
      <c r="Q119" s="8">
        <f>K119*G119</f>
        <v/>
      </c>
      <c r="R119" s="24">
        <f>(M119-K119)*G119</f>
        <v/>
      </c>
      <c r="S119" s="25">
        <f>(M119/K119-1)*100</f>
        <v/>
      </c>
      <c r="T119" s="26">
        <f>(N119-K119)*G119</f>
        <v/>
      </c>
      <c r="U119" s="27">
        <f>(N119/K119-1)*100</f>
        <v/>
      </c>
      <c r="V119" s="11">
        <f>(P119-K119)*G119</f>
        <v/>
      </c>
      <c r="W119" s="11" t="n">
        <v>2604.25</v>
      </c>
      <c r="X119" s="10">
        <f>W119/Q119*100</f>
        <v/>
      </c>
      <c r="Y119" s="12" t="n">
        <v>2.945</v>
      </c>
      <c r="Z119" s="14" t="inlineStr">
        <is>
          <t>2025_H2</t>
        </is>
      </c>
    </row>
    <row r="120">
      <c r="A120" s="14" t="inlineStr">
        <is>
          <t>2025-08-07</t>
        </is>
      </c>
      <c r="B120" s="7" t="inlineStr">
        <is>
          <t>BAJAJ-AUTO</t>
        </is>
      </c>
      <c r="C120" s="14" t="inlineStr">
        <is>
          <t>PE</t>
        </is>
      </c>
      <c r="D120" s="14" t="inlineStr">
        <is>
          <t>large</t>
        </is>
      </c>
      <c r="E120" s="21" t="n">
        <v>8000</v>
      </c>
      <c r="F120" s="14" t="inlineStr">
        <is>
          <t>2025-08-28</t>
        </is>
      </c>
      <c r="G120" s="8" t="n">
        <v>75</v>
      </c>
      <c r="H120" s="22" t="n">
        <v>13.8</v>
      </c>
      <c r="I120" s="22" t="n">
        <v>22.7</v>
      </c>
      <c r="J120" s="22" t="n">
        <v>10.1</v>
      </c>
      <c r="K120" s="23" t="n">
        <v>105.4</v>
      </c>
      <c r="L120" s="23" t="n">
        <v>105.35</v>
      </c>
      <c r="M120" s="23" t="n">
        <v>227.85</v>
      </c>
      <c r="N120" s="23" t="n">
        <v>63</v>
      </c>
      <c r="O120" s="23" t="n">
        <v>68.84999999999999</v>
      </c>
      <c r="P120" s="23" t="n">
        <v>68.8</v>
      </c>
      <c r="Q120" s="8">
        <f>K120*G120</f>
        <v/>
      </c>
      <c r="R120" s="24">
        <f>(M120-K120)*G120</f>
        <v/>
      </c>
      <c r="S120" s="25">
        <f>(M120/K120-1)*100</f>
        <v/>
      </c>
      <c r="T120" s="26">
        <f>(N120-K120)*G120</f>
        <v/>
      </c>
      <c r="U120" s="27">
        <f>(N120/K120-1)*100</f>
        <v/>
      </c>
      <c r="V120" s="11">
        <f>(P120-K120)*G120</f>
        <v/>
      </c>
      <c r="W120" s="11" t="n">
        <v>-2936.33</v>
      </c>
      <c r="X120" s="10">
        <f>W120/Q120*100</f>
        <v/>
      </c>
      <c r="Y120" s="12" t="n">
        <v>-1.97</v>
      </c>
      <c r="Z120" s="14" t="inlineStr">
        <is>
          <t>2025_H2</t>
        </is>
      </c>
    </row>
    <row r="121">
      <c r="A121" s="14" t="inlineStr">
        <is>
          <t>2025-08-07</t>
        </is>
      </c>
      <c r="B121" s="7" t="inlineStr">
        <is>
          <t>BLUESTARCO</t>
        </is>
      </c>
      <c r="C121" s="14" t="inlineStr">
        <is>
          <t>CE</t>
        </is>
      </c>
      <c r="D121" s="14" t="inlineStr">
        <is>
          <t>mid</t>
        </is>
      </c>
      <c r="E121" s="21" t="n">
        <v>1860</v>
      </c>
      <c r="F121" s="14" t="inlineStr">
        <is>
          <t>2025-08-28</t>
        </is>
      </c>
      <c r="G121" s="8" t="n">
        <v>325</v>
      </c>
      <c r="H121" s="22" t="n">
        <v>-28.4</v>
      </c>
      <c r="I121" s="22" t="n">
        <v>-37.7</v>
      </c>
      <c r="J121" s="22" t="n">
        <v>4.1</v>
      </c>
      <c r="K121" s="23" t="n">
        <v>20.4</v>
      </c>
      <c r="L121" s="23" t="n">
        <v>20.35</v>
      </c>
      <c r="M121" s="23" t="n">
        <v>46.65</v>
      </c>
      <c r="N121" s="23" t="n">
        <v>16.5</v>
      </c>
      <c r="O121" s="23" t="n">
        <v>41.05</v>
      </c>
      <c r="P121" s="23" t="n">
        <v>41</v>
      </c>
      <c r="Q121" s="8">
        <f>K121*G121</f>
        <v/>
      </c>
      <c r="R121" s="24">
        <f>(M121-K121)*G121</f>
        <v/>
      </c>
      <c r="S121" s="25">
        <f>(M121/K121-1)*100</f>
        <v/>
      </c>
      <c r="T121" s="26">
        <f>(N121-K121)*G121</f>
        <v/>
      </c>
      <c r="U121" s="27">
        <f>(N121/K121-1)*100</f>
        <v/>
      </c>
      <c r="V121" s="11">
        <f>(P121-K121)*G121</f>
        <v/>
      </c>
      <c r="W121" s="11" t="n">
        <v>6220.12</v>
      </c>
      <c r="X121" s="10">
        <f>W121/Q121*100</f>
        <v/>
      </c>
      <c r="Y121" s="12" t="n">
        <v>5.319</v>
      </c>
      <c r="Z121" s="14" t="inlineStr">
        <is>
          <t>2025_H2</t>
        </is>
      </c>
    </row>
    <row r="122">
      <c r="A122" s="14" t="inlineStr">
        <is>
          <t>2025-08-07</t>
        </is>
      </c>
      <c r="B122" s="7" t="inlineStr">
        <is>
          <t>FORTIS</t>
        </is>
      </c>
      <c r="C122" s="14" t="inlineStr">
        <is>
          <t>PE</t>
        </is>
      </c>
      <c r="D122" s="14" t="inlineStr">
        <is>
          <t>mid</t>
        </is>
      </c>
      <c r="E122" s="21" t="n">
        <v>830</v>
      </c>
      <c r="F122" s="14" t="inlineStr">
        <is>
          <t>2025-08-28</t>
        </is>
      </c>
      <c r="G122" s="8" t="n">
        <v>775</v>
      </c>
      <c r="H122" s="22" t="n">
        <v>53.3</v>
      </c>
      <c r="I122" s="22" t="n">
        <v>41.9</v>
      </c>
      <c r="J122" s="22" t="n">
        <v>16.6</v>
      </c>
      <c r="K122" s="23" t="n">
        <v>7.95</v>
      </c>
      <c r="L122" s="23" t="n">
        <v>7.9</v>
      </c>
      <c r="M122" s="23" t="n">
        <v>8.199999999999999</v>
      </c>
      <c r="N122" s="23" t="n">
        <v>4.8</v>
      </c>
      <c r="O122" s="23" t="n">
        <v>6.15</v>
      </c>
      <c r="P122" s="23" t="n">
        <v>6.1</v>
      </c>
      <c r="Q122" s="8">
        <f>K122*G122</f>
        <v/>
      </c>
      <c r="R122" s="24">
        <f>(M122-K122)*G122</f>
        <v/>
      </c>
      <c r="S122" s="25">
        <f>(M122/K122-1)*100</f>
        <v/>
      </c>
      <c r="T122" s="26">
        <f>(N122-K122)*G122</f>
        <v/>
      </c>
      <c r="U122" s="27">
        <f>(N122/K122-1)*100</f>
        <v/>
      </c>
      <c r="V122" s="11">
        <f>(P122-K122)*G122</f>
        <v/>
      </c>
      <c r="W122" s="11" t="n">
        <v>-1710.58</v>
      </c>
      <c r="X122" s="10">
        <f>W122/Q122*100</f>
        <v/>
      </c>
      <c r="Y122" s="12" t="n">
        <v>0.113</v>
      </c>
      <c r="Z122" s="14" t="inlineStr">
        <is>
          <t>2025_H2</t>
        </is>
      </c>
    </row>
    <row r="123">
      <c r="A123" s="14" t="inlineStr">
        <is>
          <t>2025-08-07</t>
        </is>
      </c>
      <c r="B123" s="7" t="inlineStr">
        <is>
          <t>PIDILITIND</t>
        </is>
      </c>
      <c r="C123" s="14" t="inlineStr">
        <is>
          <t>PE</t>
        </is>
      </c>
      <c r="D123" s="14" t="inlineStr">
        <is>
          <t>large</t>
        </is>
      </c>
      <c r="E123" s="21" t="n">
        <v>2960</v>
      </c>
      <c r="F123" s="14" t="inlineStr">
        <is>
          <t>2025-08-28</t>
        </is>
      </c>
      <c r="G123" s="8" t="n">
        <v>250</v>
      </c>
      <c r="H123" s="22" t="n">
        <v>18.7</v>
      </c>
      <c r="I123" s="22" t="n">
        <v>58.6</v>
      </c>
      <c r="J123" s="22" t="n">
        <v>10.5</v>
      </c>
      <c r="K123" s="23" t="n">
        <v>30.05</v>
      </c>
      <c r="L123" s="23" t="n">
        <v>30</v>
      </c>
      <c r="M123" s="23" t="n">
        <v>30.25</v>
      </c>
      <c r="N123" s="23" t="n">
        <v>11.8</v>
      </c>
      <c r="O123" s="23" t="n">
        <v>21.85</v>
      </c>
      <c r="P123" s="23" t="n">
        <v>21.8</v>
      </c>
      <c r="Q123" s="8">
        <f>K123*G123</f>
        <v/>
      </c>
      <c r="R123" s="24">
        <f>(M123-K123)*G123</f>
        <v/>
      </c>
      <c r="S123" s="25">
        <f>(M123/K123-1)*100</f>
        <v/>
      </c>
      <c r="T123" s="26">
        <f>(N123-K123)*G123</f>
        <v/>
      </c>
      <c r="U123" s="27">
        <f>(N123/K123-1)*100</f>
        <v/>
      </c>
      <c r="V123" s="11">
        <f>(P123-K123)*G123</f>
        <v/>
      </c>
      <c r="W123" s="11" t="n">
        <v>-2253.2</v>
      </c>
      <c r="X123" s="10">
        <f>W123/Q123*100</f>
        <v/>
      </c>
      <c r="Y123" s="12" t="n">
        <v>0.203</v>
      </c>
      <c r="Z123" s="14" t="inlineStr">
        <is>
          <t>2025_H2</t>
        </is>
      </c>
    </row>
    <row r="124">
      <c r="A124" s="14" t="inlineStr">
        <is>
          <t>2025-08-08</t>
        </is>
      </c>
      <c r="B124" s="7" t="inlineStr">
        <is>
          <t>BIOCON</t>
        </is>
      </c>
      <c r="C124" s="14" t="inlineStr">
        <is>
          <t>CE</t>
        </is>
      </c>
      <c r="D124" s="14" t="inlineStr">
        <is>
          <t>mid</t>
        </is>
      </c>
      <c r="E124" s="21" t="n">
        <v>380</v>
      </c>
      <c r="F124" s="14" t="inlineStr">
        <is>
          <t>2025-08-28</t>
        </is>
      </c>
      <c r="G124" s="8" t="n">
        <v>2500</v>
      </c>
      <c r="H124" s="22" t="n">
        <v>-89.59999999999999</v>
      </c>
      <c r="I124" s="22" t="n">
        <v>-80.59999999999999</v>
      </c>
      <c r="J124" s="22" t="n">
        <v>14.8</v>
      </c>
      <c r="K124" s="23" t="n">
        <v>2.1</v>
      </c>
      <c r="L124" s="23" t="n">
        <v>2.05</v>
      </c>
      <c r="M124" s="23" t="n">
        <v>5.75</v>
      </c>
      <c r="N124" s="23" t="n">
        <v>1.6</v>
      </c>
      <c r="O124" s="23" t="n">
        <v>1.7</v>
      </c>
      <c r="P124" s="23" t="n">
        <v>1.65</v>
      </c>
      <c r="Q124" s="8">
        <f>K124*G124</f>
        <v/>
      </c>
      <c r="R124" s="24">
        <f>(M124-K124)*G124</f>
        <v/>
      </c>
      <c r="S124" s="25">
        <f>(M124/K124-1)*100</f>
        <v/>
      </c>
      <c r="T124" s="26">
        <f>(N124-K124)*G124</f>
        <v/>
      </c>
      <c r="U124" s="27">
        <f>(N124/K124-1)*100</f>
        <v/>
      </c>
      <c r="V124" s="11">
        <f>(P124-K124)*G124</f>
        <v/>
      </c>
      <c r="W124" s="11" t="n">
        <v>-1370</v>
      </c>
      <c r="X124" s="10">
        <f>W124/Q124*100</f>
        <v/>
      </c>
      <c r="Y124" s="12" t="n">
        <v>-4.346</v>
      </c>
      <c r="Z124" s="14" t="inlineStr">
        <is>
          <t>2025_H2</t>
        </is>
      </c>
    </row>
    <row r="125">
      <c r="A125" s="14" t="inlineStr">
        <is>
          <t>2025-08-08</t>
        </is>
      </c>
      <c r="B125" s="7" t="inlineStr">
        <is>
          <t>BSE</t>
        </is>
      </c>
      <c r="C125" s="14" t="inlineStr">
        <is>
          <t>PE</t>
        </is>
      </c>
      <c r="D125" s="14" t="inlineStr">
        <is>
          <t>mid</t>
        </is>
      </c>
      <c r="E125" s="21" t="n">
        <v>2200</v>
      </c>
      <c r="F125" s="14" t="inlineStr">
        <is>
          <t>2025-08-28</t>
        </is>
      </c>
      <c r="G125" s="8" t="n">
        <v>375</v>
      </c>
      <c r="H125" s="22" t="n">
        <v>103.6</v>
      </c>
      <c r="I125" s="22" t="n">
        <v>9</v>
      </c>
      <c r="J125" s="22" t="n">
        <v>57.7</v>
      </c>
      <c r="K125" s="23" t="n">
        <v>19.5</v>
      </c>
      <c r="L125" s="23" t="n">
        <v>19.45</v>
      </c>
      <c r="M125" s="23" t="n">
        <v>40</v>
      </c>
      <c r="N125" s="23" t="n">
        <v>17.85</v>
      </c>
      <c r="O125" s="23" t="n">
        <v>37.35</v>
      </c>
      <c r="P125" s="23" t="n">
        <v>37.3</v>
      </c>
      <c r="Q125" s="8">
        <f>K125*G125</f>
        <v/>
      </c>
      <c r="R125" s="24">
        <f>(M125-K125)*G125</f>
        <v/>
      </c>
      <c r="S125" s="25">
        <f>(M125/K125-1)*100</f>
        <v/>
      </c>
      <c r="T125" s="26">
        <f>(N125-K125)*G125</f>
        <v/>
      </c>
      <c r="U125" s="27">
        <f>(N125/K125-1)*100</f>
        <v/>
      </c>
      <c r="V125" s="11">
        <f>(P125-K125)*G125</f>
        <v/>
      </c>
      <c r="W125" s="11" t="n">
        <v>6171.64</v>
      </c>
      <c r="X125" s="10">
        <f>W125/Q125*100</f>
        <v/>
      </c>
      <c r="Y125" s="12" t="n">
        <v>4.284</v>
      </c>
      <c r="Z125" s="14" t="inlineStr">
        <is>
          <t>2025_H2</t>
        </is>
      </c>
    </row>
    <row r="126">
      <c r="A126" s="14" t="inlineStr">
        <is>
          <t>2025-08-08</t>
        </is>
      </c>
      <c r="B126" s="7" t="inlineStr">
        <is>
          <t>PAGEIND</t>
        </is>
      </c>
      <c r="C126" s="14" t="inlineStr">
        <is>
          <t>PE</t>
        </is>
      </c>
      <c r="D126" s="14" t="inlineStr">
        <is>
          <t>mid</t>
        </is>
      </c>
      <c r="E126" s="21" t="n">
        <v>43000</v>
      </c>
      <c r="F126" s="14" t="inlineStr">
        <is>
          <t>2025-08-28</t>
        </is>
      </c>
      <c r="G126" s="8" t="n">
        <v>15</v>
      </c>
      <c r="H126" s="22" t="n">
        <v>21.5</v>
      </c>
      <c r="I126" s="22" t="n">
        <v>22.4</v>
      </c>
      <c r="J126" s="22" t="n">
        <v>3.1</v>
      </c>
      <c r="K126" s="23" t="n">
        <v>370</v>
      </c>
      <c r="L126" s="23" t="n">
        <v>369.95</v>
      </c>
      <c r="M126" s="23" t="n">
        <v>850</v>
      </c>
      <c r="N126" s="23" t="n">
        <v>297.7</v>
      </c>
      <c r="O126" s="23" t="n">
        <v>443.35</v>
      </c>
      <c r="P126" s="23" t="n">
        <v>443.3</v>
      </c>
      <c r="Q126" s="8">
        <f>K126*G126</f>
        <v/>
      </c>
      <c r="R126" s="24">
        <f>(M126-K126)*G126</f>
        <v/>
      </c>
      <c r="S126" s="25">
        <f>(M126/K126-1)*100</f>
        <v/>
      </c>
      <c r="T126" s="26">
        <f>(N126-K126)*G126</f>
        <v/>
      </c>
      <c r="U126" s="27">
        <f>(N126/K126-1)*100</f>
        <v/>
      </c>
      <c r="V126" s="11">
        <f>(P126-K126)*G126</f>
        <v/>
      </c>
      <c r="W126" s="11" t="n">
        <v>793.03</v>
      </c>
      <c r="X126" s="10">
        <f>W126/Q126*100</f>
        <v/>
      </c>
      <c r="Y126" s="12" t="n">
        <v>1.385</v>
      </c>
      <c r="Z126" s="14" t="inlineStr">
        <is>
          <t>2025_H2</t>
        </is>
      </c>
    </row>
    <row r="127">
      <c r="A127" s="14" t="inlineStr">
        <is>
          <t>2025-08-08</t>
        </is>
      </c>
      <c r="B127" s="7" t="inlineStr">
        <is>
          <t>TITAN</t>
        </is>
      </c>
      <c r="C127" s="14" t="inlineStr">
        <is>
          <t>PE</t>
        </is>
      </c>
      <c r="D127" s="14" t="inlineStr">
        <is>
          <t>large</t>
        </is>
      </c>
      <c r="E127" s="21" t="n">
        <v>3350</v>
      </c>
      <c r="F127" s="14" t="inlineStr">
        <is>
          <t>2025-08-28</t>
        </is>
      </c>
      <c r="G127" s="8" t="n">
        <v>175</v>
      </c>
      <c r="H127" s="22" t="n">
        <v>52.4</v>
      </c>
      <c r="I127" s="22" t="n">
        <v>25.3</v>
      </c>
      <c r="J127" s="22" t="n">
        <v>24.6</v>
      </c>
      <c r="K127" s="23" t="n">
        <v>34.45</v>
      </c>
      <c r="L127" s="23" t="n">
        <v>34.4</v>
      </c>
      <c r="M127" s="23" t="n">
        <v>46.95</v>
      </c>
      <c r="N127" s="23" t="n">
        <v>15.75</v>
      </c>
      <c r="O127" s="23" t="n">
        <v>19.25</v>
      </c>
      <c r="P127" s="23" t="n">
        <v>19.2</v>
      </c>
      <c r="Q127" s="8">
        <f>K127*G127</f>
        <v/>
      </c>
      <c r="R127" s="24">
        <f>(M127-K127)*G127</f>
        <v/>
      </c>
      <c r="S127" s="25">
        <f>(M127/K127-1)*100</f>
        <v/>
      </c>
      <c r="T127" s="26">
        <f>(N127-K127)*G127</f>
        <v/>
      </c>
      <c r="U127" s="27">
        <f>(N127/K127-1)*100</f>
        <v/>
      </c>
      <c r="V127" s="11">
        <f>(P127-K127)*G127</f>
        <v/>
      </c>
      <c r="W127" s="11" t="n">
        <v>-2819.01</v>
      </c>
      <c r="X127" s="10">
        <f>W127/Q127*100</f>
        <v/>
      </c>
      <c r="Y127" s="12" t="n">
        <v>-0.293</v>
      </c>
      <c r="Z127" s="14" t="inlineStr">
        <is>
          <t>2025_H2</t>
        </is>
      </c>
    </row>
    <row r="128">
      <c r="A128" s="14" t="inlineStr">
        <is>
          <t>2025-08-11</t>
        </is>
      </c>
      <c r="B128" s="7" t="inlineStr">
        <is>
          <t>PGEL</t>
        </is>
      </c>
      <c r="C128" s="14" t="inlineStr">
        <is>
          <t>CE</t>
        </is>
      </c>
      <c r="D128" s="14" t="inlineStr">
        <is>
          <t>small</t>
        </is>
      </c>
      <c r="E128" s="21" t="n">
        <v>600</v>
      </c>
      <c r="F128" s="14" t="inlineStr">
        <is>
          <t>2025-08-28</t>
        </is>
      </c>
      <c r="G128" s="8" t="n">
        <v>700</v>
      </c>
      <c r="H128" s="22" t="n">
        <v>-20</v>
      </c>
      <c r="I128" s="22" t="n">
        <v>-53.9</v>
      </c>
      <c r="J128" s="22" t="n">
        <v>13.9</v>
      </c>
      <c r="K128" s="23" t="n">
        <v>10.45</v>
      </c>
      <c r="L128" s="23" t="n">
        <v>10.4</v>
      </c>
      <c r="M128" s="23" t="n">
        <v>16</v>
      </c>
      <c r="N128" s="23" t="n">
        <v>3.3</v>
      </c>
      <c r="O128" s="23" t="n">
        <v>4.15</v>
      </c>
      <c r="P128" s="23" t="n">
        <v>4.1</v>
      </c>
      <c r="Q128" s="8">
        <f>K128*G128</f>
        <v/>
      </c>
      <c r="R128" s="24">
        <f>(M128-K128)*G128</f>
        <v/>
      </c>
      <c r="S128" s="25">
        <f>(M128/K128-1)*100</f>
        <v/>
      </c>
      <c r="T128" s="26">
        <f>(N128-K128)*G128</f>
        <v/>
      </c>
      <c r="U128" s="27">
        <f>(N128/K128-1)*100</f>
        <v/>
      </c>
      <c r="V128" s="11">
        <f>(P128-K128)*G128</f>
        <v/>
      </c>
      <c r="W128" s="11" t="n">
        <v>-4806.55</v>
      </c>
      <c r="X128" s="10">
        <f>W128/Q128*100</f>
        <v/>
      </c>
      <c r="Y128" s="12" t="n">
        <v>-9.538</v>
      </c>
      <c r="Z128" s="14" t="inlineStr">
        <is>
          <t>2025_H2</t>
        </is>
      </c>
    </row>
    <row r="129">
      <c r="A129" s="14" t="inlineStr">
        <is>
          <t>2025-08-11</t>
        </is>
      </c>
      <c r="B129" s="7" t="inlineStr">
        <is>
          <t>SIEMENS</t>
        </is>
      </c>
      <c r="C129" s="14" t="inlineStr">
        <is>
          <t>CE</t>
        </is>
      </c>
      <c r="D129" s="14" t="inlineStr">
        <is>
          <t>large</t>
        </is>
      </c>
      <c r="E129" s="21" t="n">
        <v>3100</v>
      </c>
      <c r="F129" s="14" t="inlineStr">
        <is>
          <t>2025-08-28</t>
        </is>
      </c>
      <c r="G129" s="8" t="n">
        <v>125</v>
      </c>
      <c r="H129" s="22" t="n">
        <v>-26.8</v>
      </c>
      <c r="I129" s="22" t="n">
        <v>-27.3</v>
      </c>
      <c r="J129" s="22" t="n">
        <v>-16.5</v>
      </c>
      <c r="K129" s="23" t="n">
        <v>60.05</v>
      </c>
      <c r="L129" s="23" t="n">
        <v>60</v>
      </c>
      <c r="M129" s="23" t="n">
        <v>106</v>
      </c>
      <c r="N129" s="23" t="n">
        <v>26</v>
      </c>
      <c r="O129" s="23" t="n">
        <v>86.3</v>
      </c>
      <c r="P129" s="23" t="n">
        <v>86.25</v>
      </c>
      <c r="Q129" s="8">
        <f>K129*G129</f>
        <v/>
      </c>
      <c r="R129" s="24">
        <f>(M129-K129)*G129</f>
        <v/>
      </c>
      <c r="S129" s="25">
        <f>(M129/K129-1)*100</f>
        <v/>
      </c>
      <c r="T129" s="26">
        <f>(N129-K129)*G129</f>
        <v/>
      </c>
      <c r="U129" s="27">
        <f>(N129/K129-1)*100</f>
        <v/>
      </c>
      <c r="V129" s="11">
        <f>(P129-K129)*G129</f>
        <v/>
      </c>
      <c r="W129" s="11" t="n">
        <v>3020.84</v>
      </c>
      <c r="X129" s="10">
        <f>W129/Q129*100</f>
        <v/>
      </c>
      <c r="Y129" s="12" t="n">
        <v>3.139</v>
      </c>
      <c r="Z129" s="14" t="inlineStr">
        <is>
          <t>2025_H2</t>
        </is>
      </c>
    </row>
    <row r="130">
      <c r="A130" s="14" t="inlineStr">
        <is>
          <t>2025-08-11</t>
        </is>
      </c>
      <c r="B130" s="7" t="inlineStr">
        <is>
          <t>VOLTAS</t>
        </is>
      </c>
      <c r="C130" s="14" t="inlineStr">
        <is>
          <t>CE</t>
        </is>
      </c>
      <c r="D130" s="14" t="inlineStr">
        <is>
          <t>mid</t>
        </is>
      </c>
      <c r="E130" s="21" t="n">
        <v>1300</v>
      </c>
      <c r="F130" s="14" t="inlineStr">
        <is>
          <t>2025-08-28</t>
        </is>
      </c>
      <c r="G130" s="8" t="n">
        <v>375</v>
      </c>
      <c r="H130" s="22" t="n">
        <v>-58</v>
      </c>
      <c r="I130" s="22" t="n">
        <v>-40.3</v>
      </c>
      <c r="J130" s="22" t="n">
        <v>-20</v>
      </c>
      <c r="K130" s="23" t="n">
        <v>10.7</v>
      </c>
      <c r="L130" s="23" t="n">
        <v>10.65</v>
      </c>
      <c r="M130" s="23" t="n">
        <v>14</v>
      </c>
      <c r="N130" s="23" t="n">
        <v>6.25</v>
      </c>
      <c r="O130" s="23" t="n">
        <v>8</v>
      </c>
      <c r="P130" s="23" t="n">
        <v>7.95</v>
      </c>
      <c r="Q130" s="8">
        <f>K130*G130</f>
        <v/>
      </c>
      <c r="R130" s="24">
        <f>(M130-K130)*G130</f>
        <v/>
      </c>
      <c r="S130" s="25">
        <f>(M130/K130-1)*100</f>
        <v/>
      </c>
      <c r="T130" s="26">
        <f>(N130-K130)*G130</f>
        <v/>
      </c>
      <c r="U130" s="27">
        <f>(N130/K130-1)*100</f>
        <v/>
      </c>
      <c r="V130" s="11">
        <f>(P130-K130)*G130</f>
        <v/>
      </c>
      <c r="W130" s="11" t="n">
        <v>-1225.85</v>
      </c>
      <c r="X130" s="10">
        <f>W130/Q130*100</f>
        <v/>
      </c>
      <c r="Y130" s="12" t="n">
        <v>3.68</v>
      </c>
      <c r="Z130" s="14" t="inlineStr">
        <is>
          <t>2025_H2</t>
        </is>
      </c>
    </row>
    <row r="131">
      <c r="A131" s="14" t="inlineStr">
        <is>
          <t>2025-08-12</t>
        </is>
      </c>
      <c r="B131" s="7" t="inlineStr">
        <is>
          <t>ASTRAL</t>
        </is>
      </c>
      <c r="C131" s="14" t="inlineStr">
        <is>
          <t>CE</t>
        </is>
      </c>
      <c r="D131" s="14" t="inlineStr">
        <is>
          <t>mid</t>
        </is>
      </c>
      <c r="E131" s="21" t="n">
        <v>1380</v>
      </c>
      <c r="F131" s="14" t="inlineStr">
        <is>
          <t>2025-08-28</t>
        </is>
      </c>
      <c r="G131" s="8" t="n">
        <v>425</v>
      </c>
      <c r="H131" s="22" t="n">
        <v>-33.7</v>
      </c>
      <c r="I131" s="22" t="n">
        <v>-55.5</v>
      </c>
      <c r="J131" s="22" t="n">
        <v>-1.6</v>
      </c>
      <c r="K131" s="23" t="n">
        <v>8.050000000000001</v>
      </c>
      <c r="L131" s="23" t="n">
        <v>8</v>
      </c>
      <c r="M131" s="23" t="n">
        <v>26.45</v>
      </c>
      <c r="N131" s="23" t="n">
        <v>4.4</v>
      </c>
      <c r="O131" s="23" t="n">
        <v>4.85</v>
      </c>
      <c r="P131" s="23" t="n">
        <v>4.8</v>
      </c>
      <c r="Q131" s="8">
        <f>K131*G131</f>
        <v/>
      </c>
      <c r="R131" s="24">
        <f>(M131-K131)*G131</f>
        <v/>
      </c>
      <c r="S131" s="25">
        <f>(M131/K131-1)*100</f>
        <v/>
      </c>
      <c r="T131" s="26">
        <f>(N131-K131)*G131</f>
        <v/>
      </c>
      <c r="U131" s="27">
        <f>(N131/K131-1)*100</f>
        <v/>
      </c>
      <c r="V131" s="11">
        <f>(P131-K131)*G131</f>
        <v/>
      </c>
      <c r="W131" s="11" t="n">
        <v>-1543.13</v>
      </c>
      <c r="X131" s="10">
        <f>W131/Q131*100</f>
        <v/>
      </c>
      <c r="Y131" s="12" t="n">
        <v>-3.114</v>
      </c>
      <c r="Z131" s="14" t="inlineStr">
        <is>
          <t>2025_H2</t>
        </is>
      </c>
    </row>
    <row r="132">
      <c r="A132" s="14" t="inlineStr">
        <is>
          <t>2025-08-13</t>
        </is>
      </c>
      <c r="B132" s="7" t="inlineStr">
        <is>
          <t>ALKEM</t>
        </is>
      </c>
      <c r="C132" s="14" t="inlineStr">
        <is>
          <t>PE</t>
        </is>
      </c>
      <c r="D132" s="14" t="inlineStr">
        <is>
          <t>mid</t>
        </is>
      </c>
      <c r="E132" s="21" t="n">
        <v>5150</v>
      </c>
      <c r="F132" s="14" t="inlineStr">
        <is>
          <t>2025-08-28</t>
        </is>
      </c>
      <c r="G132" s="8" t="n">
        <v>125</v>
      </c>
      <c r="H132" s="22" t="n">
        <v>21.4</v>
      </c>
      <c r="I132" s="22" t="n">
        <v>107.2</v>
      </c>
      <c r="J132" s="22" t="n">
        <v>11.2</v>
      </c>
      <c r="K132" s="23" t="n">
        <v>59.6</v>
      </c>
      <c r="L132" s="23" t="n">
        <v>59.55</v>
      </c>
      <c r="M132" s="23" t="n">
        <v>75</v>
      </c>
      <c r="N132" s="23" t="n">
        <v>25</v>
      </c>
      <c r="O132" s="23" t="n">
        <v>29.9</v>
      </c>
      <c r="P132" s="23" t="n">
        <v>29.85</v>
      </c>
      <c r="Q132" s="8">
        <f>K132*G132</f>
        <v/>
      </c>
      <c r="R132" s="24">
        <f>(M132-K132)*G132</f>
        <v/>
      </c>
      <c r="S132" s="25">
        <f>(M132/K132-1)*100</f>
        <v/>
      </c>
      <c r="T132" s="26">
        <f>(N132-K132)*G132</f>
        <v/>
      </c>
      <c r="U132" s="27">
        <f>(N132/K132-1)*100</f>
        <v/>
      </c>
      <c r="V132" s="11">
        <f>(P132-K132)*G132</f>
        <v/>
      </c>
      <c r="W132" s="11" t="n">
        <v>-4000.11</v>
      </c>
      <c r="X132" s="10">
        <f>W132/Q132*100</f>
        <v/>
      </c>
      <c r="Y132" s="12" t="n">
        <v>-2.834</v>
      </c>
      <c r="Z132" s="14" t="inlineStr">
        <is>
          <t>2025_H2</t>
        </is>
      </c>
    </row>
    <row r="133">
      <c r="A133" s="14" t="inlineStr">
        <is>
          <t>2025-08-13</t>
        </is>
      </c>
      <c r="B133" s="7" t="inlineStr">
        <is>
          <t>APOLLOHOSP</t>
        </is>
      </c>
      <c r="C133" s="14" t="inlineStr">
        <is>
          <t>PE</t>
        </is>
      </c>
      <c r="D133" s="14" t="inlineStr">
        <is>
          <t>large</t>
        </is>
      </c>
      <c r="E133" s="21" t="n">
        <v>7150</v>
      </c>
      <c r="F133" s="14" t="inlineStr">
        <is>
          <t>2025-08-28</t>
        </is>
      </c>
      <c r="G133" s="8" t="n">
        <v>125</v>
      </c>
      <c r="H133" s="22" t="n">
        <v>39.8</v>
      </c>
      <c r="I133" s="22" t="n">
        <v>6.4</v>
      </c>
      <c r="J133" s="22" t="n">
        <v>14.9</v>
      </c>
      <c r="K133" s="23" t="n">
        <v>21.05</v>
      </c>
      <c r="L133" s="23" t="n">
        <v>21</v>
      </c>
      <c r="M133" s="23" t="n">
        <v>21</v>
      </c>
      <c r="N133" s="23" t="n">
        <v>10.4</v>
      </c>
      <c r="O133" s="23" t="n">
        <v>12.25</v>
      </c>
      <c r="P133" s="23" t="n">
        <v>12.2</v>
      </c>
      <c r="Q133" s="8">
        <f>K133*G133</f>
        <v/>
      </c>
      <c r="R133" s="24">
        <f>(M133-K133)*G133</f>
        <v/>
      </c>
      <c r="S133" s="25">
        <f>(M133/K133-1)*100</f>
        <v/>
      </c>
      <c r="T133" s="26">
        <f>(N133-K133)*G133</f>
        <v/>
      </c>
      <c r="U133" s="27">
        <f>(N133/K133-1)*100</f>
        <v/>
      </c>
      <c r="V133" s="11">
        <f>(P133-K133)*G133</f>
        <v/>
      </c>
      <c r="W133" s="11" t="n">
        <v>-1199.12</v>
      </c>
      <c r="X133" s="10">
        <f>W133/Q133*100</f>
        <v/>
      </c>
      <c r="Y133" s="12" t="n">
        <v>-5.478</v>
      </c>
      <c r="Z133" s="14" t="inlineStr">
        <is>
          <t>2025_H2</t>
        </is>
      </c>
    </row>
    <row r="134">
      <c r="A134" s="14" t="inlineStr">
        <is>
          <t>2025-08-13</t>
        </is>
      </c>
      <c r="B134" s="7" t="inlineStr">
        <is>
          <t>NYKAA</t>
        </is>
      </c>
      <c r="C134" s="14" t="inlineStr">
        <is>
          <t>PE</t>
        </is>
      </c>
      <c r="D134" s="14" t="inlineStr">
        <is>
          <t>mid</t>
        </is>
      </c>
      <c r="E134" s="21" t="n">
        <v>205</v>
      </c>
      <c r="F134" s="14" t="inlineStr">
        <is>
          <t>2025-08-28</t>
        </is>
      </c>
      <c r="G134" s="8" t="n">
        <v>3125</v>
      </c>
      <c r="H134" s="22" t="n">
        <v>79.40000000000001</v>
      </c>
      <c r="I134" s="22" t="n">
        <v>28.5</v>
      </c>
      <c r="J134" s="22" t="n">
        <v>23.4</v>
      </c>
      <c r="K134" s="23" t="n">
        <v>2.35</v>
      </c>
      <c r="L134" s="23" t="n">
        <v>2.3</v>
      </c>
      <c r="M134" s="23" t="n">
        <v>3.7</v>
      </c>
      <c r="N134" s="23" t="n">
        <v>1.3</v>
      </c>
      <c r="O134" s="23" t="n">
        <v>2.1</v>
      </c>
      <c r="P134" s="23" t="n">
        <v>2.05</v>
      </c>
      <c r="Q134" s="8">
        <f>K134*G134</f>
        <v/>
      </c>
      <c r="R134" s="24">
        <f>(M134-K134)*G134</f>
        <v/>
      </c>
      <c r="S134" s="25">
        <f>(M134/K134-1)*100</f>
        <v/>
      </c>
      <c r="T134" s="26">
        <f>(N134-K134)*G134</f>
        <v/>
      </c>
      <c r="U134" s="27">
        <f>(N134/K134-1)*100</f>
        <v/>
      </c>
      <c r="V134" s="11">
        <f>(P134-K134)*G134</f>
        <v/>
      </c>
      <c r="W134" s="11" t="n">
        <v>-1275.32</v>
      </c>
      <c r="X134" s="10">
        <f>W134/Q134*100</f>
        <v/>
      </c>
      <c r="Y134" s="12" t="n">
        <v>-0.019</v>
      </c>
      <c r="Z134" s="14" t="inlineStr">
        <is>
          <t>2025_H2</t>
        </is>
      </c>
    </row>
    <row r="135">
      <c r="A135" s="14" t="inlineStr">
        <is>
          <t>2025-08-13</t>
        </is>
      </c>
      <c r="B135" s="7" t="inlineStr">
        <is>
          <t>RVNL</t>
        </is>
      </c>
      <c r="C135" s="14" t="inlineStr">
        <is>
          <t>CE</t>
        </is>
      </c>
      <c r="D135" s="14" t="inlineStr">
        <is>
          <t>mid</t>
        </is>
      </c>
      <c r="E135" s="21" t="n">
        <v>350</v>
      </c>
      <c r="F135" s="14" t="inlineStr">
        <is>
          <t>2025-08-28</t>
        </is>
      </c>
      <c r="G135" s="8" t="n">
        <v>1375</v>
      </c>
      <c r="H135" s="22" t="n">
        <v>-40</v>
      </c>
      <c r="I135" s="22" t="n">
        <v>-70.7</v>
      </c>
      <c r="J135" s="22" t="n">
        <v>-4.1</v>
      </c>
      <c r="K135" s="23" t="n">
        <v>3.8</v>
      </c>
      <c r="L135" s="23" t="n">
        <v>3.75</v>
      </c>
      <c r="M135" s="23" t="n">
        <v>4.55</v>
      </c>
      <c r="N135" s="23" t="n">
        <v>1.75</v>
      </c>
      <c r="O135" s="23" t="n">
        <v>2.5</v>
      </c>
      <c r="P135" s="23" t="n">
        <v>2.45</v>
      </c>
      <c r="Q135" s="8">
        <f>K135*G135</f>
        <v/>
      </c>
      <c r="R135" s="24">
        <f>(M135-K135)*G135</f>
        <v/>
      </c>
      <c r="S135" s="25">
        <f>(M135/K135-1)*100</f>
        <v/>
      </c>
      <c r="T135" s="26">
        <f>(N135-K135)*G135</f>
        <v/>
      </c>
      <c r="U135" s="27">
        <f>(N135/K135-1)*100</f>
        <v/>
      </c>
      <c r="V135" s="11">
        <f>(P135-K135)*G135</f>
        <v/>
      </c>
      <c r="W135" s="11" t="n">
        <v>-2084.16</v>
      </c>
      <c r="X135" s="10">
        <f>W135/Q135*100</f>
        <v/>
      </c>
      <c r="Y135" s="12" t="n">
        <v>0.975</v>
      </c>
      <c r="Z135" s="14" t="inlineStr">
        <is>
          <t>2025_H2</t>
        </is>
      </c>
    </row>
    <row r="136">
      <c r="A136" s="14" t="inlineStr">
        <is>
          <t>2025-08-14</t>
        </is>
      </c>
      <c r="B136" s="7" t="inlineStr">
        <is>
          <t>BPCL</t>
        </is>
      </c>
      <c r="C136" s="14" t="inlineStr">
        <is>
          <t>PE</t>
        </is>
      </c>
      <c r="D136" s="14" t="inlineStr">
        <is>
          <t>large</t>
        </is>
      </c>
      <c r="E136" s="21" t="n">
        <v>320</v>
      </c>
      <c r="F136" s="14" t="inlineStr">
        <is>
          <t>2025-08-28</t>
        </is>
      </c>
      <c r="G136" s="8" t="n">
        <v>1975</v>
      </c>
      <c r="H136" s="22" t="n">
        <v>140.7</v>
      </c>
      <c r="I136" s="22" t="n">
        <v>55.7</v>
      </c>
      <c r="J136" s="22" t="n">
        <v>1.2</v>
      </c>
      <c r="K136" s="23" t="n">
        <v>3.05</v>
      </c>
      <c r="L136" s="23" t="n">
        <v>3</v>
      </c>
      <c r="M136" s="23" t="n">
        <v>7.55</v>
      </c>
      <c r="N136" s="23" t="n">
        <v>2.7</v>
      </c>
      <c r="O136" s="23" t="n">
        <v>7.15</v>
      </c>
      <c r="P136" s="23" t="n">
        <v>7.1</v>
      </c>
      <c r="Q136" s="8">
        <f>K136*G136</f>
        <v/>
      </c>
      <c r="R136" s="24">
        <f>(M136-K136)*G136</f>
        <v/>
      </c>
      <c r="S136" s="25">
        <f>(M136/K136-1)*100</f>
        <v/>
      </c>
      <c r="T136" s="26">
        <f>(N136-K136)*G136</f>
        <v/>
      </c>
      <c r="U136" s="27">
        <f>(N136/K136-1)*100</f>
        <v/>
      </c>
      <c r="V136" s="11">
        <f>(P136-K136)*G136</f>
        <v/>
      </c>
      <c r="W136" s="11" t="n">
        <v>7721.45</v>
      </c>
      <c r="X136" s="10">
        <f>W136/Q136*100</f>
        <v/>
      </c>
      <c r="Y136" s="12" t="n">
        <v>2.737</v>
      </c>
      <c r="Z136" s="14" t="inlineStr">
        <is>
          <t>2025_H2</t>
        </is>
      </c>
    </row>
    <row r="137">
      <c r="A137" s="14" t="inlineStr">
        <is>
          <t>2025-08-14</t>
        </is>
      </c>
      <c r="B137" s="7" t="inlineStr">
        <is>
          <t>JUBLFOOD</t>
        </is>
      </c>
      <c r="C137" s="14" t="inlineStr">
        <is>
          <t>PE</t>
        </is>
      </c>
      <c r="D137" s="14" t="inlineStr">
        <is>
          <t>mid</t>
        </is>
      </c>
      <c r="E137" s="21" t="n">
        <v>620</v>
      </c>
      <c r="F137" s="14" t="inlineStr">
        <is>
          <t>2025-08-28</t>
        </is>
      </c>
      <c r="G137" s="8" t="n">
        <v>1250</v>
      </c>
      <c r="H137" s="22" t="n">
        <v>62.6</v>
      </c>
      <c r="I137" s="22" t="n">
        <v>91.2</v>
      </c>
      <c r="J137" s="22" t="n">
        <v>17</v>
      </c>
      <c r="K137" s="23" t="n">
        <v>4.05</v>
      </c>
      <c r="L137" s="23" t="n">
        <v>4</v>
      </c>
      <c r="M137" s="23" t="n">
        <v>9</v>
      </c>
      <c r="N137" s="23" t="n">
        <v>2.45</v>
      </c>
      <c r="O137" s="23" t="n">
        <v>7.85</v>
      </c>
      <c r="P137" s="23" t="n">
        <v>7.8</v>
      </c>
      <c r="Q137" s="8">
        <f>K137*G137</f>
        <v/>
      </c>
      <c r="R137" s="24">
        <f>(M137-K137)*G137</f>
        <v/>
      </c>
      <c r="S137" s="25">
        <f>(M137/K137-1)*100</f>
        <v/>
      </c>
      <c r="T137" s="26">
        <f>(N137-K137)*G137</f>
        <v/>
      </c>
      <c r="U137" s="27">
        <f>(N137/K137-1)*100</f>
        <v/>
      </c>
      <c r="V137" s="11">
        <f>(P137-K137)*G137</f>
        <v/>
      </c>
      <c r="W137" s="11" t="n">
        <v>4323.05</v>
      </c>
      <c r="X137" s="10">
        <f>W137/Q137*100</f>
        <v/>
      </c>
      <c r="Y137" s="12" t="n">
        <v>3.865</v>
      </c>
      <c r="Z137" s="14" t="inlineStr">
        <is>
          <t>2025_H2</t>
        </is>
      </c>
    </row>
    <row r="138">
      <c r="A138" s="14" t="inlineStr">
        <is>
          <t>2025-08-14</t>
        </is>
      </c>
      <c r="B138" s="7" t="inlineStr">
        <is>
          <t>MUTHOOTFIN</t>
        </is>
      </c>
      <c r="C138" s="14" t="inlineStr">
        <is>
          <t>PE</t>
        </is>
      </c>
      <c r="D138" s="14" t="inlineStr">
        <is>
          <t>mid</t>
        </is>
      </c>
      <c r="E138" s="21" t="n">
        <v>2500</v>
      </c>
      <c r="F138" s="14" t="inlineStr">
        <is>
          <t>2025-08-28</t>
        </is>
      </c>
      <c r="G138" s="8" t="n">
        <v>275</v>
      </c>
      <c r="H138" s="22" t="n">
        <v>65.09999999999999</v>
      </c>
      <c r="I138" s="22" t="n">
        <v>36.7</v>
      </c>
      <c r="J138" s="22" t="n">
        <v>44.2</v>
      </c>
      <c r="K138" s="23" t="n">
        <v>19</v>
      </c>
      <c r="L138" s="23" t="n">
        <v>18.95</v>
      </c>
      <c r="M138" s="23" t="n">
        <v>24.6</v>
      </c>
      <c r="N138" s="23" t="n">
        <v>7.4</v>
      </c>
      <c r="O138" s="23" t="n">
        <v>8.949999999999999</v>
      </c>
      <c r="P138" s="23" t="n">
        <v>8.9</v>
      </c>
      <c r="Q138" s="8">
        <f>K138*G138</f>
        <v/>
      </c>
      <c r="R138" s="24">
        <f>(M138-K138)*G138</f>
        <v/>
      </c>
      <c r="S138" s="25">
        <f>(M138/K138-1)*100</f>
        <v/>
      </c>
      <c r="T138" s="26">
        <f>(N138-K138)*G138</f>
        <v/>
      </c>
      <c r="U138" s="27">
        <f>(N138/K138-1)*100</f>
        <v/>
      </c>
      <c r="V138" s="11">
        <f>(P138-K138)*G138</f>
        <v/>
      </c>
      <c r="W138" s="11" t="n">
        <v>-2985.22</v>
      </c>
      <c r="X138" s="10">
        <f>W138/Q138*100</f>
        <v/>
      </c>
      <c r="Y138" s="12" t="n">
        <v>-1.004</v>
      </c>
      <c r="Z138" s="14" t="inlineStr">
        <is>
          <t>2025_H2</t>
        </is>
      </c>
    </row>
    <row r="139">
      <c r="A139" s="14" t="inlineStr">
        <is>
          <t>2025-08-14</t>
        </is>
      </c>
      <c r="B139" s="7" t="inlineStr">
        <is>
          <t>UNITDSPR</t>
        </is>
      </c>
      <c r="C139" s="14" t="inlineStr">
        <is>
          <t>CE</t>
        </is>
      </c>
      <c r="D139" s="14" t="inlineStr">
        <is>
          <t>large</t>
        </is>
      </c>
      <c r="E139" s="21" t="n">
        <v>1340</v>
      </c>
      <c r="F139" s="14" t="inlineStr">
        <is>
          <t>2025-08-28</t>
        </is>
      </c>
      <c r="G139" s="8" t="n">
        <v>400</v>
      </c>
      <c r="H139" s="22" t="n">
        <v>-14</v>
      </c>
      <c r="I139" s="22" t="n">
        <v>-1</v>
      </c>
      <c r="J139" s="22" t="n">
        <v>0.9</v>
      </c>
      <c r="K139" s="23" t="n">
        <v>15.55</v>
      </c>
      <c r="L139" s="23" t="n">
        <v>15.5</v>
      </c>
      <c r="M139" s="23" t="n">
        <v>19.9</v>
      </c>
      <c r="N139" s="23" t="n">
        <v>9.449999999999999</v>
      </c>
      <c r="O139" s="23" t="n">
        <v>11.8</v>
      </c>
      <c r="P139" s="23" t="n">
        <v>11.75</v>
      </c>
      <c r="Q139" s="8">
        <f>K139*G139</f>
        <v/>
      </c>
      <c r="R139" s="24">
        <f>(M139-K139)*G139</f>
        <v/>
      </c>
      <c r="S139" s="25">
        <f>(M139/K139-1)*100</f>
        <v/>
      </c>
      <c r="T139" s="26">
        <f>(N139-K139)*G139</f>
        <v/>
      </c>
      <c r="U139" s="27">
        <f>(N139/K139-1)*100</f>
        <v/>
      </c>
      <c r="V139" s="11">
        <f>(P139-K139)*G139</f>
        <v/>
      </c>
      <c r="W139" s="11" t="n">
        <v>-1688.23</v>
      </c>
      <c r="X139" s="10">
        <f>W139/Q139*100</f>
        <v/>
      </c>
      <c r="Y139" s="12" t="n">
        <v>0.023</v>
      </c>
      <c r="Z139" s="14" t="inlineStr">
        <is>
          <t>2025_H2</t>
        </is>
      </c>
    </row>
    <row r="140">
      <c r="A140" s="14" t="inlineStr">
        <is>
          <t>2025-08-18</t>
        </is>
      </c>
      <c r="B140" s="7" t="inlineStr">
        <is>
          <t>PATANJALI</t>
        </is>
      </c>
      <c r="C140" s="14" t="inlineStr">
        <is>
          <t>CE</t>
        </is>
      </c>
      <c r="D140" s="14" t="inlineStr">
        <is>
          <t>mid</t>
        </is>
      </c>
      <c r="E140" s="21" t="n">
        <v>1880</v>
      </c>
      <c r="F140" s="14" t="inlineStr">
        <is>
          <t>2025-08-28</t>
        </is>
      </c>
      <c r="G140" s="8" t="n">
        <v>300</v>
      </c>
      <c r="H140" s="22" t="n">
        <v>-31.3</v>
      </c>
      <c r="I140" s="22" t="n">
        <v>-49.7</v>
      </c>
      <c r="J140" s="22" t="n">
        <v>24.1</v>
      </c>
      <c r="K140" s="23" t="n">
        <v>22.05</v>
      </c>
      <c r="L140" s="23" t="n">
        <v>22</v>
      </c>
      <c r="M140" s="23" t="n">
        <v>22</v>
      </c>
      <c r="N140" s="23" t="n">
        <v>8.35</v>
      </c>
      <c r="O140" s="23" t="n">
        <v>9.15</v>
      </c>
      <c r="P140" s="23" t="n">
        <v>9.1</v>
      </c>
      <c r="Q140" s="8">
        <f>K140*G140</f>
        <v/>
      </c>
      <c r="R140" s="24">
        <f>(M140-K140)*G140</f>
        <v/>
      </c>
      <c r="S140" s="25">
        <f>(M140/K140-1)*100</f>
        <v/>
      </c>
      <c r="T140" s="26">
        <f>(N140-K140)*G140</f>
        <v/>
      </c>
      <c r="U140" s="27">
        <f>(N140/K140-1)*100</f>
        <v/>
      </c>
      <c r="V140" s="11">
        <f>(P140-K140)*G140</f>
        <v/>
      </c>
      <c r="W140" s="11" t="n">
        <v>-4127.32</v>
      </c>
      <c r="X140" s="10">
        <f>W140/Q140*100</f>
        <v/>
      </c>
      <c r="Y140" s="12" t="n">
        <v>-1.242</v>
      </c>
      <c r="Z140" s="14" t="inlineStr">
        <is>
          <t>2025_H2</t>
        </is>
      </c>
    </row>
    <row r="141">
      <c r="A141" s="14" t="inlineStr">
        <is>
          <t>2025-10-15</t>
        </is>
      </c>
      <c r="B141" s="7" t="inlineStr">
        <is>
          <t>PERSISTENT</t>
        </is>
      </c>
      <c r="C141" s="14" t="inlineStr">
        <is>
          <t>PE</t>
        </is>
      </c>
      <c r="D141" s="14" t="inlineStr">
        <is>
          <t>mid</t>
        </is>
      </c>
      <c r="E141" s="21" t="n">
        <v>5300</v>
      </c>
      <c r="F141" s="14" t="inlineStr">
        <is>
          <t>2025-10-28</t>
        </is>
      </c>
      <c r="G141" s="8" t="n">
        <v>100</v>
      </c>
      <c r="H141" s="22" t="n">
        <v>45.1</v>
      </c>
      <c r="I141" s="22" t="n">
        <v>10.9</v>
      </c>
      <c r="J141" s="22" t="n">
        <v>23.6</v>
      </c>
      <c r="K141" s="23" t="n">
        <v>66.55</v>
      </c>
      <c r="L141" s="23" t="n">
        <v>66.5</v>
      </c>
      <c r="M141" s="23" t="n">
        <v>74.40000000000001</v>
      </c>
      <c r="N141" s="23" t="n">
        <v>18.7</v>
      </c>
      <c r="O141" s="23" t="n">
        <v>19.5</v>
      </c>
      <c r="P141" s="23" t="n">
        <v>19.45</v>
      </c>
      <c r="Q141" s="8">
        <f>K141*G141</f>
        <v/>
      </c>
      <c r="R141" s="24">
        <f>(M141-K141)*G141</f>
        <v/>
      </c>
      <c r="S141" s="25">
        <f>(M141/K141-1)*100</f>
        <v/>
      </c>
      <c r="T141" s="26">
        <f>(N141-K141)*G141</f>
        <v/>
      </c>
      <c r="U141" s="27">
        <f>(N141/K141-1)*100</f>
        <v/>
      </c>
      <c r="V141" s="11">
        <f>(P141-K141)*G141</f>
        <v/>
      </c>
      <c r="W141" s="11" t="n">
        <v>-4935.93</v>
      </c>
      <c r="X141" s="10">
        <f>W141/Q141*100</f>
        <v/>
      </c>
      <c r="Y141" s="12" t="n">
        <v>-3.669</v>
      </c>
      <c r="Z141" s="14" t="inlineStr">
        <is>
          <t>2025_H2</t>
        </is>
      </c>
    </row>
    <row r="142">
      <c r="A142" s="14" t="inlineStr">
        <is>
          <t>2025-10-16</t>
        </is>
      </c>
      <c r="B142" s="7" t="inlineStr">
        <is>
          <t>AXISBANK</t>
        </is>
      </c>
      <c r="C142" s="14" t="inlineStr">
        <is>
          <t>CE</t>
        </is>
      </c>
      <c r="D142" s="14" t="inlineStr">
        <is>
          <t>large</t>
        </is>
      </c>
      <c r="E142" s="21" t="n">
        <v>1240</v>
      </c>
      <c r="F142" s="14" t="inlineStr">
        <is>
          <t>2025-10-28</t>
        </is>
      </c>
      <c r="G142" s="8" t="n">
        <v>625</v>
      </c>
      <c r="H142" s="22" t="n">
        <v>-25.3</v>
      </c>
      <c r="I142" s="22" t="n">
        <v>-11.5</v>
      </c>
      <c r="J142" s="22" t="n">
        <v>2.2</v>
      </c>
      <c r="K142" s="23" t="n">
        <v>10.05</v>
      </c>
      <c r="L142" s="23" t="n">
        <v>10</v>
      </c>
      <c r="M142" s="23" t="n">
        <v>11.25</v>
      </c>
      <c r="N142" s="23" t="n">
        <v>2.65</v>
      </c>
      <c r="O142" s="23" t="n">
        <v>3</v>
      </c>
      <c r="P142" s="23" t="n">
        <v>2.95</v>
      </c>
      <c r="Q142" s="8">
        <f>K142*G142</f>
        <v/>
      </c>
      <c r="R142" s="24">
        <f>(M142-K142)*G142</f>
        <v/>
      </c>
      <c r="S142" s="25">
        <f>(M142/K142-1)*100</f>
        <v/>
      </c>
      <c r="T142" s="26">
        <f>(N142-K142)*G142</f>
        <v/>
      </c>
      <c r="U142" s="27">
        <f>(N142/K142-1)*100</f>
        <v/>
      </c>
      <c r="V142" s="11">
        <f>(P142-K142)*G142</f>
        <v/>
      </c>
      <c r="W142" s="11" t="n">
        <v>-4572.33</v>
      </c>
      <c r="X142" s="10">
        <f>W142/Q142*100</f>
        <v/>
      </c>
      <c r="Y142" s="12" t="n">
        <v>-1.652</v>
      </c>
      <c r="Z142" s="14" t="inlineStr">
        <is>
          <t>2025_H2</t>
        </is>
      </c>
    </row>
    <row r="143">
      <c r="A143" s="14" t="inlineStr">
        <is>
          <t>2025-10-16</t>
        </is>
      </c>
      <c r="B143" s="7" t="inlineStr">
        <is>
          <t>KEI</t>
        </is>
      </c>
      <c r="C143" s="14" t="inlineStr">
        <is>
          <t>PE</t>
        </is>
      </c>
      <c r="D143" s="14" t="inlineStr">
        <is>
          <t>mid</t>
        </is>
      </c>
      <c r="E143" s="21" t="n">
        <v>4200</v>
      </c>
      <c r="F143" s="14" t="inlineStr">
        <is>
          <t>2025-10-28</t>
        </is>
      </c>
      <c r="G143" s="8" t="n">
        <v>175</v>
      </c>
      <c r="H143" s="22" t="n">
        <v>31.5</v>
      </c>
      <c r="I143" s="22" t="n">
        <v>4</v>
      </c>
      <c r="J143" s="22" t="n">
        <v>19.6</v>
      </c>
      <c r="K143" s="23" t="n">
        <v>40.05</v>
      </c>
      <c r="L143" s="23" t="n">
        <v>40</v>
      </c>
      <c r="M143" s="23" t="n">
        <v>198</v>
      </c>
      <c r="N143" s="23" t="n">
        <v>34</v>
      </c>
      <c r="O143" s="23" t="n">
        <v>114.95</v>
      </c>
      <c r="P143" s="23" t="n">
        <v>114.9</v>
      </c>
      <c r="Q143" s="8">
        <f>K143*G143</f>
        <v/>
      </c>
      <c r="R143" s="24">
        <f>(M143-K143)*G143</f>
        <v/>
      </c>
      <c r="S143" s="25">
        <f>(M143/K143-1)*100</f>
        <v/>
      </c>
      <c r="T143" s="26">
        <f>(N143-K143)*G143</f>
        <v/>
      </c>
      <c r="U143" s="27">
        <f>(N143/K143-1)*100</f>
        <v/>
      </c>
      <c r="V143" s="11">
        <f>(P143-K143)*G143</f>
        <v/>
      </c>
      <c r="W143" s="11" t="n">
        <v>12467.46</v>
      </c>
      <c r="X143" s="10">
        <f>W143/Q143*100</f>
        <v/>
      </c>
      <c r="Y143" s="12" t="n">
        <v>5.917</v>
      </c>
      <c r="Z143" s="14" t="inlineStr">
        <is>
          <t>2025_H2</t>
        </is>
      </c>
    </row>
    <row r="144">
      <c r="A144" s="14" t="inlineStr">
        <is>
          <t>2025-10-16</t>
        </is>
      </c>
      <c r="B144" s="7" t="inlineStr">
        <is>
          <t>OBEROIRLTY</t>
        </is>
      </c>
      <c r="C144" s="14" t="inlineStr">
        <is>
          <t>PE</t>
        </is>
      </c>
      <c r="D144" s="14" t="inlineStr">
        <is>
          <t>mid</t>
        </is>
      </c>
      <c r="E144" s="21" t="n">
        <v>1600</v>
      </c>
      <c r="F144" s="14" t="inlineStr">
        <is>
          <t>2025-10-28</t>
        </is>
      </c>
      <c r="G144" s="8" t="n">
        <v>350</v>
      </c>
      <c r="H144" s="22" t="n">
        <v>100.4</v>
      </c>
      <c r="I144" s="22" t="n">
        <v>180.5</v>
      </c>
      <c r="J144" s="22" t="n">
        <v>109.6</v>
      </c>
      <c r="K144" s="23" t="n">
        <v>7.1</v>
      </c>
      <c r="L144" s="23" t="n">
        <v>7.05</v>
      </c>
      <c r="M144" s="23" t="n">
        <v>25</v>
      </c>
      <c r="N144" s="23" t="n">
        <v>4.5</v>
      </c>
      <c r="O144" s="23" t="n">
        <v>4.95</v>
      </c>
      <c r="P144" s="23" t="n">
        <v>4.9</v>
      </c>
      <c r="Q144" s="8">
        <f>K144*G144</f>
        <v/>
      </c>
      <c r="R144" s="24">
        <f>(M144-K144)*G144</f>
        <v/>
      </c>
      <c r="S144" s="25">
        <f>(M144/K144-1)*100</f>
        <v/>
      </c>
      <c r="T144" s="26">
        <f>(N144-K144)*G144</f>
        <v/>
      </c>
      <c r="U144" s="27">
        <f>(N144/K144-1)*100</f>
        <v/>
      </c>
      <c r="V144" s="11">
        <f>(P144-K144)*G144</f>
        <v/>
      </c>
      <c r="W144" s="11" t="n">
        <v>-905.6</v>
      </c>
      <c r="X144" s="10">
        <f>W144/Q144*100</f>
        <v/>
      </c>
      <c r="Y144" s="12" t="n">
        <v>-0.722</v>
      </c>
      <c r="Z144" s="14" t="inlineStr">
        <is>
          <t>2025_H2</t>
        </is>
      </c>
    </row>
    <row r="145">
      <c r="A145" s="14" t="inlineStr">
        <is>
          <t>2025-10-17</t>
        </is>
      </c>
      <c r="B145" s="7" t="inlineStr">
        <is>
          <t>INDIANB</t>
        </is>
      </c>
      <c r="C145" s="14" t="inlineStr">
        <is>
          <t>PE</t>
        </is>
      </c>
      <c r="D145" s="14" t="inlineStr">
        <is>
          <t>mid</t>
        </is>
      </c>
      <c r="E145" s="21" t="n">
        <v>750</v>
      </c>
      <c r="F145" s="14" t="inlineStr">
        <is>
          <t>2025-10-28</t>
        </is>
      </c>
      <c r="G145" s="8" t="n">
        <v>1000</v>
      </c>
      <c r="H145" s="22" t="n">
        <v>11</v>
      </c>
      <c r="I145" s="22" t="n">
        <v>36.5</v>
      </c>
      <c r="J145" s="22" t="n">
        <v>8.199999999999999</v>
      </c>
      <c r="K145" s="23" t="n">
        <v>5.05</v>
      </c>
      <c r="L145" s="23" t="n">
        <v>5</v>
      </c>
      <c r="M145" s="23" t="n">
        <v>10.95</v>
      </c>
      <c r="N145" s="23" t="n">
        <v>3.15</v>
      </c>
      <c r="O145" s="23" t="n">
        <v>3.25</v>
      </c>
      <c r="P145" s="23" t="n">
        <v>3.2</v>
      </c>
      <c r="Q145" s="8">
        <f>K145*G145</f>
        <v/>
      </c>
      <c r="R145" s="24">
        <f>(M145-K145)*G145</f>
        <v/>
      </c>
      <c r="S145" s="25">
        <f>(M145/K145-1)*100</f>
        <v/>
      </c>
      <c r="T145" s="26">
        <f>(N145-K145)*G145</f>
        <v/>
      </c>
      <c r="U145" s="27">
        <f>(N145/K145-1)*100</f>
        <v/>
      </c>
      <c r="V145" s="11">
        <f>(P145-K145)*G145</f>
        <v/>
      </c>
      <c r="W145" s="11" t="n">
        <v>-2070.62</v>
      </c>
      <c r="X145" s="10">
        <f>W145/Q145*100</f>
        <v/>
      </c>
      <c r="Y145" s="12" t="n">
        <v>0.083</v>
      </c>
      <c r="Z145" s="14" t="inlineStr">
        <is>
          <t>2025_H2</t>
        </is>
      </c>
    </row>
    <row r="146">
      <c r="A146" s="14" t="inlineStr">
        <is>
          <t>2025-10-17</t>
        </is>
      </c>
      <c r="B146" s="7" t="inlineStr">
        <is>
          <t>INFY</t>
        </is>
      </c>
      <c r="C146" s="14" t="inlineStr">
        <is>
          <t>PE</t>
        </is>
      </c>
      <c r="D146" s="14" t="inlineStr">
        <is>
          <t>large</t>
        </is>
      </c>
      <c r="E146" s="21" t="n">
        <v>1420</v>
      </c>
      <c r="F146" s="14" t="inlineStr">
        <is>
          <t>2025-10-28</t>
        </is>
      </c>
      <c r="G146" s="8" t="n">
        <v>400</v>
      </c>
      <c r="H146" s="22" t="n">
        <v>13.2</v>
      </c>
      <c r="I146" s="22" t="n">
        <v>6.5</v>
      </c>
      <c r="J146" s="22" t="n">
        <v>8.5</v>
      </c>
      <c r="K146" s="23" t="n">
        <v>16.05</v>
      </c>
      <c r="L146" s="23" t="n">
        <v>16</v>
      </c>
      <c r="M146" s="23" t="n">
        <v>28.5</v>
      </c>
      <c r="N146" s="23" t="n">
        <v>13.4</v>
      </c>
      <c r="O146" s="23" t="n">
        <v>23.8</v>
      </c>
      <c r="P146" s="23" t="n">
        <v>23.75</v>
      </c>
      <c r="Q146" s="8">
        <f>K146*G146</f>
        <v/>
      </c>
      <c r="R146" s="24">
        <f>(M146-K146)*G146</f>
        <v/>
      </c>
      <c r="S146" s="25">
        <f>(M146/K146-1)*100</f>
        <v/>
      </c>
      <c r="T146" s="26">
        <f>(N146-K146)*G146</f>
        <v/>
      </c>
      <c r="U146" s="27">
        <f>(N146/K146-1)*100</f>
        <v/>
      </c>
      <c r="V146" s="11">
        <f>(P146-K146)*G146</f>
        <v/>
      </c>
      <c r="W146" s="11" t="n">
        <v>2852.46</v>
      </c>
      <c r="X146" s="10">
        <f>W146/Q146*100</f>
        <v/>
      </c>
      <c r="Y146" s="12" t="n">
        <v>0.949</v>
      </c>
      <c r="Z146" s="14" t="inlineStr">
        <is>
          <t>2025_H2</t>
        </is>
      </c>
    </row>
    <row r="147">
      <c r="A147" s="14" t="inlineStr">
        <is>
          <t>2025-10-20</t>
        </is>
      </c>
      <c r="B147" s="7" t="inlineStr">
        <is>
          <t>360ONE</t>
        </is>
      </c>
      <c r="C147" s="14" t="inlineStr">
        <is>
          <t>PE</t>
        </is>
      </c>
      <c r="D147" s="14" t="inlineStr">
        <is>
          <t>mid</t>
        </is>
      </c>
      <c r="E147" s="21" t="n">
        <v>1120</v>
      </c>
      <c r="F147" s="14" t="inlineStr">
        <is>
          <t>2025-10-28</t>
        </is>
      </c>
      <c r="G147" s="8" t="n">
        <v>500</v>
      </c>
      <c r="H147" s="22" t="n">
        <v>28.5</v>
      </c>
      <c r="I147" s="22" t="n">
        <v>10.8</v>
      </c>
      <c r="J147" s="22" t="n">
        <v>29.2</v>
      </c>
      <c r="K147" s="23" t="n">
        <v>9.9</v>
      </c>
      <c r="L147" s="23" t="n">
        <v>9.85</v>
      </c>
      <c r="M147" s="23" t="n">
        <v>10.95</v>
      </c>
      <c r="N147" s="23" t="n">
        <v>3.05</v>
      </c>
      <c r="O147" s="23" t="n">
        <v>4.1</v>
      </c>
      <c r="P147" s="23" t="n">
        <v>4.05</v>
      </c>
      <c r="Q147" s="8">
        <f>K147*G147</f>
        <v/>
      </c>
      <c r="R147" s="24">
        <f>(M147-K147)*G147</f>
        <v/>
      </c>
      <c r="S147" s="25">
        <f>(M147/K147-1)*100</f>
        <v/>
      </c>
      <c r="T147" s="26">
        <f>(N147-K147)*G147</f>
        <v/>
      </c>
      <c r="U147" s="27">
        <f>(N147/K147-1)*100</f>
        <v/>
      </c>
      <c r="V147" s="11">
        <f>(P147-K147)*G147</f>
        <v/>
      </c>
      <c r="W147" s="11" t="n">
        <v>-3117.82</v>
      </c>
      <c r="X147" s="10">
        <f>W147/Q147*100</f>
        <v/>
      </c>
      <c r="Y147" s="12" t="n">
        <v>-1.571</v>
      </c>
      <c r="Z147" s="14" t="inlineStr">
        <is>
          <t>2025_H2</t>
        </is>
      </c>
    </row>
    <row r="148">
      <c r="A148" s="14" t="inlineStr">
        <is>
          <t>2025-10-20</t>
        </is>
      </c>
      <c r="B148" s="7" t="inlineStr">
        <is>
          <t>DIXON</t>
        </is>
      </c>
      <c r="C148" s="14" t="inlineStr">
        <is>
          <t>PE</t>
        </is>
      </c>
      <c r="D148" s="14" t="inlineStr">
        <is>
          <t>mid</t>
        </is>
      </c>
      <c r="E148" s="21" t="n">
        <v>15750</v>
      </c>
      <c r="F148" s="14" t="inlineStr">
        <is>
          <t>2025-10-28</t>
        </is>
      </c>
      <c r="G148" s="8" t="n">
        <v>50</v>
      </c>
      <c r="H148" s="22" t="n">
        <v>81.09999999999999</v>
      </c>
      <c r="I148" s="22" t="n">
        <v>166.3</v>
      </c>
      <c r="J148" s="22" t="n">
        <v>28.8</v>
      </c>
      <c r="K148" s="23" t="n">
        <v>99.05</v>
      </c>
      <c r="L148" s="23" t="n">
        <v>99</v>
      </c>
      <c r="M148" s="23" t="n">
        <v>200</v>
      </c>
      <c r="N148" s="23" t="n">
        <v>30.25</v>
      </c>
      <c r="O148" s="23" t="n">
        <v>149.8</v>
      </c>
      <c r="P148" s="23" t="n">
        <v>149.75</v>
      </c>
      <c r="Q148" s="8">
        <f>K148*G148</f>
        <v/>
      </c>
      <c r="R148" s="24">
        <f>(M148-K148)*G148</f>
        <v/>
      </c>
      <c r="S148" s="25">
        <f>(M148/K148-1)*100</f>
        <v/>
      </c>
      <c r="T148" s="26">
        <f>(N148-K148)*G148</f>
        <v/>
      </c>
      <c r="U148" s="27">
        <f>(N148/K148-1)*100</f>
        <v/>
      </c>
      <c r="V148" s="11">
        <f>(P148-K148)*G148</f>
        <v/>
      </c>
      <c r="W148" s="11" t="n">
        <v>2222.39</v>
      </c>
      <c r="X148" s="10">
        <f>W148/Q148*100</f>
        <v/>
      </c>
      <c r="Y148" s="12" t="n">
        <v>3.743</v>
      </c>
      <c r="Z148" s="14" t="inlineStr">
        <is>
          <t>2025_H2</t>
        </is>
      </c>
    </row>
    <row r="149">
      <c r="A149" s="14" t="inlineStr">
        <is>
          <t>2025-10-20</t>
        </is>
      </c>
      <c r="B149" s="7" t="inlineStr">
        <is>
          <t>HINDZINC</t>
        </is>
      </c>
      <c r="C149" s="14" t="inlineStr">
        <is>
          <t>PE</t>
        </is>
      </c>
      <c r="D149" s="14" t="inlineStr">
        <is>
          <t>large</t>
        </is>
      </c>
      <c r="E149" s="21" t="n">
        <v>480</v>
      </c>
      <c r="F149" s="14" t="inlineStr">
        <is>
          <t>2025-10-28</t>
        </is>
      </c>
      <c r="G149" s="8" t="n">
        <v>1225</v>
      </c>
      <c r="H149" s="22" t="n">
        <v>13.8</v>
      </c>
      <c r="I149" s="22" t="n">
        <v>18.6</v>
      </c>
      <c r="J149" s="22" t="n">
        <v>3.6</v>
      </c>
      <c r="K149" s="23" t="n">
        <v>5.35</v>
      </c>
      <c r="L149" s="23" t="n">
        <v>5.3</v>
      </c>
      <c r="M149" s="23" t="n">
        <v>9.5</v>
      </c>
      <c r="N149" s="23" t="n">
        <v>3.9</v>
      </c>
      <c r="O149" s="23" t="n">
        <v>5.4</v>
      </c>
      <c r="P149" s="23" t="n">
        <v>5.35</v>
      </c>
      <c r="Q149" s="8">
        <f>K149*G149</f>
        <v/>
      </c>
      <c r="R149" s="24">
        <f>(M149-K149)*G149</f>
        <v/>
      </c>
      <c r="S149" s="25">
        <f>(M149/K149-1)*100</f>
        <v/>
      </c>
      <c r="T149" s="26">
        <f>(N149-K149)*G149</f>
        <v/>
      </c>
      <c r="U149" s="27">
        <f>(N149/K149-1)*100</f>
        <v/>
      </c>
      <c r="V149" s="11">
        <f>(P149-K149)*G149</f>
        <v/>
      </c>
      <c r="W149" s="11" t="n">
        <v>-193.82</v>
      </c>
      <c r="X149" s="10">
        <f>W149/Q149*100</f>
        <v/>
      </c>
      <c r="Y149" s="12" t="n">
        <v>2.72</v>
      </c>
      <c r="Z149" s="14" t="inlineStr">
        <is>
          <t>2025_H2</t>
        </is>
      </c>
    </row>
    <row r="150">
      <c r="A150" s="14" t="inlineStr">
        <is>
          <t>2025-10-20</t>
        </is>
      </c>
      <c r="B150" s="7" t="inlineStr">
        <is>
          <t>INDUSINDBK</t>
        </is>
      </c>
      <c r="C150" s="14" t="inlineStr">
        <is>
          <t>CE</t>
        </is>
      </c>
      <c r="D150" s="14" t="inlineStr">
        <is>
          <t>mid</t>
        </is>
      </c>
      <c r="E150" s="21" t="n">
        <v>770</v>
      </c>
      <c r="F150" s="14" t="inlineStr">
        <is>
          <t>2025-10-28</t>
        </is>
      </c>
      <c r="G150" s="8" t="n">
        <v>700</v>
      </c>
      <c r="H150" s="22" t="n">
        <v>-132.8</v>
      </c>
      <c r="I150" s="22" t="n">
        <v>-172.3</v>
      </c>
      <c r="J150" s="22" t="n">
        <v>-8.5</v>
      </c>
      <c r="K150" s="23" t="n">
        <v>7</v>
      </c>
      <c r="L150" s="23" t="n">
        <v>6.95</v>
      </c>
      <c r="M150" s="23" t="n">
        <v>14</v>
      </c>
      <c r="N150" s="23" t="n">
        <v>2.25</v>
      </c>
      <c r="O150" s="23" t="n">
        <v>7.25</v>
      </c>
      <c r="P150" s="23" t="n">
        <v>7.2</v>
      </c>
      <c r="Q150" s="8">
        <f>K150*G150</f>
        <v/>
      </c>
      <c r="R150" s="24">
        <f>(M150-K150)*G150</f>
        <v/>
      </c>
      <c r="S150" s="25">
        <f>(M150/K150-1)*100</f>
        <v/>
      </c>
      <c r="T150" s="26">
        <f>(N150-K150)*G150</f>
        <v/>
      </c>
      <c r="U150" s="27">
        <f>(N150/K150-1)*100</f>
        <v/>
      </c>
      <c r="V150" s="11">
        <f>(P150-K150)*G150</f>
        <v/>
      </c>
      <c r="W150" s="11" t="n">
        <v>-117.88</v>
      </c>
      <c r="X150" s="10">
        <f>W150/Q150*100</f>
        <v/>
      </c>
      <c r="Y150" s="12" t="n">
        <v>2.254</v>
      </c>
      <c r="Z150" s="14" t="inlineStr">
        <is>
          <t>2025_H2</t>
        </is>
      </c>
    </row>
    <row r="151">
      <c r="A151" s="14" t="inlineStr">
        <is>
          <t>2025-10-20</t>
        </is>
      </c>
      <c r="B151" s="7" t="inlineStr">
        <is>
          <t>POLYCAB</t>
        </is>
      </c>
      <c r="C151" s="14" t="inlineStr">
        <is>
          <t>PE</t>
        </is>
      </c>
      <c r="D151" s="14" t="inlineStr">
        <is>
          <t>mid</t>
        </is>
      </c>
      <c r="E151" s="21" t="n">
        <v>7400</v>
      </c>
      <c r="F151" s="14" t="inlineStr">
        <is>
          <t>2025-10-28</t>
        </is>
      </c>
      <c r="G151" s="8" t="n">
        <v>125</v>
      </c>
      <c r="H151" s="22" t="n">
        <v>55.6</v>
      </c>
      <c r="I151" s="22" t="n">
        <v>15.6</v>
      </c>
      <c r="J151" s="22" t="n">
        <v>17.8</v>
      </c>
      <c r="K151" s="23" t="n">
        <v>50.6</v>
      </c>
      <c r="L151" s="23" t="n">
        <v>50.55</v>
      </c>
      <c r="M151" s="23" t="n">
        <v>61.8</v>
      </c>
      <c r="N151" s="23" t="n">
        <v>24.3</v>
      </c>
      <c r="O151" s="23" t="n">
        <v>29.6</v>
      </c>
      <c r="P151" s="23" t="n">
        <v>29.55</v>
      </c>
      <c r="Q151" s="8">
        <f>K151*G151</f>
        <v/>
      </c>
      <c r="R151" s="24">
        <f>(M151-K151)*G151</f>
        <v/>
      </c>
      <c r="S151" s="25">
        <f>(M151/K151-1)*100</f>
        <v/>
      </c>
      <c r="T151" s="26">
        <f>(N151-K151)*G151</f>
        <v/>
      </c>
      <c r="U151" s="27">
        <f>(N151/K151-1)*100</f>
        <v/>
      </c>
      <c r="V151" s="11">
        <f>(P151-K151)*G151</f>
        <v/>
      </c>
      <c r="W151" s="11" t="n">
        <v>-2888.78</v>
      </c>
      <c r="X151" s="10">
        <f>W151/Q151*100</f>
        <v/>
      </c>
      <c r="Y151" s="12" t="n">
        <v>-1.906</v>
      </c>
      <c r="Z151" s="14" t="inlineStr">
        <is>
          <t>2025_H2</t>
        </is>
      </c>
    </row>
    <row r="152">
      <c r="A152" s="14" t="inlineStr">
        <is>
          <t>2025-10-20</t>
        </is>
      </c>
      <c r="B152" s="7" t="inlineStr">
        <is>
          <t>RBLBANK</t>
        </is>
      </c>
      <c r="C152" s="14" t="inlineStr">
        <is>
          <t>CE</t>
        </is>
      </c>
      <c r="D152" s="14" t="inlineStr">
        <is>
          <t>small</t>
        </is>
      </c>
      <c r="E152" s="21" t="n">
        <v>330</v>
      </c>
      <c r="F152" s="14" t="inlineStr">
        <is>
          <t>2025-10-28</t>
        </is>
      </c>
      <c r="G152" s="8" t="n">
        <v>3175</v>
      </c>
      <c r="H152" s="22" t="n">
        <v>-16.9</v>
      </c>
      <c r="I152" s="22" t="n">
        <v>-10.2</v>
      </c>
      <c r="J152" s="22" t="n">
        <v>-0.7</v>
      </c>
      <c r="K152" s="23" t="n">
        <v>2.1</v>
      </c>
      <c r="L152" s="23" t="n">
        <v>2.05</v>
      </c>
      <c r="M152" s="23" t="n">
        <v>5.85</v>
      </c>
      <c r="N152" s="23" t="n">
        <v>1.9</v>
      </c>
      <c r="O152" s="23" t="n">
        <v>5.8</v>
      </c>
      <c r="P152" s="23" t="n">
        <v>5.75</v>
      </c>
      <c r="Q152" s="8">
        <f>K152*G152</f>
        <v/>
      </c>
      <c r="R152" s="24">
        <f>(M152-K152)*G152</f>
        <v/>
      </c>
      <c r="S152" s="25">
        <f>(M152/K152-1)*100</f>
        <v/>
      </c>
      <c r="T152" s="26">
        <f>(N152-K152)*G152</f>
        <v/>
      </c>
      <c r="U152" s="27">
        <f>(N152/K152-1)*100</f>
        <v/>
      </c>
      <c r="V152" s="11">
        <f>(P152-K152)*G152</f>
        <v/>
      </c>
      <c r="W152" s="11" t="n">
        <v>10755.77</v>
      </c>
      <c r="X152" s="10">
        <f>W152/Q152*100</f>
        <v/>
      </c>
      <c r="Y152" s="12" t="n">
        <v>8.055</v>
      </c>
      <c r="Z152" s="14" t="inlineStr">
        <is>
          <t>2025_H2</t>
        </is>
      </c>
    </row>
    <row r="153">
      <c r="A153" s="14" t="inlineStr">
        <is>
          <t>2025-10-24</t>
        </is>
      </c>
      <c r="B153" s="7" t="inlineStr">
        <is>
          <t>LAURUSLABS</t>
        </is>
      </c>
      <c r="C153" s="14" t="inlineStr">
        <is>
          <t>PE</t>
        </is>
      </c>
      <c r="D153" s="14" t="inlineStr">
        <is>
          <t>mid</t>
        </is>
      </c>
      <c r="E153" s="21" t="n">
        <v>890</v>
      </c>
      <c r="F153" s="14" t="inlineStr">
        <is>
          <t>2025-10-28</t>
        </is>
      </c>
      <c r="G153" s="8" t="n">
        <v>1700</v>
      </c>
      <c r="H153" s="22" t="n">
        <v>1685.3</v>
      </c>
      <c r="I153" s="22" t="n">
        <v>120.3</v>
      </c>
      <c r="J153" s="22" t="n">
        <v>163.4</v>
      </c>
      <c r="K153" s="23" t="n">
        <v>3.95</v>
      </c>
      <c r="L153" s="23" t="n">
        <v>3.9</v>
      </c>
      <c r="M153" s="23" t="n">
        <v>10.25</v>
      </c>
      <c r="N153" s="23" t="n">
        <v>0.7</v>
      </c>
      <c r="O153" s="23" t="n">
        <v>0.8</v>
      </c>
      <c r="P153" s="23" t="n">
        <v>0.75</v>
      </c>
      <c r="Q153" s="8">
        <f>K153*G153</f>
        <v/>
      </c>
      <c r="R153" s="24">
        <f>(M153-K153)*G153</f>
        <v/>
      </c>
      <c r="S153" s="25">
        <f>(M153/K153-1)*100</f>
        <v/>
      </c>
      <c r="T153" s="26">
        <f>(N153-K153)*G153</f>
        <v/>
      </c>
      <c r="U153" s="27">
        <f>(N153/K153-1)*100</f>
        <v/>
      </c>
      <c r="V153" s="11">
        <f>(P153-K153)*G153</f>
        <v/>
      </c>
      <c r="W153" s="11" t="n">
        <v>-5652.47</v>
      </c>
      <c r="X153" s="10">
        <f>W153/Q153*100</f>
        <v/>
      </c>
      <c r="Y153" s="12" t="n">
        <v>1.76</v>
      </c>
      <c r="Z153" s="14" t="inlineStr">
        <is>
          <t>2025_H2</t>
        </is>
      </c>
    </row>
    <row r="154">
      <c r="A154" s="14" t="inlineStr">
        <is>
          <t>2025-10-27</t>
        </is>
      </c>
      <c r="B154" s="7" t="inlineStr">
        <is>
          <t>COFORGE</t>
        </is>
      </c>
      <c r="C154" s="14" t="inlineStr">
        <is>
          <t>PE</t>
        </is>
      </c>
      <c r="D154" s="14" t="inlineStr">
        <is>
          <t>mid</t>
        </is>
      </c>
      <c r="E154" s="21" t="n">
        <v>1680</v>
      </c>
      <c r="F154" s="14" t="inlineStr">
        <is>
          <t>2025-11-25</t>
        </is>
      </c>
      <c r="G154" s="8" t="n">
        <v>375</v>
      </c>
      <c r="H154" s="22" t="n">
        <v>82.09999999999999</v>
      </c>
      <c r="I154" s="22" t="n">
        <v>19.4</v>
      </c>
      <c r="J154" s="22" t="n">
        <v>30.2</v>
      </c>
      <c r="K154" s="23" t="n">
        <v>10.9</v>
      </c>
      <c r="L154" s="23" t="n">
        <v>10.85</v>
      </c>
      <c r="M154" s="23" t="n">
        <v>17.15</v>
      </c>
      <c r="N154" s="23" t="n">
        <v>10.85</v>
      </c>
      <c r="O154" s="23" t="n">
        <v>14.4</v>
      </c>
      <c r="P154" s="23" t="n">
        <v>14.35</v>
      </c>
      <c r="Q154" s="8">
        <f>K154*G154</f>
        <v/>
      </c>
      <c r="R154" s="24">
        <f>(M154-K154)*G154</f>
        <v/>
      </c>
      <c r="S154" s="25">
        <f>(M154/K154-1)*100</f>
        <v/>
      </c>
      <c r="T154" s="26">
        <f>(N154-K154)*G154</f>
        <v/>
      </c>
      <c r="U154" s="27">
        <f>(N154/K154-1)*100</f>
        <v/>
      </c>
      <c r="V154" s="11">
        <f>(P154-K154)*G154</f>
        <v/>
      </c>
      <c r="W154" s="11" t="n">
        <v>1045</v>
      </c>
      <c r="X154" s="10">
        <f>W154/Q154*100</f>
        <v/>
      </c>
      <c r="Y154" s="12" t="n">
        <v>1.049</v>
      </c>
      <c r="Z154" s="14" t="inlineStr">
        <is>
          <t>2025_H2</t>
        </is>
      </c>
    </row>
    <row r="155">
      <c r="A155" s="14" t="inlineStr">
        <is>
          <t>2025-10-27</t>
        </is>
      </c>
      <c r="B155" s="7" t="inlineStr">
        <is>
          <t>KOTAKBANK</t>
        </is>
      </c>
      <c r="C155" s="14" t="inlineStr">
        <is>
          <t>CE</t>
        </is>
      </c>
      <c r="D155" s="14" t="inlineStr">
        <is>
          <t>large</t>
        </is>
      </c>
      <c r="E155" s="21" t="n">
        <v>2300</v>
      </c>
      <c r="F155" s="14" t="inlineStr">
        <is>
          <t>2025-11-25</t>
        </is>
      </c>
      <c r="G155" s="8" t="n">
        <v>400</v>
      </c>
      <c r="H155" s="22" t="n">
        <v>-11.4</v>
      </c>
      <c r="I155" s="22" t="n">
        <v>-0.1</v>
      </c>
      <c r="J155" s="22" t="n">
        <v>4.7</v>
      </c>
      <c r="K155" s="23" t="n">
        <v>17.95</v>
      </c>
      <c r="L155" s="23" t="n">
        <v>17.9</v>
      </c>
      <c r="M155" s="23" t="n">
        <v>18</v>
      </c>
      <c r="N155" s="23" t="n">
        <v>8.050000000000001</v>
      </c>
      <c r="O155" s="23" t="n">
        <v>9.050000000000001</v>
      </c>
      <c r="P155" s="23" t="n">
        <v>9</v>
      </c>
      <c r="Q155" s="8">
        <f>K155*G155</f>
        <v/>
      </c>
      <c r="R155" s="24">
        <f>(M155-K155)*G155</f>
        <v/>
      </c>
      <c r="S155" s="25">
        <f>(M155/K155-1)*100</f>
        <v/>
      </c>
      <c r="T155" s="26">
        <f>(N155-K155)*G155</f>
        <v/>
      </c>
      <c r="U155" s="27">
        <f>(N155/K155-1)*100</f>
        <v/>
      </c>
      <c r="V155" s="11">
        <f>(P155-K155)*G155</f>
        <v/>
      </c>
      <c r="W155" s="11" t="n">
        <v>-3745.15</v>
      </c>
      <c r="X155" s="10">
        <f>W155/Q155*100</f>
        <v/>
      </c>
      <c r="Y155" s="12" t="n">
        <v>-1.093</v>
      </c>
      <c r="Z155" s="14" t="inlineStr">
        <is>
          <t>2025_H2</t>
        </is>
      </c>
    </row>
    <row r="156">
      <c r="A156" s="14" t="inlineStr">
        <is>
          <t>2025-10-28</t>
        </is>
      </c>
      <c r="B156" s="7" t="inlineStr">
        <is>
          <t>MAZDOCK</t>
        </is>
      </c>
      <c r="C156" s="14" t="inlineStr">
        <is>
          <t>PE</t>
        </is>
      </c>
      <c r="D156" s="14" t="inlineStr">
        <is>
          <t>large</t>
        </is>
      </c>
      <c r="E156" s="21" t="n">
        <v>2650</v>
      </c>
      <c r="F156" s="14" t="inlineStr">
        <is>
          <t>2025-11-25</t>
        </is>
      </c>
      <c r="G156" s="8" t="n">
        <v>175</v>
      </c>
      <c r="H156" s="22" t="n">
        <v>28.1</v>
      </c>
      <c r="I156" s="22" t="n">
        <v>65.8</v>
      </c>
      <c r="J156" s="22" t="n">
        <v>6.3</v>
      </c>
      <c r="K156" s="23" t="n">
        <v>34.95</v>
      </c>
      <c r="L156" s="23" t="n">
        <v>34.9</v>
      </c>
      <c r="M156" s="23" t="n">
        <v>54.85</v>
      </c>
      <c r="N156" s="23" t="n">
        <v>25.6</v>
      </c>
      <c r="O156" s="23" t="n">
        <v>48.65</v>
      </c>
      <c r="P156" s="23" t="n">
        <v>48.6</v>
      </c>
      <c r="Q156" s="8">
        <f>K156*G156</f>
        <v/>
      </c>
      <c r="R156" s="24">
        <f>(M156-K156)*G156</f>
        <v/>
      </c>
      <c r="S156" s="25">
        <f>(M156/K156-1)*100</f>
        <v/>
      </c>
      <c r="T156" s="26">
        <f>(N156-K156)*G156</f>
        <v/>
      </c>
      <c r="U156" s="27">
        <f>(N156/K156-1)*100</f>
        <v/>
      </c>
      <c r="V156" s="11">
        <f>(P156-K156)*G156</f>
        <v/>
      </c>
      <c r="W156" s="11" t="n">
        <v>2176.25</v>
      </c>
      <c r="X156" s="10">
        <f>W156/Q156*100</f>
        <v/>
      </c>
      <c r="Y156" s="12" t="n">
        <v>3.119</v>
      </c>
      <c r="Z156" s="14" t="inlineStr">
        <is>
          <t>2025_H2</t>
        </is>
      </c>
    </row>
    <row r="157">
      <c r="A157" s="14" t="inlineStr">
        <is>
          <t>2025-10-28</t>
        </is>
      </c>
      <c r="B157" s="7" t="inlineStr">
        <is>
          <t>PNBHOUSING</t>
        </is>
      </c>
      <c r="C157" s="14" t="inlineStr">
        <is>
          <t>PE</t>
        </is>
      </c>
      <c r="D157" s="14" t="inlineStr">
        <is>
          <t>small</t>
        </is>
      </c>
      <c r="E157" s="21" t="n">
        <v>840</v>
      </c>
      <c r="F157" s="14" t="inlineStr">
        <is>
          <t>2025-11-25</t>
        </is>
      </c>
      <c r="G157" s="8" t="n">
        <v>650</v>
      </c>
      <c r="H157" s="22" t="n">
        <v>23.8</v>
      </c>
      <c r="I157" s="22" t="n">
        <v>9</v>
      </c>
      <c r="J157" s="22" t="n">
        <v>13.3</v>
      </c>
      <c r="K157" s="23" t="n">
        <v>8.050000000000001</v>
      </c>
      <c r="L157" s="23" t="n">
        <v>8</v>
      </c>
      <c r="M157" s="23" t="n">
        <v>10.7</v>
      </c>
      <c r="N157" s="23" t="n">
        <v>3.95</v>
      </c>
      <c r="O157" s="23" t="n">
        <v>5.25</v>
      </c>
      <c r="P157" s="23" t="n">
        <v>5.2</v>
      </c>
      <c r="Q157" s="8">
        <f>K157*G157</f>
        <v/>
      </c>
      <c r="R157" s="24">
        <f>(M157-K157)*G157</f>
        <v/>
      </c>
      <c r="S157" s="25">
        <f>(M157/K157-1)*100</f>
        <v/>
      </c>
      <c r="T157" s="26">
        <f>(N157-K157)*G157</f>
        <v/>
      </c>
      <c r="U157" s="27">
        <f>(N157/K157-1)*100</f>
        <v/>
      </c>
      <c r="V157" s="11">
        <f>(P157-K157)*G157</f>
        <v/>
      </c>
      <c r="W157" s="11" t="n">
        <v>-2166.94</v>
      </c>
      <c r="X157" s="10">
        <f>W157/Q157*100</f>
        <v/>
      </c>
      <c r="Y157" s="12" t="n">
        <v>-0.636</v>
      </c>
      <c r="Z157" s="14" t="inlineStr">
        <is>
          <t>2025_H2</t>
        </is>
      </c>
    </row>
    <row r="158">
      <c r="A158" s="14" t="inlineStr">
        <is>
          <t>2025-10-28</t>
        </is>
      </c>
      <c r="B158" s="7" t="inlineStr">
        <is>
          <t>SONACOMS</t>
        </is>
      </c>
      <c r="C158" s="14" t="inlineStr">
        <is>
          <t>PE</t>
        </is>
      </c>
      <c r="D158" s="14" t="inlineStr">
        <is>
          <t>mid</t>
        </is>
      </c>
      <c r="E158" s="21" t="n">
        <v>450</v>
      </c>
      <c r="F158" s="14" t="inlineStr">
        <is>
          <t>2025-11-25</t>
        </is>
      </c>
      <c r="G158" s="8" t="n">
        <v>1050</v>
      </c>
      <c r="H158" s="22" t="n">
        <v>18.7</v>
      </c>
      <c r="I158" s="22" t="n">
        <v>40.1</v>
      </c>
      <c r="J158" s="22" t="n">
        <v>23.6</v>
      </c>
      <c r="K158" s="23" t="n">
        <v>5.55</v>
      </c>
      <c r="L158" s="23" t="n">
        <v>5.5</v>
      </c>
      <c r="M158" s="23" t="n">
        <v>7.5</v>
      </c>
      <c r="N158" s="23" t="n">
        <v>4.35</v>
      </c>
      <c r="O158" s="23" t="n">
        <v>5.15</v>
      </c>
      <c r="P158" s="23" t="n">
        <v>5.1</v>
      </c>
      <c r="Q158" s="8">
        <f>K158*G158</f>
        <v/>
      </c>
      <c r="R158" s="24">
        <f>(M158-K158)*G158</f>
        <v/>
      </c>
      <c r="S158" s="25">
        <f>(M158/K158-1)*100</f>
        <v/>
      </c>
      <c r="T158" s="26">
        <f>(N158-K158)*G158</f>
        <v/>
      </c>
      <c r="U158" s="27">
        <f>(N158/K158-1)*100</f>
        <v/>
      </c>
      <c r="V158" s="11">
        <f>(P158-K158)*G158</f>
        <v/>
      </c>
      <c r="W158" s="11" t="n">
        <v>-756.25</v>
      </c>
      <c r="X158" s="10">
        <f>W158/Q158*100</f>
        <v/>
      </c>
      <c r="Y158" s="12" t="n">
        <v>2.359</v>
      </c>
      <c r="Z158" s="14" t="inlineStr">
        <is>
          <t>2025_H2</t>
        </is>
      </c>
    </row>
    <row r="159">
      <c r="A159" s="14" t="inlineStr">
        <is>
          <t>2025-10-29</t>
        </is>
      </c>
      <c r="B159" s="7" t="inlineStr">
        <is>
          <t>JINDALSTEL</t>
        </is>
      </c>
      <c r="C159" s="14" t="inlineStr">
        <is>
          <t>CE</t>
        </is>
      </c>
      <c r="D159" s="14" t="inlineStr">
        <is>
          <t>large</t>
        </is>
      </c>
      <c r="E159" s="21" t="n">
        <v>1120</v>
      </c>
      <c r="F159" s="14" t="inlineStr">
        <is>
          <t>2025-11-25</t>
        </is>
      </c>
      <c r="G159" s="8" t="n">
        <v>625</v>
      </c>
      <c r="H159" s="22" t="n">
        <v>-26.2</v>
      </c>
      <c r="I159" s="22" t="n">
        <v>-57.5</v>
      </c>
      <c r="J159" s="22" t="n">
        <v>4.2</v>
      </c>
      <c r="K159" s="23" t="n">
        <v>10.05</v>
      </c>
      <c r="L159" s="23" t="n">
        <v>10</v>
      </c>
      <c r="M159" s="23" t="n">
        <v>24.85</v>
      </c>
      <c r="N159" s="23" t="n">
        <v>9.949999999999999</v>
      </c>
      <c r="O159" s="23" t="n">
        <v>14.15</v>
      </c>
      <c r="P159" s="23" t="n">
        <v>14.1</v>
      </c>
      <c r="Q159" s="8">
        <f>K159*G159</f>
        <v/>
      </c>
      <c r="R159" s="24">
        <f>(M159-K159)*G159</f>
        <v/>
      </c>
      <c r="S159" s="25">
        <f>(M159/K159-1)*100</f>
        <v/>
      </c>
      <c r="T159" s="26">
        <f>(N159-K159)*G159</f>
        <v/>
      </c>
      <c r="U159" s="27">
        <f>(N159/K159-1)*100</f>
        <v/>
      </c>
      <c r="V159" s="11">
        <f>(P159-K159)*G159</f>
        <v/>
      </c>
      <c r="W159" s="11" t="n">
        <v>2313.35</v>
      </c>
      <c r="X159" s="10">
        <f>W159/Q159*100</f>
        <v/>
      </c>
      <c r="Y159" s="12" t="n">
        <v>0.715</v>
      </c>
      <c r="Z159" s="14" t="inlineStr">
        <is>
          <t>2025_H2</t>
        </is>
      </c>
    </row>
    <row r="160">
      <c r="A160" s="14" t="inlineStr">
        <is>
          <t>2025-10-29</t>
        </is>
      </c>
      <c r="B160" s="7" t="inlineStr">
        <is>
          <t>TVSMOTOR</t>
        </is>
      </c>
      <c r="C160" s="14" t="inlineStr">
        <is>
          <t>PE</t>
        </is>
      </c>
      <c r="D160" s="14" t="inlineStr">
        <is>
          <t>large</t>
        </is>
      </c>
      <c r="E160" s="21" t="n">
        <v>3400</v>
      </c>
      <c r="F160" s="14" t="inlineStr">
        <is>
          <t>2025-11-25</t>
        </is>
      </c>
      <c r="G160" s="8" t="n">
        <v>175</v>
      </c>
      <c r="H160" s="22" t="n">
        <v>41.6</v>
      </c>
      <c r="I160" s="22" t="n">
        <v>29.5</v>
      </c>
      <c r="J160" s="22" t="n">
        <v>24.3</v>
      </c>
      <c r="K160" s="23" t="n">
        <v>35.6</v>
      </c>
      <c r="L160" s="23" t="n">
        <v>35.55</v>
      </c>
      <c r="M160" s="23" t="n">
        <v>53.25</v>
      </c>
      <c r="N160" s="23" t="n">
        <v>35.5</v>
      </c>
      <c r="O160" s="23" t="n">
        <v>45.55</v>
      </c>
      <c r="P160" s="23" t="n">
        <v>45.5</v>
      </c>
      <c r="Q160" s="8">
        <f>K160*G160</f>
        <v/>
      </c>
      <c r="R160" s="24">
        <f>(M160-K160)*G160</f>
        <v/>
      </c>
      <c r="S160" s="25">
        <f>(M160/K160-1)*100</f>
        <v/>
      </c>
      <c r="T160" s="26">
        <f>(N160-K160)*G160</f>
        <v/>
      </c>
      <c r="U160" s="27">
        <f>(N160/K160-1)*100</f>
        <v/>
      </c>
      <c r="V160" s="11">
        <f>(P160-K160)*G160</f>
        <v/>
      </c>
      <c r="W160" s="11" t="n">
        <v>1525.27</v>
      </c>
      <c r="X160" s="10">
        <f>W160/Q160*100</f>
        <v/>
      </c>
      <c r="Y160" s="12" t="n">
        <v>2.808</v>
      </c>
      <c r="Z160" s="14" t="inlineStr">
        <is>
          <t>2025_H2</t>
        </is>
      </c>
    </row>
    <row r="161">
      <c r="A161" s="14" t="inlineStr">
        <is>
          <t>2025-10-30</t>
        </is>
      </c>
      <c r="B161" s="7" t="inlineStr">
        <is>
          <t>APLAPOLLO</t>
        </is>
      </c>
      <c r="C161" s="14" t="inlineStr">
        <is>
          <t>PE</t>
        </is>
      </c>
      <c r="D161" s="14" t="inlineStr">
        <is>
          <t>mid</t>
        </is>
      </c>
      <c r="E161" s="21" t="n">
        <v>1720</v>
      </c>
      <c r="F161" s="14" t="inlineStr">
        <is>
          <t>2025-11-25</t>
        </is>
      </c>
      <c r="G161" s="8" t="n">
        <v>350</v>
      </c>
      <c r="H161" s="22" t="n">
        <v>460.4</v>
      </c>
      <c r="I161" s="22" t="n">
        <v>27.1</v>
      </c>
      <c r="J161" s="22" t="n">
        <v>9.1</v>
      </c>
      <c r="K161" s="23" t="n">
        <v>18.8</v>
      </c>
      <c r="L161" s="23" t="n">
        <v>18.75</v>
      </c>
      <c r="M161" s="23" t="n">
        <v>28</v>
      </c>
      <c r="N161" s="23" t="n">
        <v>17.25</v>
      </c>
      <c r="O161" s="23" t="n">
        <v>19.45</v>
      </c>
      <c r="P161" s="23" t="n">
        <v>19.4</v>
      </c>
      <c r="Q161" s="8">
        <f>K161*G161</f>
        <v/>
      </c>
      <c r="R161" s="24">
        <f>(M161-K161)*G161</f>
        <v/>
      </c>
      <c r="S161" s="25">
        <f>(M161/K161-1)*100</f>
        <v/>
      </c>
      <c r="T161" s="26">
        <f>(N161-K161)*G161</f>
        <v/>
      </c>
      <c r="U161" s="27">
        <f>(N161/K161-1)*100</f>
        <v/>
      </c>
      <c r="V161" s="11">
        <f>(P161-K161)*G161</f>
        <v/>
      </c>
      <c r="W161" s="11" t="n">
        <v>-120.61</v>
      </c>
      <c r="X161" s="10">
        <f>W161/Q161*100</f>
        <v/>
      </c>
      <c r="Y161" s="12" t="n">
        <v>2.214</v>
      </c>
      <c r="Z161" s="14" t="inlineStr">
        <is>
          <t>2025_H2</t>
        </is>
      </c>
    </row>
    <row r="162">
      <c r="A162" s="14" t="inlineStr">
        <is>
          <t>2025-10-30</t>
        </is>
      </c>
      <c r="B162" s="7" t="inlineStr">
        <is>
          <t>CGPOWER</t>
        </is>
      </c>
      <c r="C162" s="14" t="inlineStr">
        <is>
          <t>PE</t>
        </is>
      </c>
      <c r="D162" s="14" t="inlineStr">
        <is>
          <t>large</t>
        </is>
      </c>
      <c r="E162" s="21" t="n">
        <v>700</v>
      </c>
      <c r="F162" s="14" t="inlineStr">
        <is>
          <t>2025-11-25</t>
        </is>
      </c>
      <c r="G162" s="8" t="n">
        <v>850</v>
      </c>
      <c r="H162" s="22" t="n">
        <v>151</v>
      </c>
      <c r="I162" s="22" t="n">
        <v>106.6</v>
      </c>
      <c r="J162" s="22" t="n">
        <v>140.4</v>
      </c>
      <c r="K162" s="23" t="n">
        <v>6.05</v>
      </c>
      <c r="L162" s="23" t="n">
        <v>6</v>
      </c>
      <c r="M162" s="23" t="n">
        <v>9.5</v>
      </c>
      <c r="N162" s="23" t="n">
        <v>5.95</v>
      </c>
      <c r="O162" s="23" t="n">
        <v>7.95</v>
      </c>
      <c r="P162" s="23" t="n">
        <v>7.9</v>
      </c>
      <c r="Q162" s="8">
        <f>K162*G162</f>
        <v/>
      </c>
      <c r="R162" s="24">
        <f>(M162-K162)*G162</f>
        <v/>
      </c>
      <c r="S162" s="25">
        <f>(M162/K162-1)*100</f>
        <v/>
      </c>
      <c r="T162" s="26">
        <f>(N162-K162)*G162</f>
        <v/>
      </c>
      <c r="U162" s="27">
        <f>(N162/K162-1)*100</f>
        <v/>
      </c>
      <c r="V162" s="11">
        <f>(P162-K162)*G162</f>
        <v/>
      </c>
      <c r="W162" s="11" t="n">
        <v>1391.51</v>
      </c>
      <c r="X162" s="10">
        <f>W162/Q162*100</f>
        <v/>
      </c>
      <c r="Y162" s="12" t="n">
        <v>2.56</v>
      </c>
      <c r="Z162" s="14" t="inlineStr">
        <is>
          <t>2025_H2</t>
        </is>
      </c>
    </row>
    <row r="163">
      <c r="A163" s="14" t="inlineStr">
        <is>
          <t>2025-10-30</t>
        </is>
      </c>
      <c r="B163" s="7" t="inlineStr">
        <is>
          <t>COALINDIA</t>
        </is>
      </c>
      <c r="C163" s="14" t="inlineStr">
        <is>
          <t>CE</t>
        </is>
      </c>
      <c r="D163" s="14" t="inlineStr">
        <is>
          <t>large</t>
        </is>
      </c>
      <c r="E163" s="21" t="n">
        <v>390</v>
      </c>
      <c r="F163" s="14" t="inlineStr">
        <is>
          <t>2025-11-25</t>
        </is>
      </c>
      <c r="G163" s="8" t="n">
        <v>1350</v>
      </c>
      <c r="H163" s="22" t="n">
        <v>-32.1</v>
      </c>
      <c r="I163" s="22" t="n">
        <v>-51.2</v>
      </c>
      <c r="J163" s="22" t="n">
        <v>-1.6</v>
      </c>
      <c r="K163" s="23" t="n">
        <v>5.6</v>
      </c>
      <c r="L163" s="23" t="n">
        <v>5.55</v>
      </c>
      <c r="M163" s="23" t="n">
        <v>7.65</v>
      </c>
      <c r="N163" s="23" t="n">
        <v>4.4</v>
      </c>
      <c r="O163" s="23" t="n">
        <v>7.1</v>
      </c>
      <c r="P163" s="23" t="n">
        <v>7.05</v>
      </c>
      <c r="Q163" s="8">
        <f>K163*G163</f>
        <v/>
      </c>
      <c r="R163" s="24">
        <f>(M163-K163)*G163</f>
        <v/>
      </c>
      <c r="S163" s="25">
        <f>(M163/K163-1)*100</f>
        <v/>
      </c>
      <c r="T163" s="26">
        <f>(N163-K163)*G163</f>
        <v/>
      </c>
      <c r="U163" s="27">
        <f>(N163/K163-1)*100</f>
        <v/>
      </c>
      <c r="V163" s="11">
        <f>(P163-K163)*G163</f>
        <v/>
      </c>
      <c r="W163" s="11" t="n">
        <v>1717.84</v>
      </c>
      <c r="X163" s="10">
        <f>W163/Q163*100</f>
        <v/>
      </c>
      <c r="Y163" s="12" t="n">
        <v>1.24</v>
      </c>
      <c r="Z163" s="14" t="inlineStr">
        <is>
          <t>2025_H2</t>
        </is>
      </c>
    </row>
    <row r="164">
      <c r="A164" s="14" t="inlineStr">
        <is>
          <t>2025-10-30</t>
        </is>
      </c>
      <c r="B164" s="7" t="inlineStr">
        <is>
          <t>LT</t>
        </is>
      </c>
      <c r="C164" s="14" t="inlineStr">
        <is>
          <t>PE</t>
        </is>
      </c>
      <c r="D164" s="14" t="inlineStr">
        <is>
          <t>large</t>
        </is>
      </c>
      <c r="E164" s="21" t="n">
        <v>3880</v>
      </c>
      <c r="F164" s="14" t="inlineStr">
        <is>
          <t>2025-11-25</t>
        </is>
      </c>
      <c r="G164" s="8" t="n">
        <v>175</v>
      </c>
      <c r="H164" s="22" t="n">
        <v>14.1</v>
      </c>
      <c r="I164" s="22" t="n">
        <v>8.300000000000001</v>
      </c>
      <c r="J164" s="22" t="n">
        <v>10.4</v>
      </c>
      <c r="K164" s="23" t="n">
        <v>44.05</v>
      </c>
      <c r="L164" s="23" t="n">
        <v>44</v>
      </c>
      <c r="M164" s="23" t="n">
        <v>44</v>
      </c>
      <c r="N164" s="23" t="n">
        <v>20.55</v>
      </c>
      <c r="O164" s="23" t="n">
        <v>32.05</v>
      </c>
      <c r="P164" s="23" t="n">
        <v>32</v>
      </c>
      <c r="Q164" s="8">
        <f>K164*G164</f>
        <v/>
      </c>
      <c r="R164" s="24">
        <f>(M164-K164)*G164</f>
        <v/>
      </c>
      <c r="S164" s="25">
        <f>(M164/K164-1)*100</f>
        <v/>
      </c>
      <c r="T164" s="26">
        <f>(N164-K164)*G164</f>
        <v/>
      </c>
      <c r="U164" s="27">
        <f>(N164/K164-1)*100</f>
        <v/>
      </c>
      <c r="V164" s="11">
        <f>(P164-K164)*G164</f>
        <v/>
      </c>
      <c r="W164" s="11" t="n">
        <v>-2303.27</v>
      </c>
      <c r="X164" s="10">
        <f>W164/Q164*100</f>
        <v/>
      </c>
      <c r="Y164" s="12" t="n">
        <v>-0.188</v>
      </c>
      <c r="Z164" s="14" t="inlineStr">
        <is>
          <t>2025_H2</t>
        </is>
      </c>
    </row>
    <row r="165">
      <c r="A165" s="14" t="inlineStr">
        <is>
          <t>2025-10-30</t>
        </is>
      </c>
      <c r="B165" s="7" t="inlineStr">
        <is>
          <t>POLICYBZR</t>
        </is>
      </c>
      <c r="C165" s="14" t="inlineStr">
        <is>
          <t>PE</t>
        </is>
      </c>
      <c r="D165" s="14" t="inlineStr">
        <is>
          <t>mid</t>
        </is>
      </c>
      <c r="E165" s="21" t="n">
        <v>1660</v>
      </c>
      <c r="F165" s="14" t="inlineStr">
        <is>
          <t>2025-11-25</t>
        </is>
      </c>
      <c r="G165" s="8" t="n">
        <v>350</v>
      </c>
      <c r="H165" s="22" t="n">
        <v>164.6</v>
      </c>
      <c r="I165" s="22" t="n">
        <v>59.4</v>
      </c>
      <c r="J165" s="22" t="n">
        <v>38.2</v>
      </c>
      <c r="K165" s="23" t="n">
        <v>21.25</v>
      </c>
      <c r="L165" s="23" t="n">
        <v>21.2</v>
      </c>
      <c r="M165" s="23" t="n">
        <v>21.9</v>
      </c>
      <c r="N165" s="23" t="n">
        <v>6.4</v>
      </c>
      <c r="O165" s="23" t="n">
        <v>7</v>
      </c>
      <c r="P165" s="23" t="n">
        <v>6.95</v>
      </c>
      <c r="Q165" s="8">
        <f>K165*G165</f>
        <v/>
      </c>
      <c r="R165" s="24">
        <f>(M165-K165)*G165</f>
        <v/>
      </c>
      <c r="S165" s="25">
        <f>(M165/K165-1)*100</f>
        <v/>
      </c>
      <c r="T165" s="26">
        <f>(N165-K165)*G165</f>
        <v/>
      </c>
      <c r="U165" s="27">
        <f>(N165/K165-1)*100</f>
        <v/>
      </c>
      <c r="V165" s="11">
        <f>(P165-K165)*G165</f>
        <v/>
      </c>
      <c r="W165" s="11" t="n">
        <v>-5257.62</v>
      </c>
      <c r="X165" s="10">
        <f>W165/Q165*100</f>
        <v/>
      </c>
      <c r="Y165" s="12" t="n">
        <v>-2.421</v>
      </c>
      <c r="Z165" s="14" t="inlineStr">
        <is>
          <t>2025_H2</t>
        </is>
      </c>
    </row>
    <row r="166">
      <c r="A166" s="14" t="inlineStr">
        <is>
          <t>2025-10-31</t>
        </is>
      </c>
      <c r="B166" s="7" t="inlineStr">
        <is>
          <t>BANDHANBNK</t>
        </is>
      </c>
      <c r="C166" s="14" t="inlineStr">
        <is>
          <t>CE</t>
        </is>
      </c>
      <c r="D166" s="14" t="inlineStr">
        <is>
          <t>small</t>
        </is>
      </c>
      <c r="E166" s="21" t="n">
        <v>172.5</v>
      </c>
      <c r="F166" s="14" t="inlineStr">
        <is>
          <t>2025-11-25</t>
        </is>
      </c>
      <c r="G166" s="8" t="n">
        <v>3600</v>
      </c>
      <c r="H166" s="22" t="n">
        <v>-88.09999999999999</v>
      </c>
      <c r="I166" s="22" t="n">
        <v>-69.90000000000001</v>
      </c>
      <c r="J166" s="22" t="n">
        <v>-2.7</v>
      </c>
      <c r="K166" s="23" t="n">
        <v>2.2</v>
      </c>
      <c r="L166" s="23" t="n">
        <v>2.15</v>
      </c>
      <c r="M166" s="23" t="n">
        <v>2.45</v>
      </c>
      <c r="N166" s="23" t="n">
        <v>1</v>
      </c>
      <c r="O166" s="23" t="n">
        <v>1.05</v>
      </c>
      <c r="P166" s="23" t="n">
        <v>1</v>
      </c>
      <c r="Q166" s="8">
        <f>K166*G166</f>
        <v/>
      </c>
      <c r="R166" s="24">
        <f>(M166-K166)*G166</f>
        <v/>
      </c>
      <c r="S166" s="25">
        <f>(M166/K166-1)*100</f>
        <v/>
      </c>
      <c r="T166" s="26">
        <f>(N166-K166)*G166</f>
        <v/>
      </c>
      <c r="U166" s="27">
        <f>(N166/K166-1)*100</f>
        <v/>
      </c>
      <c r="V166" s="11">
        <f>(P166-K166)*G166</f>
        <v/>
      </c>
      <c r="W166" s="11" t="n">
        <v>-4723.28</v>
      </c>
      <c r="X166" s="10">
        <f>W166/Q166*100</f>
        <v/>
      </c>
      <c r="Y166" s="12" t="n">
        <v>-4.595</v>
      </c>
      <c r="Z166" s="14" t="inlineStr">
        <is>
          <t>2025_H2</t>
        </is>
      </c>
    </row>
    <row r="167">
      <c r="A167" s="14" t="inlineStr">
        <is>
          <t>2025-10-31</t>
        </is>
      </c>
      <c r="B167" s="7" t="inlineStr">
        <is>
          <t>LODHA</t>
        </is>
      </c>
      <c r="C167" s="14" t="inlineStr">
        <is>
          <t>PE</t>
        </is>
      </c>
      <c r="D167" s="14" t="inlineStr">
        <is>
          <t>large</t>
        </is>
      </c>
      <c r="E167" s="21" t="n">
        <v>1140</v>
      </c>
      <c r="F167" s="14" t="inlineStr">
        <is>
          <t>2025-11-25</t>
        </is>
      </c>
      <c r="G167" s="8" t="n">
        <v>450</v>
      </c>
      <c r="H167" s="22" t="n">
        <v>86.7</v>
      </c>
      <c r="I167" s="22" t="n">
        <v>17</v>
      </c>
      <c r="J167" s="22" t="n">
        <v>44.7</v>
      </c>
      <c r="K167" s="23" t="n">
        <v>16.5</v>
      </c>
      <c r="L167" s="23" t="n">
        <v>16.45</v>
      </c>
      <c r="M167" s="23" t="n">
        <v>17.9</v>
      </c>
      <c r="N167" s="23" t="n">
        <v>9.800000000000001</v>
      </c>
      <c r="O167" s="23" t="n">
        <v>14.3</v>
      </c>
      <c r="P167" s="23" t="n">
        <v>14.25</v>
      </c>
      <c r="Q167" s="8">
        <f>K167*G167</f>
        <v/>
      </c>
      <c r="R167" s="24">
        <f>(M167-K167)*G167</f>
        <v/>
      </c>
      <c r="S167" s="25">
        <f>(M167/K167-1)*100</f>
        <v/>
      </c>
      <c r="T167" s="26">
        <f>(N167-K167)*G167</f>
        <v/>
      </c>
      <c r="U167" s="27">
        <f>(N167/K167-1)*100</f>
        <v/>
      </c>
      <c r="V167" s="11">
        <f>(P167-K167)*G167</f>
        <v/>
      </c>
      <c r="W167" s="11" t="n">
        <v>-1213.74</v>
      </c>
      <c r="X167" s="10">
        <f>W167/Q167*100</f>
        <v/>
      </c>
      <c r="Y167" s="12" t="n">
        <v>0.092</v>
      </c>
      <c r="Z167" s="14" t="inlineStr">
        <is>
          <t>2025_H2</t>
        </is>
      </c>
    </row>
    <row r="168">
      <c r="A168" s="14" t="inlineStr">
        <is>
          <t>2025-10-31</t>
        </is>
      </c>
      <c r="B168" s="7" t="inlineStr">
        <is>
          <t>MPHASIS</t>
        </is>
      </c>
      <c r="C168" s="14" t="inlineStr">
        <is>
          <t>PE</t>
        </is>
      </c>
      <c r="D168" s="14" t="inlineStr">
        <is>
          <t>mid</t>
        </is>
      </c>
      <c r="E168" s="21" t="n">
        <v>2700</v>
      </c>
      <c r="F168" s="14" t="inlineStr">
        <is>
          <t>2025-11-25</t>
        </is>
      </c>
      <c r="G168" s="8" t="n">
        <v>275</v>
      </c>
      <c r="H168" s="22" t="n">
        <v>10.8</v>
      </c>
      <c r="I168" s="22" t="n">
        <v>6.2</v>
      </c>
      <c r="J168" s="22" t="n">
        <v>10.3</v>
      </c>
      <c r="K168" s="23" t="n">
        <v>23.8</v>
      </c>
      <c r="L168" s="23" t="n">
        <v>23.75</v>
      </c>
      <c r="M168" s="23" t="n">
        <v>54.15</v>
      </c>
      <c r="N168" s="23" t="n">
        <v>18.5</v>
      </c>
      <c r="O168" s="23" t="n">
        <v>48.35</v>
      </c>
      <c r="P168" s="23" t="n">
        <v>48.3</v>
      </c>
      <c r="Q168" s="8">
        <f>K168*G168</f>
        <v/>
      </c>
      <c r="R168" s="24">
        <f>(M168-K168)*G168</f>
        <v/>
      </c>
      <c r="S168" s="25">
        <f>(M168/K168-1)*100</f>
        <v/>
      </c>
      <c r="T168" s="26">
        <f>(N168-K168)*G168</f>
        <v/>
      </c>
      <c r="U168" s="27">
        <f>(N168/K168-1)*100</f>
        <v/>
      </c>
      <c r="V168" s="11">
        <f>(P168-K168)*G168</f>
        <v/>
      </c>
      <c r="W168" s="11" t="n">
        <v>6265.29</v>
      </c>
      <c r="X168" s="10">
        <f>W168/Q168*100</f>
        <v/>
      </c>
      <c r="Y168" s="12" t="n">
        <v>6.292</v>
      </c>
      <c r="Z168" s="14" t="inlineStr">
        <is>
          <t>2025_H2</t>
        </is>
      </c>
    </row>
    <row r="169">
      <c r="A169" s="14" t="inlineStr">
        <is>
          <t>2025-10-31</t>
        </is>
      </c>
      <c r="B169" s="7" t="inlineStr">
        <is>
          <t>UNITDSPR</t>
        </is>
      </c>
      <c r="C169" s="14" t="inlineStr">
        <is>
          <t>PE</t>
        </is>
      </c>
      <c r="D169" s="14" t="inlineStr">
        <is>
          <t>large</t>
        </is>
      </c>
      <c r="E169" s="21" t="n">
        <v>1380</v>
      </c>
      <c r="F169" s="14" t="inlineStr">
        <is>
          <t>2025-11-25</t>
        </is>
      </c>
      <c r="G169" s="8" t="n">
        <v>400</v>
      </c>
      <c r="H169" s="22" t="n">
        <v>36.1</v>
      </c>
      <c r="I169" s="22" t="n">
        <v>11.3</v>
      </c>
      <c r="J169" s="22" t="n">
        <v>7.9</v>
      </c>
      <c r="K169" s="23" t="n">
        <v>14.9</v>
      </c>
      <c r="L169" s="23" t="n">
        <v>14.85</v>
      </c>
      <c r="M169" s="23" t="n">
        <v>14.85</v>
      </c>
      <c r="N169" s="23" t="n">
        <v>4.8</v>
      </c>
      <c r="O169" s="23" t="n">
        <v>13</v>
      </c>
      <c r="P169" s="23" t="n">
        <v>12.95</v>
      </c>
      <c r="Q169" s="8">
        <f>K169*G169</f>
        <v/>
      </c>
      <c r="R169" s="24">
        <f>(M169-K169)*G169</f>
        <v/>
      </c>
      <c r="S169" s="25">
        <f>(M169/K169-1)*100</f>
        <v/>
      </c>
      <c r="T169" s="26">
        <f>(N169-K169)*G169</f>
        <v/>
      </c>
      <c r="U169" s="27">
        <f>(N169/K169-1)*100</f>
        <v/>
      </c>
      <c r="V169" s="11">
        <f>(P169-K169)*G169</f>
        <v/>
      </c>
      <c r="W169" s="11" t="n">
        <v>-951.24</v>
      </c>
      <c r="X169" s="10">
        <f>W169/Q169*100</f>
        <v/>
      </c>
      <c r="Y169" s="12" t="n">
        <v>1.622</v>
      </c>
      <c r="Z169" s="14" t="inlineStr">
        <is>
          <t>2025_H2</t>
        </is>
      </c>
    </row>
    <row r="170">
      <c r="A170" s="14" t="inlineStr">
        <is>
          <t>2025-11-03</t>
        </is>
      </c>
      <c r="B170" s="7" t="inlineStr">
        <is>
          <t>BEL</t>
        </is>
      </c>
      <c r="C170" s="14" t="inlineStr">
        <is>
          <t>PE</t>
        </is>
      </c>
      <c r="D170" s="14" t="inlineStr">
        <is>
          <t>large</t>
        </is>
      </c>
      <c r="E170" s="21" t="n">
        <v>415</v>
      </c>
      <c r="F170" s="14" t="inlineStr">
        <is>
          <t>2025-11-25</t>
        </is>
      </c>
      <c r="G170" s="8" t="n">
        <v>1425</v>
      </c>
      <c r="H170" s="22" t="n">
        <v>17.8</v>
      </c>
      <c r="I170" s="22" t="n">
        <v>32.8</v>
      </c>
      <c r="J170" s="22" t="n">
        <v>25.8</v>
      </c>
      <c r="K170" s="23" t="n">
        <v>5.1</v>
      </c>
      <c r="L170" s="23" t="n">
        <v>5.05</v>
      </c>
      <c r="M170" s="23" t="n">
        <v>9.1</v>
      </c>
      <c r="N170" s="23" t="n">
        <v>4.05</v>
      </c>
      <c r="O170" s="23" t="n">
        <v>6.45</v>
      </c>
      <c r="P170" s="23" t="n">
        <v>6.4</v>
      </c>
      <c r="Q170" s="8">
        <f>K170*G170</f>
        <v/>
      </c>
      <c r="R170" s="24">
        <f>(M170-K170)*G170</f>
        <v/>
      </c>
      <c r="S170" s="25">
        <f>(M170/K170-1)*100</f>
        <v/>
      </c>
      <c r="T170" s="26">
        <f>(N170-K170)*G170</f>
        <v/>
      </c>
      <c r="U170" s="27">
        <f>(N170/K170-1)*100</f>
        <v/>
      </c>
      <c r="V170" s="11">
        <f>(P170-K170)*G170</f>
        <v/>
      </c>
      <c r="W170" s="11" t="n">
        <v>1620.64</v>
      </c>
      <c r="X170" s="10">
        <f>W170/Q170*100</f>
        <v/>
      </c>
      <c r="Y170" s="12" t="n">
        <v>1.332</v>
      </c>
      <c r="Z170" s="14" t="inlineStr">
        <is>
          <t>2025_H2</t>
        </is>
      </c>
    </row>
    <row r="171">
      <c r="A171" s="14" t="inlineStr">
        <is>
          <t>2025-11-03</t>
        </is>
      </c>
      <c r="B171" s="7" t="inlineStr">
        <is>
          <t>GAIL</t>
        </is>
      </c>
      <c r="C171" s="14" t="inlineStr">
        <is>
          <t>CE</t>
        </is>
      </c>
      <c r="D171" s="14" t="inlineStr">
        <is>
          <t>large</t>
        </is>
      </c>
      <c r="E171" s="21" t="n">
        <v>190</v>
      </c>
      <c r="F171" s="14" t="inlineStr">
        <is>
          <t>2025-11-25</t>
        </is>
      </c>
      <c r="G171" s="8" t="n">
        <v>3150</v>
      </c>
      <c r="H171" s="22" t="n">
        <v>-26.1</v>
      </c>
      <c r="I171" s="22" t="n">
        <v>-16.5</v>
      </c>
      <c r="J171" s="22" t="n">
        <v>4.9</v>
      </c>
      <c r="K171" s="23" t="n">
        <v>2.21</v>
      </c>
      <c r="L171" s="23" t="n">
        <v>2.16</v>
      </c>
      <c r="M171" s="23" t="n">
        <v>2.45</v>
      </c>
      <c r="N171" s="23" t="n">
        <v>1.15</v>
      </c>
      <c r="O171" s="23" t="n">
        <v>2.3</v>
      </c>
      <c r="P171" s="23" t="n">
        <v>2.25</v>
      </c>
      <c r="Q171" s="8">
        <f>K171*G171</f>
        <v/>
      </c>
      <c r="R171" s="24">
        <f>(M171-K171)*G171</f>
        <v/>
      </c>
      <c r="S171" s="25">
        <f>(M171/K171-1)*100</f>
        <v/>
      </c>
      <c r="T171" s="26">
        <f>(N171-K171)*G171</f>
        <v/>
      </c>
      <c r="U171" s="27">
        <f>(N171/K171-1)*100</f>
        <v/>
      </c>
      <c r="V171" s="11">
        <f>(P171-K171)*G171</f>
        <v/>
      </c>
      <c r="W171" s="11" t="n">
        <v>-78.44</v>
      </c>
      <c r="X171" s="10">
        <f>W171/Q171*100</f>
        <v/>
      </c>
      <c r="Y171" s="12" t="n">
        <v>0.6850000000000001</v>
      </c>
      <c r="Z171" s="14" t="inlineStr">
        <is>
          <t>2025_H2</t>
        </is>
      </c>
    </row>
    <row r="172">
      <c r="A172" s="14" t="inlineStr">
        <is>
          <t>2025-11-03</t>
        </is>
      </c>
      <c r="B172" s="7" t="inlineStr">
        <is>
          <t>PATANJALI</t>
        </is>
      </c>
      <c r="C172" s="14" t="inlineStr">
        <is>
          <t>PE</t>
        </is>
      </c>
      <c r="D172" s="14" t="inlineStr">
        <is>
          <t>mid</t>
        </is>
      </c>
      <c r="E172" s="21" t="n">
        <v>580</v>
      </c>
      <c r="F172" s="14" t="inlineStr">
        <is>
          <t>2025-11-25</t>
        </is>
      </c>
      <c r="G172" s="8" t="n">
        <v>900</v>
      </c>
      <c r="H172" s="22" t="n">
        <v>67.40000000000001</v>
      </c>
      <c r="I172" s="22" t="n">
        <v>186.5</v>
      </c>
      <c r="J172" s="22" t="n">
        <v>20.2</v>
      </c>
      <c r="K172" s="23" t="n">
        <v>6.9</v>
      </c>
      <c r="L172" s="23" t="n">
        <v>6.85</v>
      </c>
      <c r="M172" s="23" t="n">
        <v>23.1</v>
      </c>
      <c r="N172" s="23" t="n">
        <v>6</v>
      </c>
      <c r="O172" s="23" t="n">
        <v>15.55</v>
      </c>
      <c r="P172" s="23" t="n">
        <v>15.5</v>
      </c>
      <c r="Q172" s="8">
        <f>K172*G172</f>
        <v/>
      </c>
      <c r="R172" s="24">
        <f>(M172-K172)*G172</f>
        <v/>
      </c>
      <c r="S172" s="25">
        <f>(M172/K172-1)*100</f>
        <v/>
      </c>
      <c r="T172" s="26">
        <f>(N172-K172)*G172</f>
        <v/>
      </c>
      <c r="U172" s="27">
        <f>(N172/K172-1)*100</f>
        <v/>
      </c>
      <c r="V172" s="11">
        <f>(P172-K172)*G172</f>
        <v/>
      </c>
      <c r="W172" s="11" t="n">
        <v>7260</v>
      </c>
      <c r="X172" s="10">
        <f>W172/Q172*100</f>
        <v/>
      </c>
      <c r="Y172" s="12" t="n">
        <v>4.745</v>
      </c>
      <c r="Z172" s="14" t="inlineStr">
        <is>
          <t>2025_H2</t>
        </is>
      </c>
    </row>
    <row r="173">
      <c r="A173" s="14" t="inlineStr">
        <is>
          <t>2025-11-03</t>
        </is>
      </c>
      <c r="B173" s="7" t="inlineStr">
        <is>
          <t>PHOENIXLTD</t>
        </is>
      </c>
      <c r="C173" s="14" t="inlineStr">
        <is>
          <t>PE</t>
        </is>
      </c>
      <c r="D173" s="14" t="inlineStr">
        <is>
          <t>mid</t>
        </is>
      </c>
      <c r="E173" s="21" t="n">
        <v>1620</v>
      </c>
      <c r="F173" s="14" t="inlineStr">
        <is>
          <t>2025-11-25</t>
        </is>
      </c>
      <c r="G173" s="8" t="n">
        <v>350</v>
      </c>
      <c r="H173" s="22" t="n">
        <v>31.5</v>
      </c>
      <c r="I173" s="22" t="n">
        <v>19.7</v>
      </c>
      <c r="J173" s="22" t="n">
        <v>21.5</v>
      </c>
      <c r="K173" s="23" t="n">
        <v>16.9</v>
      </c>
      <c r="L173" s="23" t="n">
        <v>16.85</v>
      </c>
      <c r="M173" s="23" t="n">
        <v>16.85</v>
      </c>
      <c r="N173" s="23" t="n">
        <v>7.45</v>
      </c>
      <c r="O173" s="23" t="n">
        <v>8.75</v>
      </c>
      <c r="P173" s="23" t="n">
        <v>8.699999999999999</v>
      </c>
      <c r="Q173" s="8">
        <f>K173*G173</f>
        <v/>
      </c>
      <c r="R173" s="24">
        <f>(M173-K173)*G173</f>
        <v/>
      </c>
      <c r="S173" s="25">
        <f>(M173/K173-1)*100</f>
        <v/>
      </c>
      <c r="T173" s="26">
        <f>(N173-K173)*G173</f>
        <v/>
      </c>
      <c r="U173" s="27">
        <f>(N173/K173-1)*100</f>
        <v/>
      </c>
      <c r="V173" s="11">
        <f>(P173-K173)*G173</f>
        <v/>
      </c>
      <c r="W173" s="11" t="n">
        <v>-3104.92</v>
      </c>
      <c r="X173" s="10">
        <f>W173/Q173*100</f>
        <v/>
      </c>
      <c r="Y173" s="12" t="n">
        <v>-3.038</v>
      </c>
      <c r="Z173" s="14" t="inlineStr">
        <is>
          <t>2025_H2</t>
        </is>
      </c>
    </row>
    <row r="174">
      <c r="A174" s="14" t="inlineStr">
        <is>
          <t>2025-11-03</t>
        </is>
      </c>
      <c r="B174" s="7" t="inlineStr">
        <is>
          <t>VEDL</t>
        </is>
      </c>
      <c r="C174" s="14" t="inlineStr">
        <is>
          <t>CE</t>
        </is>
      </c>
      <c r="D174" s="14" t="inlineStr">
        <is>
          <t>large</t>
        </is>
      </c>
      <c r="E174" s="21" t="n">
        <v>530</v>
      </c>
      <c r="F174" s="14" t="inlineStr">
        <is>
          <t>2025-11-25</t>
        </is>
      </c>
      <c r="G174" s="8" t="n">
        <v>1150</v>
      </c>
      <c r="H174" s="22" t="n">
        <v>-37.9</v>
      </c>
      <c r="I174" s="22" t="n">
        <v>-21.9</v>
      </c>
      <c r="J174" s="22" t="n">
        <v>5.9</v>
      </c>
      <c r="K174" s="23" t="n">
        <v>6.5</v>
      </c>
      <c r="L174" s="23" t="n">
        <v>6.45</v>
      </c>
      <c r="M174" s="23" t="n">
        <v>10.1</v>
      </c>
      <c r="N174" s="23" t="n">
        <v>6</v>
      </c>
      <c r="O174" s="23" t="n">
        <v>9.4</v>
      </c>
      <c r="P174" s="23" t="n">
        <v>9.35</v>
      </c>
      <c r="Q174" s="8">
        <f>K174*G174</f>
        <v/>
      </c>
      <c r="R174" s="24">
        <f>(M174-K174)*G174</f>
        <v/>
      </c>
      <c r="S174" s="25">
        <f>(M174/K174-1)*100</f>
        <v/>
      </c>
      <c r="T174" s="26">
        <f>(N174-K174)*G174</f>
        <v/>
      </c>
      <c r="U174" s="27">
        <f>(N174/K174-1)*100</f>
        <v/>
      </c>
      <c r="V174" s="11">
        <f>(P174-K174)*G174</f>
        <v/>
      </c>
      <c r="W174" s="11" t="n">
        <v>3024</v>
      </c>
      <c r="X174" s="10">
        <f>W174/Q174*100</f>
        <v/>
      </c>
      <c r="Y174" s="12" t="n">
        <v>2.191</v>
      </c>
      <c r="Z174" s="14" t="inlineStr">
        <is>
          <t>2025_H2</t>
        </is>
      </c>
    </row>
    <row r="175">
      <c r="A175" s="14" t="inlineStr">
        <is>
          <t>2025-11-04</t>
        </is>
      </c>
      <c r="B175" s="7" t="inlineStr">
        <is>
          <t>AMBUJACEM</t>
        </is>
      </c>
      <c r="C175" s="14" t="inlineStr">
        <is>
          <t>PE</t>
        </is>
      </c>
      <c r="D175" s="14" t="inlineStr">
        <is>
          <t>large</t>
        </is>
      </c>
      <c r="E175" s="21" t="n">
        <v>565</v>
      </c>
      <c r="F175" s="14" t="inlineStr">
        <is>
          <t>2025-11-25</t>
        </is>
      </c>
      <c r="G175" s="8" t="n">
        <v>1050</v>
      </c>
      <c r="H175" s="22" t="n">
        <v>386.9</v>
      </c>
      <c r="I175" s="22" t="n">
        <v>137.4</v>
      </c>
      <c r="J175" s="22" t="n">
        <v>22.1</v>
      </c>
      <c r="K175" s="23" t="n">
        <v>6.4</v>
      </c>
      <c r="L175" s="23" t="n">
        <v>6.35</v>
      </c>
      <c r="M175" s="23" t="n">
        <v>11.75</v>
      </c>
      <c r="N175" s="23" t="n">
        <v>4</v>
      </c>
      <c r="O175" s="23" t="n">
        <v>10.95</v>
      </c>
      <c r="P175" s="23" t="n">
        <v>10.9</v>
      </c>
      <c r="Q175" s="8">
        <f>K175*G175</f>
        <v/>
      </c>
      <c r="R175" s="24">
        <f>(M175-K175)*G175</f>
        <v/>
      </c>
      <c r="S175" s="25">
        <f>(M175/K175-1)*100</f>
        <v/>
      </c>
      <c r="T175" s="26">
        <f>(N175-K175)*G175</f>
        <v/>
      </c>
      <c r="U175" s="27">
        <f>(N175/K175-1)*100</f>
        <v/>
      </c>
      <c r="V175" s="11">
        <f>(P175-K175)*G175</f>
        <v/>
      </c>
      <c r="W175" s="11" t="n">
        <v>4471.14</v>
      </c>
      <c r="X175" s="10">
        <f>W175/Q175*100</f>
        <v/>
      </c>
      <c r="Y175" s="12" t="n">
        <v>2.642</v>
      </c>
      <c r="Z175" s="14" t="inlineStr">
        <is>
          <t>2025_H2</t>
        </is>
      </c>
    </row>
    <row r="176">
      <c r="A176" s="14" t="inlineStr">
        <is>
          <t>2025-11-04</t>
        </is>
      </c>
      <c r="B176" s="7" t="inlineStr">
        <is>
          <t>BHARTIARTL</t>
        </is>
      </c>
      <c r="C176" s="14" t="inlineStr">
        <is>
          <t>PE</t>
        </is>
      </c>
      <c r="D176" s="14" t="inlineStr">
        <is>
          <t>large</t>
        </is>
      </c>
      <c r="E176" s="21" t="n">
        <v>2040</v>
      </c>
      <c r="F176" s="14" t="inlineStr">
        <is>
          <t>2025-11-25</t>
        </is>
      </c>
      <c r="G176" s="8" t="n">
        <v>475</v>
      </c>
      <c r="H176" s="22" t="n">
        <v>108.3</v>
      </c>
      <c r="I176" s="22" t="n">
        <v>16.6</v>
      </c>
      <c r="J176" s="22" t="n">
        <v>25.7</v>
      </c>
      <c r="K176" s="23" t="n">
        <v>13.3</v>
      </c>
      <c r="L176" s="23" t="n">
        <v>13.25</v>
      </c>
      <c r="M176" s="23" t="n">
        <v>14.25</v>
      </c>
      <c r="N176" s="23" t="n">
        <v>7.5</v>
      </c>
      <c r="O176" s="23" t="n">
        <v>9.75</v>
      </c>
      <c r="P176" s="23" t="n">
        <v>9.699999999999999</v>
      </c>
      <c r="Q176" s="8">
        <f>K176*G176</f>
        <v/>
      </c>
      <c r="R176" s="24">
        <f>(M176-K176)*G176</f>
        <v/>
      </c>
      <c r="S176" s="25">
        <f>(M176/K176-1)*100</f>
        <v/>
      </c>
      <c r="T176" s="26">
        <f>(N176-K176)*G176</f>
        <v/>
      </c>
      <c r="U176" s="27">
        <f>(N176/K176-1)*100</f>
        <v/>
      </c>
      <c r="V176" s="11">
        <f>(P176-K176)*G176</f>
        <v/>
      </c>
      <c r="W176" s="11" t="n">
        <v>-1878.15</v>
      </c>
      <c r="X176" s="10">
        <f>W176/Q176*100</f>
        <v/>
      </c>
      <c r="Y176" s="12" t="n">
        <v>-0.299</v>
      </c>
      <c r="Z176" s="14" t="inlineStr">
        <is>
          <t>2025_H2</t>
        </is>
      </c>
    </row>
    <row r="177">
      <c r="A177" s="14" t="inlineStr">
        <is>
          <t>2025-11-04</t>
        </is>
      </c>
      <c r="B177" s="7" t="inlineStr">
        <is>
          <t>POWERINDIA</t>
        </is>
      </c>
      <c r="C177" s="14" t="inlineStr">
        <is>
          <t>PE</t>
        </is>
      </c>
      <c r="D177" s="14" t="inlineStr">
        <is>
          <t>mid</t>
        </is>
      </c>
      <c r="E177" s="21" t="n">
        <v>17250</v>
      </c>
      <c r="F177" s="14" t="inlineStr">
        <is>
          <t>2025-11-25</t>
        </is>
      </c>
      <c r="G177" s="8" t="n">
        <v>50</v>
      </c>
      <c r="H177" s="22" t="n">
        <v>405.6</v>
      </c>
      <c r="I177" s="22" t="n">
        <v>100.9</v>
      </c>
      <c r="J177" s="22" t="n">
        <v>17.9</v>
      </c>
      <c r="K177" s="23" t="n">
        <v>86.34999999999999</v>
      </c>
      <c r="L177" s="23" t="n">
        <v>86.3</v>
      </c>
      <c r="M177" s="23" t="n">
        <v>95.8</v>
      </c>
      <c r="N177" s="23" t="n">
        <v>50.65</v>
      </c>
      <c r="O177" s="23" t="n">
        <v>54.6</v>
      </c>
      <c r="P177" s="23" t="n">
        <v>54.55</v>
      </c>
      <c r="Q177" s="8">
        <f>K177*G177</f>
        <v/>
      </c>
      <c r="R177" s="24">
        <f>(M177-K177)*G177</f>
        <v/>
      </c>
      <c r="S177" s="25">
        <f>(M177/K177-1)*100</f>
        <v/>
      </c>
      <c r="T177" s="26">
        <f>(N177-K177)*G177</f>
        <v/>
      </c>
      <c r="U177" s="27">
        <f>(N177/K177-1)*100</f>
        <v/>
      </c>
      <c r="V177" s="11">
        <f>(P177-K177)*G177</f>
        <v/>
      </c>
      <c r="W177" s="11" t="n">
        <v>-1785.27</v>
      </c>
      <c r="X177" s="10">
        <f>W177/Q177*100</f>
        <v/>
      </c>
      <c r="Y177" s="12" t="n">
        <v>-6.491</v>
      </c>
      <c r="Z177" s="14" t="inlineStr">
        <is>
          <t>2025_H2</t>
        </is>
      </c>
    </row>
    <row r="178">
      <c r="A178" s="14" t="inlineStr">
        <is>
          <t>2025-11-04</t>
        </is>
      </c>
      <c r="B178" s="7" t="inlineStr">
        <is>
          <t>TATACONSUM</t>
        </is>
      </c>
      <c r="C178" s="14" t="inlineStr">
        <is>
          <t>PE</t>
        </is>
      </c>
      <c r="D178" s="14" t="inlineStr">
        <is>
          <t>large</t>
        </is>
      </c>
      <c r="E178" s="21" t="n">
        <v>1160</v>
      </c>
      <c r="F178" s="14" t="inlineStr">
        <is>
          <t>2025-11-25</t>
        </is>
      </c>
      <c r="G178" s="8" t="n">
        <v>550</v>
      </c>
      <c r="H178" s="22" t="n">
        <v>10.7</v>
      </c>
      <c r="I178" s="22" t="n">
        <v>22.5</v>
      </c>
      <c r="J178" s="22" t="n">
        <v>17.8</v>
      </c>
      <c r="K178" s="23" t="n">
        <v>13.4</v>
      </c>
      <c r="L178" s="23" t="n">
        <v>13.35</v>
      </c>
      <c r="M178" s="23" t="n">
        <v>29.2</v>
      </c>
      <c r="N178" s="23" t="n">
        <v>13.35</v>
      </c>
      <c r="O178" s="23" t="n">
        <v>15.5</v>
      </c>
      <c r="P178" s="23" t="n">
        <v>15.45</v>
      </c>
      <c r="Q178" s="8">
        <f>K178*G178</f>
        <v/>
      </c>
      <c r="R178" s="24">
        <f>(M178-K178)*G178</f>
        <v/>
      </c>
      <c r="S178" s="25">
        <f>(M178/K178-1)*100</f>
        <v/>
      </c>
      <c r="T178" s="26">
        <f>(N178-K178)*G178</f>
        <v/>
      </c>
      <c r="U178" s="27">
        <f>(N178/K178-1)*100</f>
        <v/>
      </c>
      <c r="V178" s="11">
        <f>(P178-K178)*G178</f>
        <v/>
      </c>
      <c r="W178" s="11" t="n">
        <v>901.98</v>
      </c>
      <c r="X178" s="10">
        <f>W178/Q178*100</f>
        <v/>
      </c>
      <c r="Y178" s="12" t="n">
        <v>1.709</v>
      </c>
      <c r="Z178" s="14" t="inlineStr">
        <is>
          <t>2025_H2</t>
        </is>
      </c>
    </row>
    <row r="179">
      <c r="A179" s="14" t="inlineStr">
        <is>
          <t>2025-11-04</t>
        </is>
      </c>
      <c r="B179" s="7" t="inlineStr">
        <is>
          <t>TITAN</t>
        </is>
      </c>
      <c r="C179" s="14" t="inlineStr">
        <is>
          <t>PE</t>
        </is>
      </c>
      <c r="D179" s="14" t="inlineStr">
        <is>
          <t>large</t>
        </is>
      </c>
      <c r="E179" s="21" t="n">
        <v>3680</v>
      </c>
      <c r="F179" s="14" t="inlineStr">
        <is>
          <t>2025-11-25</t>
        </is>
      </c>
      <c r="G179" s="8" t="n">
        <v>175</v>
      </c>
      <c r="H179" s="22" t="n">
        <v>59.1</v>
      </c>
      <c r="I179" s="22" t="n">
        <v>2.7</v>
      </c>
      <c r="J179" s="22" t="n">
        <v>28.8</v>
      </c>
      <c r="K179" s="23" t="n">
        <v>43.3</v>
      </c>
      <c r="L179" s="23" t="n">
        <v>43.25</v>
      </c>
      <c r="M179" s="23" t="n">
        <v>44.05</v>
      </c>
      <c r="N179" s="23" t="n">
        <v>21.25</v>
      </c>
      <c r="O179" s="23" t="n">
        <v>23.6</v>
      </c>
      <c r="P179" s="23" t="n">
        <v>23.55</v>
      </c>
      <c r="Q179" s="8">
        <f>K179*G179</f>
        <v/>
      </c>
      <c r="R179" s="24">
        <f>(M179-K179)*G179</f>
        <v/>
      </c>
      <c r="S179" s="25">
        <f>(M179/K179-1)*100</f>
        <v/>
      </c>
      <c r="T179" s="26">
        <f>(N179-K179)*G179</f>
        <v/>
      </c>
      <c r="U179" s="27">
        <f>(N179/K179-1)*100</f>
        <v/>
      </c>
      <c r="V179" s="11">
        <f>(P179-K179)*G179</f>
        <v/>
      </c>
      <c r="W179" s="11" t="n">
        <v>-3631.76</v>
      </c>
      <c r="X179" s="10">
        <f>W179/Q179*100</f>
        <v/>
      </c>
      <c r="Y179" s="12" t="n">
        <v>-2.39</v>
      </c>
      <c r="Z179" s="14" t="inlineStr">
        <is>
          <t>2025_H2</t>
        </is>
      </c>
    </row>
    <row r="180">
      <c r="A180" s="14" t="inlineStr">
        <is>
          <t>2025-11-06</t>
        </is>
      </c>
      <c r="B180" s="7" t="inlineStr">
        <is>
          <t>ASTRAL</t>
        </is>
      </c>
      <c r="C180" s="14" t="inlineStr">
        <is>
          <t>PE</t>
        </is>
      </c>
      <c r="D180" s="14" t="inlineStr">
        <is>
          <t>mid</t>
        </is>
      </c>
      <c r="E180" s="21" t="n">
        <v>1440</v>
      </c>
      <c r="F180" s="14" t="inlineStr">
        <is>
          <t>2025-11-25</t>
        </is>
      </c>
      <c r="G180" s="8" t="n">
        <v>425</v>
      </c>
      <c r="H180" s="22" t="n">
        <v>24</v>
      </c>
      <c r="I180" s="22" t="n">
        <v>70.2</v>
      </c>
      <c r="J180" s="22" t="n">
        <v>15.1</v>
      </c>
      <c r="K180" s="23" t="n">
        <v>16.75</v>
      </c>
      <c r="L180" s="23" t="n">
        <v>16.7</v>
      </c>
      <c r="M180" s="23" t="n">
        <v>16.7</v>
      </c>
      <c r="N180" s="23" t="n">
        <v>3.7</v>
      </c>
      <c r="O180" s="23" t="n">
        <v>4</v>
      </c>
      <c r="P180" s="23" t="n">
        <v>3.95</v>
      </c>
      <c r="Q180" s="8">
        <f>K180*G180</f>
        <v/>
      </c>
      <c r="R180" s="24">
        <f>(M180-K180)*G180</f>
        <v/>
      </c>
      <c r="S180" s="25">
        <f>(M180/K180-1)*100</f>
        <v/>
      </c>
      <c r="T180" s="26">
        <f>(N180-K180)*G180</f>
        <v/>
      </c>
      <c r="U180" s="27">
        <f>(N180/K180-1)*100</f>
        <v/>
      </c>
      <c r="V180" s="11">
        <f>(P180-K180)*G180</f>
        <v/>
      </c>
      <c r="W180" s="11" t="n">
        <v>-5669.59</v>
      </c>
      <c r="X180" s="10">
        <f>W180/Q180*100</f>
        <v/>
      </c>
      <c r="Y180" s="12" t="n">
        <v>-5.639</v>
      </c>
      <c r="Z180" s="14" t="inlineStr">
        <is>
          <t>2025_H2</t>
        </is>
      </c>
    </row>
    <row r="181">
      <c r="A181" s="14" t="inlineStr">
        <is>
          <t>2025-11-06</t>
        </is>
      </c>
      <c r="B181" s="7" t="inlineStr">
        <is>
          <t>BRITANNIA</t>
        </is>
      </c>
      <c r="C181" s="14" t="inlineStr">
        <is>
          <t>PE</t>
        </is>
      </c>
      <c r="D181" s="14" t="inlineStr">
        <is>
          <t>large</t>
        </is>
      </c>
      <c r="E181" s="21" t="n">
        <v>5900</v>
      </c>
      <c r="F181" s="14" t="inlineStr">
        <is>
          <t>2025-11-25</t>
        </is>
      </c>
      <c r="G181" s="8" t="n">
        <v>125</v>
      </c>
      <c r="H181" s="22" t="n">
        <v>23.2</v>
      </c>
      <c r="I181" s="22" t="n">
        <v>25.9</v>
      </c>
      <c r="J181" s="22" t="n">
        <v>3.7</v>
      </c>
      <c r="K181" s="23" t="n">
        <v>45.05</v>
      </c>
      <c r="L181" s="23" t="n">
        <v>45</v>
      </c>
      <c r="M181" s="23" t="n">
        <v>60.25</v>
      </c>
      <c r="N181" s="23" t="n">
        <v>31</v>
      </c>
      <c r="O181" s="23" t="n">
        <v>51.9</v>
      </c>
      <c r="P181" s="23" t="n">
        <v>51.85</v>
      </c>
      <c r="Q181" s="8">
        <f>K181*G181</f>
        <v/>
      </c>
      <c r="R181" s="24">
        <f>(M181-K181)*G181</f>
        <v/>
      </c>
      <c r="S181" s="25">
        <f>(M181/K181-1)*100</f>
        <v/>
      </c>
      <c r="T181" s="26">
        <f>(N181-K181)*G181</f>
        <v/>
      </c>
      <c r="U181" s="27">
        <f>(N181/K181-1)*100</f>
        <v/>
      </c>
      <c r="V181" s="11">
        <f>(P181-K181)*G181</f>
        <v/>
      </c>
      <c r="W181" s="11" t="n">
        <v>666.6900000000001</v>
      </c>
      <c r="X181" s="10">
        <f>W181/Q181*100</f>
        <v/>
      </c>
      <c r="Y181" s="12" t="n">
        <v>2.789</v>
      </c>
      <c r="Z181" s="14" t="inlineStr">
        <is>
          <t>2025_H2</t>
        </is>
      </c>
    </row>
    <row r="182">
      <c r="A182" s="14" t="inlineStr">
        <is>
          <t>2025-11-06</t>
        </is>
      </c>
      <c r="B182" s="7" t="inlineStr">
        <is>
          <t>INDHOTEL</t>
        </is>
      </c>
      <c r="C182" s="14" t="inlineStr">
        <is>
          <t>CE</t>
        </is>
      </c>
      <c r="D182" s="14" t="inlineStr">
        <is>
          <t>large</t>
        </is>
      </c>
      <c r="E182" s="21" t="n">
        <v>760</v>
      </c>
      <c r="F182" s="14" t="inlineStr">
        <is>
          <t>2025-11-25</t>
        </is>
      </c>
      <c r="G182" s="8" t="n">
        <v>1000</v>
      </c>
      <c r="H182" s="22" t="n">
        <v>-45.4</v>
      </c>
      <c r="I182" s="22" t="n">
        <v>-3.4</v>
      </c>
      <c r="J182" s="22" t="n">
        <v>11.8</v>
      </c>
      <c r="K182" s="23" t="n">
        <v>5.4</v>
      </c>
      <c r="L182" s="23" t="n">
        <v>5.35</v>
      </c>
      <c r="M182" s="23" t="n">
        <v>7</v>
      </c>
      <c r="N182" s="23" t="n">
        <v>1.05</v>
      </c>
      <c r="O182" s="23" t="n">
        <v>1.6</v>
      </c>
      <c r="P182" s="23" t="n">
        <v>1.55</v>
      </c>
      <c r="Q182" s="8">
        <f>K182*G182</f>
        <v/>
      </c>
      <c r="R182" s="24">
        <f>(M182-K182)*G182</f>
        <v/>
      </c>
      <c r="S182" s="25">
        <f>(M182/K182-1)*100</f>
        <v/>
      </c>
      <c r="T182" s="26">
        <f>(N182-K182)*G182</f>
        <v/>
      </c>
      <c r="U182" s="27">
        <f>(N182/K182-1)*100</f>
        <v/>
      </c>
      <c r="V182" s="11">
        <f>(P182-K182)*G182</f>
        <v/>
      </c>
      <c r="W182" s="11" t="n">
        <v>-3972.12</v>
      </c>
      <c r="X182" s="10">
        <f>W182/Q182*100</f>
        <v/>
      </c>
      <c r="Y182" s="12" t="n">
        <v>-2.517</v>
      </c>
      <c r="Z182" s="14" t="inlineStr">
        <is>
          <t>2025_H2</t>
        </is>
      </c>
    </row>
    <row r="183">
      <c r="A183" s="14" t="inlineStr">
        <is>
          <t>2025-11-06</t>
        </is>
      </c>
      <c r="B183" s="7" t="inlineStr">
        <is>
          <t>KAYNES</t>
        </is>
      </c>
      <c r="C183" s="14" t="inlineStr">
        <is>
          <t>PE</t>
        </is>
      </c>
      <c r="D183" s="14" t="inlineStr">
        <is>
          <t>mid</t>
        </is>
      </c>
      <c r="E183" s="21" t="n">
        <v>6200</v>
      </c>
      <c r="F183" s="14" t="inlineStr">
        <is>
          <t>2025-11-25</t>
        </is>
      </c>
      <c r="G183" s="8" t="n">
        <v>100</v>
      </c>
      <c r="H183" s="22" t="n">
        <v>101.6</v>
      </c>
      <c r="I183" s="22" t="n">
        <v>62.7</v>
      </c>
      <c r="J183" s="22" t="n">
        <v>58.4</v>
      </c>
      <c r="K183" s="23" t="n">
        <v>50.05</v>
      </c>
      <c r="L183" s="23" t="n">
        <v>50</v>
      </c>
      <c r="M183" s="23" t="n">
        <v>175</v>
      </c>
      <c r="N183" s="23" t="n">
        <v>50</v>
      </c>
      <c r="O183" s="23" t="n">
        <v>157.8</v>
      </c>
      <c r="P183" s="23" t="n">
        <v>157.75</v>
      </c>
      <c r="Q183" s="8">
        <f>K183*G183</f>
        <v/>
      </c>
      <c r="R183" s="24">
        <f>(M183-K183)*G183</f>
        <v/>
      </c>
      <c r="S183" s="25">
        <f>(M183/K183-1)*100</f>
        <v/>
      </c>
      <c r="T183" s="26">
        <f>(N183-K183)*G183</f>
        <v/>
      </c>
      <c r="U183" s="27">
        <f>(N183/K183-1)*100</f>
        <v/>
      </c>
      <c r="V183" s="11">
        <f>(P183-K183)*G183</f>
        <v/>
      </c>
      <c r="W183" s="11" t="n">
        <v>10274.65</v>
      </c>
      <c r="X183" s="10">
        <f>W183/Q183*100</f>
        <v/>
      </c>
      <c r="Y183" s="12" t="n">
        <v>7.714</v>
      </c>
      <c r="Z183" s="14" t="inlineStr">
        <is>
          <t>2025_H2</t>
        </is>
      </c>
    </row>
    <row r="184">
      <c r="A184" s="14" t="inlineStr">
        <is>
          <t>2025-11-06</t>
        </is>
      </c>
      <c r="B184" s="7" t="inlineStr">
        <is>
          <t>PAYTM</t>
        </is>
      </c>
      <c r="C184" s="14" t="inlineStr">
        <is>
          <t>CE</t>
        </is>
      </c>
      <c r="D184" s="14" t="inlineStr">
        <is>
          <t>mid</t>
        </is>
      </c>
      <c r="E184" s="21" t="n">
        <v>1440</v>
      </c>
      <c r="F184" s="14" t="inlineStr">
        <is>
          <t>2025-11-25</t>
        </is>
      </c>
      <c r="G184" s="8" t="n">
        <v>725</v>
      </c>
      <c r="H184" s="22" t="n">
        <v>-97.7</v>
      </c>
      <c r="I184" s="22" t="n">
        <v>-82.90000000000001</v>
      </c>
      <c r="J184" s="22" t="n">
        <v>24.2</v>
      </c>
      <c r="K184" s="23" t="n">
        <v>9.85</v>
      </c>
      <c r="L184" s="23" t="n">
        <v>9.800000000000001</v>
      </c>
      <c r="M184" s="23" t="n">
        <v>11.3</v>
      </c>
      <c r="N184" s="23" t="n">
        <v>5.6</v>
      </c>
      <c r="O184" s="23" t="n">
        <v>7.35</v>
      </c>
      <c r="P184" s="23" t="n">
        <v>7.3</v>
      </c>
      <c r="Q184" s="8">
        <f>K184*G184</f>
        <v/>
      </c>
      <c r="R184" s="24">
        <f>(M184-K184)*G184</f>
        <v/>
      </c>
      <c r="S184" s="25">
        <f>(M184/K184-1)*100</f>
        <v/>
      </c>
      <c r="T184" s="26">
        <f>(N184-K184)*G184</f>
        <v/>
      </c>
      <c r="U184" s="27">
        <f>(N184/K184-1)*100</f>
        <v/>
      </c>
      <c r="V184" s="11">
        <f>(P184-K184)*G184</f>
        <v/>
      </c>
      <c r="W184" s="11" t="n">
        <v>-2158.01</v>
      </c>
      <c r="X184" s="10">
        <f>W184/Q184*100</f>
        <v/>
      </c>
      <c r="Y184" s="12" t="n">
        <v>0.8090000000000001</v>
      </c>
      <c r="Z184" s="14" t="inlineStr">
        <is>
          <t>2025_H2</t>
        </is>
      </c>
    </row>
    <row r="185">
      <c r="A185" s="14" t="inlineStr">
        <is>
          <t>2025-11-07</t>
        </is>
      </c>
      <c r="B185" s="7" t="inlineStr">
        <is>
          <t>AMBER</t>
        </is>
      </c>
      <c r="C185" s="14" t="inlineStr">
        <is>
          <t>CE</t>
        </is>
      </c>
      <c r="D185" s="14" t="inlineStr">
        <is>
          <t>small</t>
        </is>
      </c>
      <c r="E185" s="21" t="n">
        <v>7800</v>
      </c>
      <c r="F185" s="14" t="inlineStr">
        <is>
          <t>2025-11-25</t>
        </is>
      </c>
      <c r="G185" s="8" t="n">
        <v>100</v>
      </c>
      <c r="H185" s="22" t="n">
        <v>-253.3</v>
      </c>
      <c r="I185" s="22" t="n">
        <v>-130.3</v>
      </c>
      <c r="J185" s="22" t="n">
        <v>-2.2</v>
      </c>
      <c r="K185" s="23" t="n">
        <v>35.1</v>
      </c>
      <c r="L185" s="23" t="n">
        <v>35.05</v>
      </c>
      <c r="M185" s="23" t="n">
        <v>75.90000000000001</v>
      </c>
      <c r="N185" s="23" t="n">
        <v>14</v>
      </c>
      <c r="O185" s="23" t="n">
        <v>24.75</v>
      </c>
      <c r="P185" s="23" t="n">
        <v>24.7</v>
      </c>
      <c r="Q185" s="8">
        <f>K185*G185</f>
        <v/>
      </c>
      <c r="R185" s="24">
        <f>(M185-K185)*G185</f>
        <v/>
      </c>
      <c r="S185" s="25">
        <f>(M185/K185-1)*100</f>
        <v/>
      </c>
      <c r="T185" s="26">
        <f>(N185-K185)*G185</f>
        <v/>
      </c>
      <c r="U185" s="27">
        <f>(N185/K185-1)*100</f>
        <v/>
      </c>
      <c r="V185" s="11">
        <f>(P185-K185)*G185</f>
        <v/>
      </c>
      <c r="W185" s="11" t="n">
        <v>-1272.94</v>
      </c>
      <c r="X185" s="10">
        <f>W185/Q185*100</f>
        <v/>
      </c>
      <c r="Y185" s="12" t="n">
        <v>1.796</v>
      </c>
      <c r="Z185" s="14" t="inlineStr">
        <is>
          <t>2025_H2</t>
        </is>
      </c>
    </row>
    <row r="186">
      <c r="A186" s="14" t="inlineStr">
        <is>
          <t>2025-11-07</t>
        </is>
      </c>
      <c r="B186" s="7" t="inlineStr">
        <is>
          <t>APOLLOHOSP</t>
        </is>
      </c>
      <c r="C186" s="14" t="inlineStr">
        <is>
          <t>PE</t>
        </is>
      </c>
      <c r="D186" s="14" t="inlineStr">
        <is>
          <t>large</t>
        </is>
      </c>
      <c r="E186" s="21" t="n">
        <v>7600</v>
      </c>
      <c r="F186" s="14" t="inlineStr">
        <is>
          <t>2025-11-25</t>
        </is>
      </c>
      <c r="G186" s="8" t="n">
        <v>125</v>
      </c>
      <c r="H186" s="22" t="n">
        <v>24.8</v>
      </c>
      <c r="I186" s="22" t="n">
        <v>12</v>
      </c>
      <c r="J186" s="22" t="n">
        <v>12.8</v>
      </c>
      <c r="K186" s="23" t="n">
        <v>51.1</v>
      </c>
      <c r="L186" s="23" t="n">
        <v>51.05</v>
      </c>
      <c r="M186" s="23" t="n">
        <v>107</v>
      </c>
      <c r="N186" s="23" t="n">
        <v>45.8</v>
      </c>
      <c r="O186" s="23" t="n">
        <v>94.45</v>
      </c>
      <c r="P186" s="23" t="n">
        <v>94.40000000000001</v>
      </c>
      <c r="Q186" s="8">
        <f>K186*G186</f>
        <v/>
      </c>
      <c r="R186" s="24">
        <f>(M186-K186)*G186</f>
        <v/>
      </c>
      <c r="S186" s="25">
        <f>(M186/K186-1)*100</f>
        <v/>
      </c>
      <c r="T186" s="26">
        <f>(N186-K186)*G186</f>
        <v/>
      </c>
      <c r="U186" s="27">
        <f>(N186/K186-1)*100</f>
        <v/>
      </c>
      <c r="V186" s="11">
        <f>(P186-K186)*G186</f>
        <v/>
      </c>
      <c r="W186" s="11" t="n">
        <v>5157.89</v>
      </c>
      <c r="X186" s="10">
        <f>W186/Q186*100</f>
        <v/>
      </c>
      <c r="Y186" s="12" t="n">
        <v>1.887</v>
      </c>
      <c r="Z186" s="14" t="inlineStr">
        <is>
          <t>2025_H2</t>
        </is>
      </c>
    </row>
    <row r="187">
      <c r="A187" s="14" t="inlineStr">
        <is>
          <t>2025-11-07</t>
        </is>
      </c>
      <c r="B187" s="7" t="inlineStr">
        <is>
          <t>CUMMINSIND</t>
        </is>
      </c>
      <c r="C187" s="14" t="inlineStr">
        <is>
          <t>PE</t>
        </is>
      </c>
      <c r="D187" s="14" t="inlineStr">
        <is>
          <t>mid</t>
        </is>
      </c>
      <c r="E187" s="21" t="n">
        <v>4150</v>
      </c>
      <c r="F187" s="14" t="inlineStr">
        <is>
          <t>2025-11-25</t>
        </is>
      </c>
      <c r="G187" s="8" t="n">
        <v>200</v>
      </c>
      <c r="H187" s="22" t="n">
        <v>38.5</v>
      </c>
      <c r="I187" s="22" t="n">
        <v>3.1</v>
      </c>
      <c r="J187" s="22" t="n">
        <v>26.4</v>
      </c>
      <c r="K187" s="23" t="n">
        <v>25.05</v>
      </c>
      <c r="L187" s="23" t="n">
        <v>25</v>
      </c>
      <c r="M187" s="23" t="n">
        <v>62</v>
      </c>
      <c r="N187" s="23" t="n">
        <v>13.7</v>
      </c>
      <c r="O187" s="23" t="n">
        <v>40.55</v>
      </c>
      <c r="P187" s="23" t="n">
        <v>40.5</v>
      </c>
      <c r="Q187" s="8">
        <f>K187*G187</f>
        <v/>
      </c>
      <c r="R187" s="24">
        <f>(M187-K187)*G187</f>
        <v/>
      </c>
      <c r="S187" s="25">
        <f>(M187/K187-1)*100</f>
        <v/>
      </c>
      <c r="T187" s="26">
        <f>(N187-K187)*G187</f>
        <v/>
      </c>
      <c r="U187" s="27">
        <f>(N187/K187-1)*100</f>
        <v/>
      </c>
      <c r="V187" s="11">
        <f>(P187-K187)*G187</f>
        <v/>
      </c>
      <c r="W187" s="11" t="n">
        <v>2762.78</v>
      </c>
      <c r="X187" s="10">
        <f>W187/Q187*100</f>
        <v/>
      </c>
      <c r="Y187" s="12" t="n">
        <v>2.457</v>
      </c>
      <c r="Z187" s="14" t="inlineStr">
        <is>
          <t>2025_H2</t>
        </is>
      </c>
    </row>
    <row r="188">
      <c r="A188" s="14" t="inlineStr">
        <is>
          <t>2025-11-07</t>
        </is>
      </c>
      <c r="B188" s="7" t="inlineStr">
        <is>
          <t>LUPIN</t>
        </is>
      </c>
      <c r="C188" s="14" t="inlineStr">
        <is>
          <t>PE</t>
        </is>
      </c>
      <c r="D188" s="14" t="inlineStr">
        <is>
          <t>large</t>
        </is>
      </c>
      <c r="E188" s="21" t="n">
        <v>1900</v>
      </c>
      <c r="F188" s="14" t="inlineStr">
        <is>
          <t>2025-11-25</t>
        </is>
      </c>
      <c r="G188" s="8" t="n">
        <v>425</v>
      </c>
      <c r="H188" s="22" t="n">
        <v>72.8</v>
      </c>
      <c r="I188" s="22" t="n">
        <v>21.6</v>
      </c>
      <c r="J188" s="22" t="n">
        <v>24.2</v>
      </c>
      <c r="K188" s="23" t="n">
        <v>15.2</v>
      </c>
      <c r="L188" s="23" t="n">
        <v>15.15</v>
      </c>
      <c r="M188" s="23" t="n">
        <v>20.1</v>
      </c>
      <c r="N188" s="23" t="n">
        <v>10.2</v>
      </c>
      <c r="O188" s="23" t="n">
        <v>16.15</v>
      </c>
      <c r="P188" s="23" t="n">
        <v>16.1</v>
      </c>
      <c r="Q188" s="8">
        <f>K188*G188</f>
        <v/>
      </c>
      <c r="R188" s="24">
        <f>(M188-K188)*G188</f>
        <v/>
      </c>
      <c r="S188" s="25">
        <f>(M188/K188-1)*100</f>
        <v/>
      </c>
      <c r="T188" s="26">
        <f>(N188-K188)*G188</f>
        <v/>
      </c>
      <c r="U188" s="27">
        <f>(N188/K188-1)*100</f>
        <v/>
      </c>
      <c r="V188" s="11">
        <f>(P188-K188)*G188</f>
        <v/>
      </c>
      <c r="W188" s="11" t="n">
        <v>186.23</v>
      </c>
      <c r="X188" s="10">
        <f>W188/Q188*100</f>
        <v/>
      </c>
      <c r="Y188" s="12" t="n">
        <v>0.615</v>
      </c>
      <c r="Z188" s="14" t="inlineStr">
        <is>
          <t>2025_H2</t>
        </is>
      </c>
    </row>
    <row r="189">
      <c r="A189" s="14" t="inlineStr">
        <is>
          <t>2025-11-10</t>
        </is>
      </c>
      <c r="B189" s="7" t="inlineStr">
        <is>
          <t>DIVISLAB</t>
        </is>
      </c>
      <c r="C189" s="14" t="inlineStr">
        <is>
          <t>PE</t>
        </is>
      </c>
      <c r="D189" s="14" t="inlineStr">
        <is>
          <t>large</t>
        </is>
      </c>
      <c r="E189" s="21" t="n">
        <v>6500</v>
      </c>
      <c r="F189" s="14" t="inlineStr">
        <is>
          <t>2025-11-25</t>
        </is>
      </c>
      <c r="G189" s="8" t="n">
        <v>100</v>
      </c>
      <c r="H189" s="22" t="n">
        <v>35.1</v>
      </c>
      <c r="I189" s="22" t="n">
        <v>26.4</v>
      </c>
      <c r="J189" s="22" t="n">
        <v>16.1</v>
      </c>
      <c r="K189" s="23" t="n">
        <v>72.05</v>
      </c>
      <c r="L189" s="23" t="n">
        <v>72</v>
      </c>
      <c r="M189" s="23" t="n">
        <v>77</v>
      </c>
      <c r="N189" s="23" t="n">
        <v>45.9</v>
      </c>
      <c r="O189" s="23" t="n">
        <v>49.8</v>
      </c>
      <c r="P189" s="23" t="n">
        <v>49.75</v>
      </c>
      <c r="Q189" s="8">
        <f>K189*G189</f>
        <v/>
      </c>
      <c r="R189" s="24">
        <f>(M189-K189)*G189</f>
        <v/>
      </c>
      <c r="S189" s="25">
        <f>(M189/K189-1)*100</f>
        <v/>
      </c>
      <c r="T189" s="26">
        <f>(N189-K189)*G189</f>
        <v/>
      </c>
      <c r="U189" s="27">
        <f>(N189/K189-1)*100</f>
        <v/>
      </c>
      <c r="V189" s="11">
        <f>(P189-K189)*G189</f>
        <v/>
      </c>
      <c r="W189" s="11" t="n">
        <v>-2411.8</v>
      </c>
      <c r="X189" s="10">
        <f>W189/Q189*100</f>
        <v/>
      </c>
      <c r="Y189" s="12" t="n">
        <v>0.127</v>
      </c>
      <c r="Z189" s="14" t="inlineStr">
        <is>
          <t>2025_H2</t>
        </is>
      </c>
    </row>
    <row r="190">
      <c r="A190" s="14" t="inlineStr">
        <is>
          <t>2025-11-10</t>
        </is>
      </c>
      <c r="B190" s="7" t="inlineStr">
        <is>
          <t>HINDALCO</t>
        </is>
      </c>
      <c r="C190" s="14" t="inlineStr">
        <is>
          <t>PE</t>
        </is>
      </c>
      <c r="D190" s="14" t="inlineStr">
        <is>
          <t>large</t>
        </is>
      </c>
      <c r="E190" s="21" t="n">
        <v>780</v>
      </c>
      <c r="F190" s="14" t="inlineStr">
        <is>
          <t>2025-11-25</t>
        </is>
      </c>
      <c r="G190" s="8" t="n">
        <v>700</v>
      </c>
      <c r="H190" s="22" t="n">
        <v>21.3</v>
      </c>
      <c r="I190" s="22" t="n">
        <v>18.4</v>
      </c>
      <c r="J190" s="22" t="n">
        <v>13.5</v>
      </c>
      <c r="K190" s="23" t="n">
        <v>9.15</v>
      </c>
      <c r="L190" s="23" t="n">
        <v>9.1</v>
      </c>
      <c r="M190" s="23" t="n">
        <v>13.25</v>
      </c>
      <c r="N190" s="23" t="n">
        <v>7.8</v>
      </c>
      <c r="O190" s="23" t="n">
        <v>12.6</v>
      </c>
      <c r="P190" s="23" t="n">
        <v>12.55</v>
      </c>
      <c r="Q190" s="8">
        <f>K190*G190</f>
        <v/>
      </c>
      <c r="R190" s="24">
        <f>(M190-K190)*G190</f>
        <v/>
      </c>
      <c r="S190" s="25">
        <f>(M190/K190-1)*100</f>
        <v/>
      </c>
      <c r="T190" s="26">
        <f>(N190-K190)*G190</f>
        <v/>
      </c>
      <c r="U190" s="27">
        <f>(N190/K190-1)*100</f>
        <v/>
      </c>
      <c r="V190" s="11">
        <f>(P190-K190)*G190</f>
        <v/>
      </c>
      <c r="W190" s="11" t="n">
        <v>2161.14</v>
      </c>
      <c r="X190" s="10">
        <f>W190/Q190*100</f>
        <v/>
      </c>
      <c r="Y190" s="12" t="n">
        <v>0.859</v>
      </c>
      <c r="Z190" s="14" t="inlineStr">
        <is>
          <t>2025_H2</t>
        </is>
      </c>
    </row>
    <row r="191">
      <c r="A191" s="14" t="inlineStr">
        <is>
          <t>2025-11-10</t>
        </is>
      </c>
      <c r="B191" s="7" t="inlineStr">
        <is>
          <t>NATIONALUM</t>
        </is>
      </c>
      <c r="C191" s="14" t="inlineStr">
        <is>
          <t>PE</t>
        </is>
      </c>
      <c r="D191" s="14" t="inlineStr">
        <is>
          <t>mid</t>
        </is>
      </c>
      <c r="E191" s="21" t="n">
        <v>235</v>
      </c>
      <c r="F191" s="14" t="inlineStr">
        <is>
          <t>2025-11-25</t>
        </is>
      </c>
      <c r="G191" s="8" t="n">
        <v>3750</v>
      </c>
      <c r="H191" s="22" t="n">
        <v>36.7</v>
      </c>
      <c r="I191" s="22" t="n">
        <v>36.3</v>
      </c>
      <c r="J191" s="22" t="n">
        <v>7.3</v>
      </c>
      <c r="K191" s="23" t="n">
        <v>2.11</v>
      </c>
      <c r="L191" s="23" t="n">
        <v>2.06</v>
      </c>
      <c r="M191" s="23" t="n">
        <v>3.25</v>
      </c>
      <c r="N191" s="23" t="n">
        <v>1.05</v>
      </c>
      <c r="O191" s="23" t="n">
        <v>1.16</v>
      </c>
      <c r="P191" s="23" t="n">
        <v>1.11</v>
      </c>
      <c r="Q191" s="8">
        <f>K191*G191</f>
        <v/>
      </c>
      <c r="R191" s="24">
        <f>(M191-K191)*G191</f>
        <v/>
      </c>
      <c r="S191" s="25">
        <f>(M191/K191-1)*100</f>
        <v/>
      </c>
      <c r="T191" s="26">
        <f>(N191-K191)*G191</f>
        <v/>
      </c>
      <c r="U191" s="27">
        <f>(N191/K191-1)*100</f>
        <v/>
      </c>
      <c r="V191" s="11">
        <f>(P191-K191)*G191</f>
        <v/>
      </c>
      <c r="W191" s="11" t="n">
        <v>-4050.26</v>
      </c>
      <c r="X191" s="10">
        <f>W191/Q191*100</f>
        <v/>
      </c>
      <c r="Y191" s="12" t="n">
        <v>-6.722</v>
      </c>
      <c r="Z191" s="14" t="inlineStr">
        <is>
          <t>2025_H2</t>
        </is>
      </c>
    </row>
    <row r="192">
      <c r="A192" s="14" t="inlineStr">
        <is>
          <t>2025-11-10</t>
        </is>
      </c>
      <c r="B192" s="7" t="inlineStr">
        <is>
          <t>UNOMINDA</t>
        </is>
      </c>
      <c r="C192" s="14" t="inlineStr">
        <is>
          <t>PE</t>
        </is>
      </c>
      <c r="D192" s="14" t="inlineStr">
        <is>
          <t>mid</t>
        </is>
      </c>
      <c r="E192" s="21" t="n">
        <v>1200</v>
      </c>
      <c r="F192" s="14" t="inlineStr">
        <is>
          <t>2025-11-25</t>
        </is>
      </c>
      <c r="G192" s="8" t="n">
        <v>550</v>
      </c>
      <c r="H192" s="22" t="n">
        <v>21.3</v>
      </c>
      <c r="I192" s="22" t="n">
        <v>4.5</v>
      </c>
      <c r="J192" s="22" t="n">
        <v>13.4</v>
      </c>
      <c r="K192" s="23" t="n">
        <v>13.3</v>
      </c>
      <c r="L192" s="23" t="n">
        <v>13.25</v>
      </c>
      <c r="M192" s="23" t="n">
        <v>13.25</v>
      </c>
      <c r="N192" s="23" t="n">
        <v>3.05</v>
      </c>
      <c r="O192" s="23" t="n">
        <v>3.25</v>
      </c>
      <c r="P192" s="23" t="n">
        <v>3.2</v>
      </c>
      <c r="Q192" s="8">
        <f>K192*G192</f>
        <v/>
      </c>
      <c r="R192" s="24">
        <f>(M192-K192)*G192</f>
        <v/>
      </c>
      <c r="S192" s="25">
        <f>(M192/K192-1)*100</f>
        <v/>
      </c>
      <c r="T192" s="26">
        <f>(N192-K192)*G192</f>
        <v/>
      </c>
      <c r="U192" s="27">
        <f>(N192/K192-1)*100</f>
        <v/>
      </c>
      <c r="V192" s="11">
        <f>(P192-K192)*G192</f>
        <v/>
      </c>
      <c r="W192" s="11" t="n">
        <v>-5790.38</v>
      </c>
      <c r="X192" s="10">
        <f>W192/Q192*100</f>
        <v/>
      </c>
      <c r="Y192" s="12" t="n">
        <v>-7.286</v>
      </c>
      <c r="Z192" s="14" t="inlineStr">
        <is>
          <t>2025_H2</t>
        </is>
      </c>
    </row>
    <row r="193">
      <c r="A193" s="14" t="inlineStr">
        <is>
          <t>2025-11-11</t>
        </is>
      </c>
      <c r="B193" s="7" t="inlineStr">
        <is>
          <t>BAJFINANCE</t>
        </is>
      </c>
      <c r="C193" s="14" t="inlineStr">
        <is>
          <t>PE</t>
        </is>
      </c>
      <c r="D193" s="14" t="inlineStr">
        <is>
          <t>large</t>
        </is>
      </c>
      <c r="E193" s="21" t="n">
        <v>1000</v>
      </c>
      <c r="F193" s="14" t="inlineStr">
        <is>
          <t>2025-11-25</t>
        </is>
      </c>
      <c r="G193" s="8" t="n">
        <v>750</v>
      </c>
      <c r="H193" s="22" t="n">
        <v>23.3</v>
      </c>
      <c r="I193" s="22" t="n">
        <v>3.8</v>
      </c>
      <c r="J193" s="22" t="n">
        <v>18.1</v>
      </c>
      <c r="K193" s="23" t="n">
        <v>7.55</v>
      </c>
      <c r="L193" s="23" t="n">
        <v>7.5</v>
      </c>
      <c r="M193" s="23" t="n">
        <v>20.35</v>
      </c>
      <c r="N193" s="23" t="n">
        <v>7.5</v>
      </c>
      <c r="O193" s="23" t="n">
        <v>15.25</v>
      </c>
      <c r="P193" s="23" t="n">
        <v>15.2</v>
      </c>
      <c r="Q193" s="8">
        <f>K193*G193</f>
        <v/>
      </c>
      <c r="R193" s="24">
        <f>(M193-K193)*G193</f>
        <v/>
      </c>
      <c r="S193" s="25">
        <f>(M193/K193-1)*100</f>
        <v/>
      </c>
      <c r="T193" s="26">
        <f>(N193-K193)*G193</f>
        <v/>
      </c>
      <c r="U193" s="27">
        <f>(N193/K193-1)*100</f>
        <v/>
      </c>
      <c r="V193" s="11">
        <f>(P193-K193)*G193</f>
        <v/>
      </c>
      <c r="W193" s="11" t="n">
        <v>5495.23</v>
      </c>
      <c r="X193" s="10">
        <f>W193/Q193*100</f>
        <v/>
      </c>
      <c r="Y193" s="12" t="n">
        <v>3.689</v>
      </c>
      <c r="Z193" s="14" t="inlineStr">
        <is>
          <t>2025_H2</t>
        </is>
      </c>
    </row>
    <row r="194">
      <c r="A194" s="14" t="inlineStr">
        <is>
          <t>2025-11-11</t>
        </is>
      </c>
      <c r="B194" s="7" t="inlineStr">
        <is>
          <t>KPITTECH</t>
        </is>
      </c>
      <c r="C194" s="14" t="inlineStr">
        <is>
          <t>CE</t>
        </is>
      </c>
      <c r="D194" s="14" t="inlineStr">
        <is>
          <t>mid</t>
        </is>
      </c>
      <c r="E194" s="21" t="n">
        <v>1220</v>
      </c>
      <c r="F194" s="14" t="inlineStr">
        <is>
          <t>2025-11-25</t>
        </is>
      </c>
      <c r="G194" s="8" t="n">
        <v>400</v>
      </c>
      <c r="H194" s="22" t="n">
        <v>-17</v>
      </c>
      <c r="I194" s="22" t="n">
        <v>-1.6</v>
      </c>
      <c r="J194" s="22" t="n">
        <v>7.9</v>
      </c>
      <c r="K194" s="23" t="n">
        <v>18.1</v>
      </c>
      <c r="L194" s="23" t="n">
        <v>18.05</v>
      </c>
      <c r="M194" s="23" t="n">
        <v>27.35</v>
      </c>
      <c r="N194" s="23" t="n">
        <v>11.95</v>
      </c>
      <c r="O194" s="23" t="n">
        <v>24.6</v>
      </c>
      <c r="P194" s="23" t="n">
        <v>24.55</v>
      </c>
      <c r="Q194" s="8">
        <f>K194*G194</f>
        <v/>
      </c>
      <c r="R194" s="24">
        <f>(M194-K194)*G194</f>
        <v/>
      </c>
      <c r="S194" s="25">
        <f>(M194/K194-1)*100</f>
        <v/>
      </c>
      <c r="T194" s="26">
        <f>(N194-K194)*G194</f>
        <v/>
      </c>
      <c r="U194" s="27">
        <f>(N194/K194-1)*100</f>
        <v/>
      </c>
      <c r="V194" s="11">
        <f>(P194-K194)*G194</f>
        <v/>
      </c>
      <c r="W194" s="11" t="n">
        <v>2169.48</v>
      </c>
      <c r="X194" s="10">
        <f>W194/Q194*100</f>
        <v/>
      </c>
      <c r="Y194" s="12" t="n">
        <v>2.398</v>
      </c>
      <c r="Z194" s="14" t="inlineStr">
        <is>
          <t>2025_H2</t>
        </is>
      </c>
    </row>
    <row r="195">
      <c r="A195" s="14" t="inlineStr">
        <is>
          <t>2025-11-11</t>
        </is>
      </c>
      <c r="B195" s="7" t="inlineStr">
        <is>
          <t>SOLARINDS</t>
        </is>
      </c>
      <c r="C195" s="14" t="inlineStr">
        <is>
          <t>PE</t>
        </is>
      </c>
      <c r="D195" s="14" t="inlineStr">
        <is>
          <t>large</t>
        </is>
      </c>
      <c r="E195" s="21" t="n">
        <v>12500</v>
      </c>
      <c r="F195" s="14" t="inlineStr">
        <is>
          <t>2025-11-25</t>
        </is>
      </c>
      <c r="G195" s="8" t="n">
        <v>75</v>
      </c>
      <c r="H195" s="22" t="n">
        <v>19.1</v>
      </c>
      <c r="I195" s="22" t="n">
        <v>2.6</v>
      </c>
      <c r="J195" s="22" t="n">
        <v>21.4</v>
      </c>
      <c r="K195" s="23" t="n">
        <v>83.2</v>
      </c>
      <c r="L195" s="23" t="n">
        <v>83.15000000000001</v>
      </c>
      <c r="M195" s="23" t="n">
        <v>93.8</v>
      </c>
      <c r="N195" s="23" t="n">
        <v>21.5</v>
      </c>
      <c r="O195" s="23" t="n">
        <v>24.7</v>
      </c>
      <c r="P195" s="23" t="n">
        <v>24.65</v>
      </c>
      <c r="Q195" s="8">
        <f>K195*G195</f>
        <v/>
      </c>
      <c r="R195" s="24">
        <f>(M195-K195)*G195</f>
        <v/>
      </c>
      <c r="S195" s="25">
        <f>(M195/K195-1)*100</f>
        <v/>
      </c>
      <c r="T195" s="26">
        <f>(N195-K195)*G195</f>
        <v/>
      </c>
      <c r="U195" s="27">
        <f>(N195/K195-1)*100</f>
        <v/>
      </c>
      <c r="V195" s="11">
        <f>(P195-K195)*G195</f>
        <v/>
      </c>
      <c r="W195" s="11" t="n">
        <v>-4525.71</v>
      </c>
      <c r="X195" s="10">
        <f>W195/Q195*100</f>
        <v/>
      </c>
      <c r="Y195" s="12" t="n">
        <v>-2.285</v>
      </c>
      <c r="Z195" s="14" t="inlineStr">
        <is>
          <t>2025_H2</t>
        </is>
      </c>
    </row>
    <row r="196">
      <c r="A196" s="14" t="inlineStr">
        <is>
          <t>2025-11-12</t>
        </is>
      </c>
      <c r="B196" s="7" t="inlineStr">
        <is>
          <t>BHARATFORG</t>
        </is>
      </c>
      <c r="C196" s="14" t="inlineStr">
        <is>
          <t>PE</t>
        </is>
      </c>
      <c r="D196" s="14" t="inlineStr">
        <is>
          <t>mid</t>
        </is>
      </c>
      <c r="E196" s="21" t="n">
        <v>1360</v>
      </c>
      <c r="F196" s="14" t="inlineStr">
        <is>
          <t>2025-11-25</t>
        </is>
      </c>
      <c r="G196" s="8" t="n">
        <v>500</v>
      </c>
      <c r="H196" s="22" t="n">
        <v>23</v>
      </c>
      <c r="I196" s="22" t="n">
        <v>5.4</v>
      </c>
      <c r="J196" s="22" t="n">
        <v>9.300000000000001</v>
      </c>
      <c r="K196" s="23" t="n">
        <v>15.7</v>
      </c>
      <c r="L196" s="23" t="n">
        <v>15.65</v>
      </c>
      <c r="M196" s="23" t="n">
        <v>20</v>
      </c>
      <c r="N196" s="23" t="n">
        <v>12</v>
      </c>
      <c r="O196" s="23" t="n">
        <v>15.75</v>
      </c>
      <c r="P196" s="23" t="n">
        <v>15.7</v>
      </c>
      <c r="Q196" s="8">
        <f>K196*G196</f>
        <v/>
      </c>
      <c r="R196" s="24">
        <f>(M196-K196)*G196</f>
        <v/>
      </c>
      <c r="S196" s="25">
        <f>(M196/K196-1)*100</f>
        <v/>
      </c>
      <c r="T196" s="26">
        <f>(N196-K196)*G196</f>
        <v/>
      </c>
      <c r="U196" s="27">
        <f>(N196/K196-1)*100</f>
        <v/>
      </c>
      <c r="V196" s="11">
        <f>(P196-K196)*G196</f>
        <v/>
      </c>
      <c r="W196" s="11" t="n">
        <v>-379.82</v>
      </c>
      <c r="X196" s="10">
        <f>W196/Q196*100</f>
        <v/>
      </c>
      <c r="Y196" s="12" t="n">
        <v>1.475</v>
      </c>
      <c r="Z196" s="14" t="inlineStr">
        <is>
          <t>2025_H2</t>
        </is>
      </c>
    </row>
    <row r="197">
      <c r="A197" s="14" t="inlineStr">
        <is>
          <t>2025-11-12</t>
        </is>
      </c>
      <c r="B197" s="7" t="inlineStr">
        <is>
          <t>BIOCON</t>
        </is>
      </c>
      <c r="C197" s="14" t="inlineStr">
        <is>
          <t>PE</t>
        </is>
      </c>
      <c r="D197" s="14" t="inlineStr">
        <is>
          <t>mid</t>
        </is>
      </c>
      <c r="E197" s="21" t="n">
        <v>370</v>
      </c>
      <c r="F197" s="14" t="inlineStr">
        <is>
          <t>2025-11-25</t>
        </is>
      </c>
      <c r="G197" s="8" t="n">
        <v>2500</v>
      </c>
      <c r="H197" s="22" t="n">
        <v>390</v>
      </c>
      <c r="I197" s="22" t="n">
        <v>48.9</v>
      </c>
      <c r="J197" s="22" t="n">
        <v>19.6</v>
      </c>
      <c r="K197" s="23" t="n">
        <v>2.1</v>
      </c>
      <c r="L197" s="23" t="n">
        <v>2.05</v>
      </c>
      <c r="M197" s="23" t="n">
        <v>3.9</v>
      </c>
      <c r="N197" s="23" t="n">
        <v>0.75</v>
      </c>
      <c r="O197" s="23" t="n">
        <v>0.85</v>
      </c>
      <c r="P197" s="23" t="n">
        <v>0.8</v>
      </c>
      <c r="Q197" s="8">
        <f>K197*G197</f>
        <v/>
      </c>
      <c r="R197" s="24">
        <f>(M197-K197)*G197</f>
        <v/>
      </c>
      <c r="S197" s="25">
        <f>(M197/K197-1)*100</f>
        <v/>
      </c>
      <c r="T197" s="26">
        <f>(N197-K197)*G197</f>
        <v/>
      </c>
      <c r="U197" s="27">
        <f>(N197/K197-1)*100</f>
        <v/>
      </c>
      <c r="V197" s="11">
        <f>(P197-K197)*G197</f>
        <v/>
      </c>
      <c r="W197" s="11" t="n">
        <v>-3448.42</v>
      </c>
      <c r="X197" s="10">
        <f>W197/Q197*100</f>
        <v/>
      </c>
      <c r="Y197" s="12" t="n">
        <v>-4.748</v>
      </c>
      <c r="Z197" s="14" t="inlineStr">
        <is>
          <t>2025_H2</t>
        </is>
      </c>
    </row>
    <row r="198">
      <c r="A198" s="14" t="inlineStr">
        <is>
          <t>2025-11-12</t>
        </is>
      </c>
      <c r="B198" s="7" t="inlineStr">
        <is>
          <t>BSE</t>
        </is>
      </c>
      <c r="C198" s="14" t="inlineStr">
        <is>
          <t>PE</t>
        </is>
      </c>
      <c r="D198" s="14" t="inlineStr">
        <is>
          <t>mid</t>
        </is>
      </c>
      <c r="E198" s="21" t="n">
        <v>2500</v>
      </c>
      <c r="F198" s="14" t="inlineStr">
        <is>
          <t>2025-11-25</t>
        </is>
      </c>
      <c r="G198" s="8" t="n">
        <v>375</v>
      </c>
      <c r="H198" s="22" t="n">
        <v>61.1</v>
      </c>
      <c r="I198" s="22" t="n">
        <v>3.5</v>
      </c>
      <c r="J198" s="22" t="n">
        <v>43.2</v>
      </c>
      <c r="K198" s="23" t="n">
        <v>14</v>
      </c>
      <c r="L198" s="23" t="n">
        <v>13.95</v>
      </c>
      <c r="M198" s="23" t="n">
        <v>18.05</v>
      </c>
      <c r="N198" s="23" t="n">
        <v>9.25</v>
      </c>
      <c r="O198" s="23" t="n">
        <v>10.75</v>
      </c>
      <c r="P198" s="23" t="n">
        <v>10.7</v>
      </c>
      <c r="Q198" s="8">
        <f>K198*G198</f>
        <v/>
      </c>
      <c r="R198" s="24">
        <f>(M198-K198)*G198</f>
        <v/>
      </c>
      <c r="S198" s="25">
        <f>(M198/K198-1)*100</f>
        <v/>
      </c>
      <c r="T198" s="26">
        <f>(N198-K198)*G198</f>
        <v/>
      </c>
      <c r="U198" s="27">
        <f>(N198/K198-1)*100</f>
        <v/>
      </c>
      <c r="V198" s="11">
        <f>(P198-K198)*G198</f>
        <v/>
      </c>
      <c r="W198" s="11" t="n">
        <v>-1480.04</v>
      </c>
      <c r="X198" s="10">
        <f>W198/Q198*100</f>
        <v/>
      </c>
      <c r="Y198" s="12" t="n">
        <v>-0.195</v>
      </c>
      <c r="Z198" s="14" t="inlineStr">
        <is>
          <t>2025_H2</t>
        </is>
      </c>
    </row>
    <row r="199">
      <c r="A199" s="14" t="inlineStr">
        <is>
          <t>2025-11-12</t>
        </is>
      </c>
      <c r="B199" s="7" t="inlineStr">
        <is>
          <t>FORTIS</t>
        </is>
      </c>
      <c r="C199" s="14" t="inlineStr">
        <is>
          <t>PE</t>
        </is>
      </c>
      <c r="D199" s="14" t="inlineStr">
        <is>
          <t>mid</t>
        </is>
      </c>
      <c r="E199" s="21" t="n">
        <v>960</v>
      </c>
      <c r="F199" s="14" t="inlineStr">
        <is>
          <t>2025-11-25</t>
        </is>
      </c>
      <c r="G199" s="8" t="n">
        <v>775</v>
      </c>
      <c r="H199" s="22" t="n">
        <v>70.3</v>
      </c>
      <c r="I199" s="22" t="n">
        <v>23.3</v>
      </c>
      <c r="J199" s="22" t="n">
        <v>17.3</v>
      </c>
      <c r="K199" s="23" t="n">
        <v>7.3</v>
      </c>
      <c r="L199" s="23" t="n">
        <v>7.25</v>
      </c>
      <c r="M199" s="23" t="n">
        <v>28.6</v>
      </c>
      <c r="N199" s="23" t="n">
        <v>7.05</v>
      </c>
      <c r="O199" s="23" t="n">
        <v>16.35</v>
      </c>
      <c r="P199" s="23" t="n">
        <v>16.3</v>
      </c>
      <c r="Q199" s="8">
        <f>K199*G199</f>
        <v/>
      </c>
      <c r="R199" s="24">
        <f>(M199-K199)*G199</f>
        <v/>
      </c>
      <c r="S199" s="25">
        <f>(M199/K199-1)*100</f>
        <v/>
      </c>
      <c r="T199" s="26">
        <f>(N199-K199)*G199</f>
        <v/>
      </c>
      <c r="U199" s="27">
        <f>(N199/K199-1)*100</f>
        <v/>
      </c>
      <c r="V199" s="11">
        <f>(P199-K199)*G199</f>
        <v/>
      </c>
      <c r="W199" s="11" t="n">
        <v>6535.19</v>
      </c>
      <c r="X199" s="10">
        <f>W199/Q199*100</f>
        <v/>
      </c>
      <c r="Y199" s="12" t="n">
        <v>3.456</v>
      </c>
      <c r="Z199" s="14" t="inlineStr">
        <is>
          <t>2025_H2</t>
        </is>
      </c>
    </row>
    <row r="200">
      <c r="A200" s="14" t="inlineStr">
        <is>
          <t>2025-11-12</t>
        </is>
      </c>
      <c r="B200" s="7" t="inlineStr">
        <is>
          <t>MFSL</t>
        </is>
      </c>
      <c r="C200" s="14" t="inlineStr">
        <is>
          <t>CE</t>
        </is>
      </c>
      <c r="D200" s="14" t="inlineStr">
        <is>
          <t>mid</t>
        </is>
      </c>
      <c r="E200" s="21" t="n">
        <v>1680</v>
      </c>
      <c r="F200" s="14" t="inlineStr">
        <is>
          <t>2025-11-25</t>
        </is>
      </c>
      <c r="G200" s="8" t="n">
        <v>400</v>
      </c>
      <c r="H200" s="22" t="n">
        <v>-95.8</v>
      </c>
      <c r="I200" s="22" t="n">
        <v>-93.2</v>
      </c>
      <c r="J200" s="22" t="n">
        <v>-26.8</v>
      </c>
      <c r="K200" s="23" t="n">
        <v>20</v>
      </c>
      <c r="L200" s="23" t="n">
        <v>19.95</v>
      </c>
      <c r="M200" s="23" t="n">
        <v>70</v>
      </c>
      <c r="N200" s="23" t="n">
        <v>19.9</v>
      </c>
      <c r="O200" s="23" t="n">
        <v>61.85</v>
      </c>
      <c r="P200" s="23" t="n">
        <v>61.8</v>
      </c>
      <c r="Q200" s="8">
        <f>K200*G200</f>
        <v/>
      </c>
      <c r="R200" s="24">
        <f>(M200-K200)*G200</f>
        <v/>
      </c>
      <c r="S200" s="25">
        <f>(M200/K200-1)*100</f>
        <v/>
      </c>
      <c r="T200" s="26">
        <f>(N200-K200)*G200</f>
        <v/>
      </c>
      <c r="U200" s="27">
        <f>(N200/K200-1)*100</f>
        <v/>
      </c>
      <c r="V200" s="11">
        <f>(P200-K200)*G200</f>
        <v/>
      </c>
      <c r="W200" s="11" t="n">
        <v>15967.33</v>
      </c>
      <c r="X200" s="10">
        <f>W200/Q200*100</f>
        <v/>
      </c>
      <c r="Y200" s="12" t="n">
        <v>7.425</v>
      </c>
      <c r="Z200" s="14" t="inlineStr">
        <is>
          <t>2025_H2</t>
        </is>
      </c>
    </row>
    <row r="201">
      <c r="A201" s="14" t="inlineStr">
        <is>
          <t>2025-11-13</t>
        </is>
      </c>
      <c r="B201" s="7" t="inlineStr">
        <is>
          <t>HAL</t>
        </is>
      </c>
      <c r="C201" s="14" t="inlineStr">
        <is>
          <t>PE</t>
        </is>
      </c>
      <c r="D201" s="14" t="inlineStr">
        <is>
          <t>large</t>
        </is>
      </c>
      <c r="E201" s="21" t="n">
        <v>4600</v>
      </c>
      <c r="F201" s="14" t="inlineStr">
        <is>
          <t>2025-11-25</t>
        </is>
      </c>
      <c r="G201" s="8" t="n">
        <v>150</v>
      </c>
      <c r="H201" s="22" t="n">
        <v>10.5</v>
      </c>
      <c r="I201" s="22" t="n">
        <v>20.6</v>
      </c>
      <c r="J201" s="22" t="n">
        <v>10.9</v>
      </c>
      <c r="K201" s="23" t="n">
        <v>46.45</v>
      </c>
      <c r="L201" s="23" t="n">
        <v>46.4</v>
      </c>
      <c r="M201" s="23" t="n">
        <v>70</v>
      </c>
      <c r="N201" s="23" t="n">
        <v>26.4</v>
      </c>
      <c r="O201" s="23" t="n">
        <v>32.1</v>
      </c>
      <c r="P201" s="23" t="n">
        <v>32.05</v>
      </c>
      <c r="Q201" s="8">
        <f>K201*G201</f>
        <v/>
      </c>
      <c r="R201" s="24">
        <f>(M201-K201)*G201</f>
        <v/>
      </c>
      <c r="S201" s="25">
        <f>(M201/K201-1)*100</f>
        <v/>
      </c>
      <c r="T201" s="26">
        <f>(N201-K201)*G201</f>
        <v/>
      </c>
      <c r="U201" s="27">
        <f>(N201/K201-1)*100</f>
        <v/>
      </c>
      <c r="V201" s="11">
        <f>(P201-K201)*G201</f>
        <v/>
      </c>
      <c r="W201" s="11" t="n">
        <v>-2337.33</v>
      </c>
      <c r="X201" s="10">
        <f>W201/Q201*100</f>
        <v/>
      </c>
      <c r="Y201" s="12" t="n">
        <v>-0.317</v>
      </c>
      <c r="Z201" s="14" t="inlineStr">
        <is>
          <t>2025_H2</t>
        </is>
      </c>
    </row>
    <row r="202">
      <c r="A202" s="14" t="inlineStr">
        <is>
          <t>2025-11-13</t>
        </is>
      </c>
      <c r="B202" s="7" t="inlineStr">
        <is>
          <t>NAUKRI</t>
        </is>
      </c>
      <c r="C202" s="14" t="inlineStr">
        <is>
          <t>PE</t>
        </is>
      </c>
      <c r="D202" s="14" t="inlineStr">
        <is>
          <t>large</t>
        </is>
      </c>
      <c r="E202" s="21" t="n">
        <v>1340</v>
      </c>
      <c r="F202" s="14" t="inlineStr">
        <is>
          <t>2025-11-25</t>
        </is>
      </c>
      <c r="G202" s="8" t="n">
        <v>375</v>
      </c>
      <c r="H202" s="22" t="n">
        <v>310.1</v>
      </c>
      <c r="I202" s="22" t="n">
        <v>1.4</v>
      </c>
      <c r="J202" s="22" t="n">
        <v>14.9</v>
      </c>
      <c r="K202" s="23" t="n">
        <v>16</v>
      </c>
      <c r="L202" s="23" t="n">
        <v>15.95</v>
      </c>
      <c r="M202" s="23" t="n">
        <v>33.65</v>
      </c>
      <c r="N202" s="23" t="n">
        <v>15.95</v>
      </c>
      <c r="O202" s="23" t="n">
        <v>23.1</v>
      </c>
      <c r="P202" s="23" t="n">
        <v>23.05</v>
      </c>
      <c r="Q202" s="8">
        <f>K202*G202</f>
        <v/>
      </c>
      <c r="R202" s="24">
        <f>(M202-K202)*G202</f>
        <v/>
      </c>
      <c r="S202" s="25">
        <f>(M202/K202-1)*100</f>
        <v/>
      </c>
      <c r="T202" s="26">
        <f>(N202-K202)*G202</f>
        <v/>
      </c>
      <c r="U202" s="27">
        <f>(N202/K202-1)*100</f>
        <v/>
      </c>
      <c r="V202" s="11">
        <f>(P202-K202)*G202</f>
        <v/>
      </c>
      <c r="W202" s="11" t="n">
        <v>2430.81</v>
      </c>
      <c r="X202" s="10">
        <f>W202/Q202*100</f>
        <v/>
      </c>
      <c r="Y202" s="12" t="n">
        <v>2.546</v>
      </c>
      <c r="Z202" s="14" t="inlineStr">
        <is>
          <t>2025_H2</t>
        </is>
      </c>
    </row>
    <row r="203">
      <c r="A203" s="14" t="inlineStr">
        <is>
          <t>2025-11-13</t>
        </is>
      </c>
      <c r="B203" s="7" t="inlineStr">
        <is>
          <t>PRESTIGE</t>
        </is>
      </c>
      <c r="C203" s="14" t="inlineStr">
        <is>
          <t>PE</t>
        </is>
      </c>
      <c r="D203" s="14" t="inlineStr">
        <is>
          <t>mid</t>
        </is>
      </c>
      <c r="E203" s="21" t="n">
        <v>1680</v>
      </c>
      <c r="F203" s="14" t="inlineStr">
        <is>
          <t>2025-11-25</t>
        </is>
      </c>
      <c r="G203" s="8" t="n">
        <v>450</v>
      </c>
      <c r="H203" s="22" t="n">
        <v>95</v>
      </c>
      <c r="I203" s="22" t="n">
        <v>46.8</v>
      </c>
      <c r="J203" s="22" t="n">
        <v>5.5</v>
      </c>
      <c r="K203" s="23" t="n">
        <v>12.85</v>
      </c>
      <c r="L203" s="23" t="n">
        <v>12.8</v>
      </c>
      <c r="M203" s="23" t="n">
        <v>28.5</v>
      </c>
      <c r="N203" s="23" t="n">
        <v>9</v>
      </c>
      <c r="O203" s="23" t="n">
        <v>13.2</v>
      </c>
      <c r="P203" s="23" t="n">
        <v>13.15</v>
      </c>
      <c r="Q203" s="8">
        <f>K203*G203</f>
        <v/>
      </c>
      <c r="R203" s="24">
        <f>(M203-K203)*G203</f>
        <v/>
      </c>
      <c r="S203" s="25">
        <f>(M203/K203-1)*100</f>
        <v/>
      </c>
      <c r="T203" s="26">
        <f>(N203-K203)*G203</f>
        <v/>
      </c>
      <c r="U203" s="27">
        <f>(N203/K203-1)*100</f>
        <v/>
      </c>
      <c r="V203" s="11">
        <f>(P203-K203)*G203</f>
        <v/>
      </c>
      <c r="W203" s="11" t="n">
        <v>-160.17</v>
      </c>
      <c r="X203" s="10">
        <f>W203/Q203*100</f>
        <v/>
      </c>
      <c r="Y203" s="12" t="n">
        <v>-1.987</v>
      </c>
      <c r="Z203" s="14" t="inlineStr">
        <is>
          <t>2025_H2</t>
        </is>
      </c>
    </row>
    <row r="204">
      <c r="A204" s="14" t="inlineStr">
        <is>
          <t>2025-11-14</t>
        </is>
      </c>
      <c r="B204" s="7" t="inlineStr">
        <is>
          <t>ALKEM</t>
        </is>
      </c>
      <c r="C204" s="14" t="inlineStr">
        <is>
          <t>PE</t>
        </is>
      </c>
      <c r="D204" s="14" t="inlineStr">
        <is>
          <t>mid</t>
        </is>
      </c>
      <c r="E204" s="21" t="n">
        <v>5600</v>
      </c>
      <c r="F204" s="14" t="inlineStr">
        <is>
          <t>2025-11-25</t>
        </is>
      </c>
      <c r="G204" s="8" t="n">
        <v>125</v>
      </c>
      <c r="H204" s="22" t="n">
        <v>11</v>
      </c>
      <c r="I204" s="22" t="n">
        <v>16.6</v>
      </c>
      <c r="J204" s="22" t="n">
        <v>17.2</v>
      </c>
      <c r="K204" s="23" t="n">
        <v>56.15</v>
      </c>
      <c r="L204" s="23" t="n">
        <v>56.1</v>
      </c>
      <c r="M204" s="23" t="n">
        <v>85.5</v>
      </c>
      <c r="N204" s="23" t="n">
        <v>29.55</v>
      </c>
      <c r="O204" s="23" t="n">
        <v>33.05</v>
      </c>
      <c r="P204" s="23" t="n">
        <v>33</v>
      </c>
      <c r="Q204" s="8">
        <f>K204*G204</f>
        <v/>
      </c>
      <c r="R204" s="24">
        <f>(M204-K204)*G204</f>
        <v/>
      </c>
      <c r="S204" s="25">
        <f>(M204/K204-1)*100</f>
        <v/>
      </c>
      <c r="T204" s="26">
        <f>(N204-K204)*G204</f>
        <v/>
      </c>
      <c r="U204" s="27">
        <f>(N204/K204-1)*100</f>
        <v/>
      </c>
      <c r="V204" s="11">
        <f>(P204-K204)*G204</f>
        <v/>
      </c>
      <c r="W204" s="11" t="n">
        <v>-3174.91</v>
      </c>
      <c r="X204" s="10">
        <f>W204/Q204*100</f>
        <v/>
      </c>
      <c r="Y204" s="12" t="n">
        <v>1.345</v>
      </c>
      <c r="Z204" s="14" t="inlineStr">
        <is>
          <t>2025_H2</t>
        </is>
      </c>
    </row>
    <row r="205">
      <c r="A205" s="14" t="inlineStr">
        <is>
          <t>2025-11-14</t>
        </is>
      </c>
      <c r="B205" s="7" t="inlineStr">
        <is>
          <t>BDL</t>
        </is>
      </c>
      <c r="C205" s="14" t="inlineStr">
        <is>
          <t>PE</t>
        </is>
      </c>
      <c r="D205" s="14" t="inlineStr">
        <is>
          <t>mid</t>
        </is>
      </c>
      <c r="E205" s="21" t="n">
        <v>1520</v>
      </c>
      <c r="F205" s="14" t="inlineStr">
        <is>
          <t>2025-11-25</t>
        </is>
      </c>
      <c r="G205" s="8" t="n">
        <v>325</v>
      </c>
      <c r="H205" s="22" t="n">
        <v>76.2</v>
      </c>
      <c r="I205" s="22" t="n">
        <v>1076.5</v>
      </c>
      <c r="J205" s="22" t="n">
        <v>110.6</v>
      </c>
      <c r="K205" s="23" t="n">
        <v>15.1</v>
      </c>
      <c r="L205" s="23" t="n">
        <v>15.05</v>
      </c>
      <c r="M205" s="23" t="n">
        <v>15.1</v>
      </c>
      <c r="N205" s="23" t="n">
        <v>4.65</v>
      </c>
      <c r="O205" s="23" t="n">
        <v>5.1</v>
      </c>
      <c r="P205" s="23" t="n">
        <v>5.05</v>
      </c>
      <c r="Q205" s="8">
        <f>K205*G205</f>
        <v/>
      </c>
      <c r="R205" s="24">
        <f>(M205-K205)*G205</f>
        <v/>
      </c>
      <c r="S205" s="25">
        <f>(M205/K205-1)*100</f>
        <v/>
      </c>
      <c r="T205" s="26">
        <f>(N205-K205)*G205</f>
        <v/>
      </c>
      <c r="U205" s="27">
        <f>(N205/K205-1)*100</f>
        <v/>
      </c>
      <c r="V205" s="11">
        <f>(P205-K205)*G205</f>
        <v/>
      </c>
      <c r="W205" s="11" t="n">
        <v>-3449.78</v>
      </c>
      <c r="X205" s="10">
        <f>W205/Q205*100</f>
        <v/>
      </c>
      <c r="Y205" s="12" t="n">
        <v>-0.8</v>
      </c>
      <c r="Z205" s="14" t="inlineStr">
        <is>
          <t>2025_H2</t>
        </is>
      </c>
    </row>
    <row r="206">
      <c r="A206" s="14" t="inlineStr">
        <is>
          <t>2025-11-14</t>
        </is>
      </c>
      <c r="B206" s="7" t="inlineStr">
        <is>
          <t>EICHERMOT</t>
        </is>
      </c>
      <c r="C206" s="14" t="inlineStr">
        <is>
          <t>PE</t>
        </is>
      </c>
      <c r="D206" s="14" t="inlineStr">
        <is>
          <t>large</t>
        </is>
      </c>
      <c r="E206" s="21" t="n">
        <v>6550</v>
      </c>
      <c r="F206" s="14" t="inlineStr">
        <is>
          <t>2025-11-25</t>
        </is>
      </c>
      <c r="G206" s="8" t="n">
        <v>175</v>
      </c>
      <c r="H206" s="22" t="n">
        <v>24.5</v>
      </c>
      <c r="I206" s="22" t="n">
        <v>13.6</v>
      </c>
      <c r="J206" s="22" t="n">
        <v>44.8</v>
      </c>
      <c r="K206" s="23" t="n">
        <v>41</v>
      </c>
      <c r="L206" s="23" t="n">
        <v>40.95</v>
      </c>
      <c r="M206" s="23" t="n">
        <v>47.6</v>
      </c>
      <c r="N206" s="23" t="n">
        <v>18.55</v>
      </c>
      <c r="O206" s="23" t="n">
        <v>34.9</v>
      </c>
      <c r="P206" s="23" t="n">
        <v>34.85</v>
      </c>
      <c r="Q206" s="8">
        <f>K206*G206</f>
        <v/>
      </c>
      <c r="R206" s="24">
        <f>(M206-K206)*G206</f>
        <v/>
      </c>
      <c r="S206" s="25">
        <f>(M206/K206-1)*100</f>
        <v/>
      </c>
      <c r="T206" s="26">
        <f>(N206-K206)*G206</f>
        <v/>
      </c>
      <c r="U206" s="27">
        <f>(N206/K206-1)*100</f>
        <v/>
      </c>
      <c r="V206" s="11">
        <f>(P206-K206)*G206</f>
        <v/>
      </c>
      <c r="W206" s="11" t="n">
        <v>-1271.15</v>
      </c>
      <c r="X206" s="10">
        <f>W206/Q206*100</f>
        <v/>
      </c>
      <c r="Y206" s="12" t="n">
        <v>1.53</v>
      </c>
      <c r="Z206" s="14" t="inlineStr">
        <is>
          <t>2025_H2</t>
        </is>
      </c>
    </row>
    <row r="207">
      <c r="A207" s="14" t="inlineStr">
        <is>
          <t>2025-11-14</t>
        </is>
      </c>
      <c r="B207" s="7" t="inlineStr">
        <is>
          <t>JUBLFOOD</t>
        </is>
      </c>
      <c r="C207" s="14" t="inlineStr">
        <is>
          <t>PE</t>
        </is>
      </c>
      <c r="D207" s="14" t="inlineStr">
        <is>
          <t>mid</t>
        </is>
      </c>
      <c r="E207" s="21" t="n">
        <v>570</v>
      </c>
      <c r="F207" s="14" t="inlineStr">
        <is>
          <t>2025-11-25</t>
        </is>
      </c>
      <c r="G207" s="8" t="n">
        <v>1250</v>
      </c>
      <c r="H207" s="22" t="n">
        <v>192.5</v>
      </c>
      <c r="I207" s="22" t="n">
        <v>106.3</v>
      </c>
      <c r="J207" s="22" t="n">
        <v>19.7</v>
      </c>
      <c r="K207" s="23" t="n">
        <v>2.6</v>
      </c>
      <c r="L207" s="23" t="n">
        <v>2.55</v>
      </c>
      <c r="M207" s="23" t="n">
        <v>3.65</v>
      </c>
      <c r="N207" s="23" t="n">
        <v>1.1</v>
      </c>
      <c r="O207" s="23" t="n">
        <v>1.2</v>
      </c>
      <c r="P207" s="23" t="n">
        <v>1.15</v>
      </c>
      <c r="Q207" s="8">
        <f>K207*G207</f>
        <v/>
      </c>
      <c r="R207" s="24">
        <f>(M207-K207)*G207</f>
        <v/>
      </c>
      <c r="S207" s="25">
        <f>(M207/K207-1)*100</f>
        <v/>
      </c>
      <c r="T207" s="26">
        <f>(N207-K207)*G207</f>
        <v/>
      </c>
      <c r="U207" s="27">
        <f>(N207/K207-1)*100</f>
        <v/>
      </c>
      <c r="V207" s="11">
        <f>(P207-K207)*G207</f>
        <v/>
      </c>
      <c r="W207" s="11" t="n">
        <v>-1957.67</v>
      </c>
      <c r="X207" s="10">
        <f>W207/Q207*100</f>
        <v/>
      </c>
      <c r="Y207" s="12" t="n">
        <v>-1.711</v>
      </c>
      <c r="Z207" s="14" t="inlineStr">
        <is>
          <t>2025_H2</t>
        </is>
      </c>
    </row>
    <row r="208">
      <c r="A208" s="14" t="inlineStr">
        <is>
          <t>2025-11-14</t>
        </is>
      </c>
      <c r="B208" s="7" t="inlineStr">
        <is>
          <t>MUTHOOTFIN</t>
        </is>
      </c>
      <c r="C208" s="14" t="inlineStr">
        <is>
          <t>PE</t>
        </is>
      </c>
      <c r="D208" s="14" t="inlineStr">
        <is>
          <t>mid</t>
        </is>
      </c>
      <c r="E208" s="21" t="n">
        <v>3400</v>
      </c>
      <c r="F208" s="14" t="inlineStr">
        <is>
          <t>2025-11-25</t>
        </is>
      </c>
      <c r="G208" s="8" t="n">
        <v>275</v>
      </c>
      <c r="H208" s="22" t="n">
        <v>82.5</v>
      </c>
      <c r="I208" s="22" t="n">
        <v>22.2</v>
      </c>
      <c r="J208" s="22" t="n">
        <v>47.8</v>
      </c>
      <c r="K208" s="23" t="n">
        <v>11.15</v>
      </c>
      <c r="L208" s="23" t="n">
        <v>11.1</v>
      </c>
      <c r="M208" s="23" t="n">
        <v>33.95</v>
      </c>
      <c r="N208" s="23" t="n">
        <v>6.45</v>
      </c>
      <c r="O208" s="23" t="n">
        <v>7.05</v>
      </c>
      <c r="P208" s="23" t="n">
        <v>7</v>
      </c>
      <c r="Q208" s="8">
        <f>K208*G208</f>
        <v/>
      </c>
      <c r="R208" s="24">
        <f>(M208-K208)*G208</f>
        <v/>
      </c>
      <c r="S208" s="25">
        <f>(M208/K208-1)*100</f>
        <v/>
      </c>
      <c r="T208" s="26">
        <f>(N208-K208)*G208</f>
        <v/>
      </c>
      <c r="U208" s="27">
        <f>(N208/K208-1)*100</f>
        <v/>
      </c>
      <c r="V208" s="11">
        <f>(P208-K208)*G208</f>
        <v/>
      </c>
      <c r="W208" s="11" t="n">
        <v>-1293.35</v>
      </c>
      <c r="X208" s="10">
        <f>W208/Q208*100</f>
        <v/>
      </c>
      <c r="Y208" s="12" t="n">
        <v>-2.071</v>
      </c>
      <c r="Z208" s="14" t="inlineStr">
        <is>
          <t>2025_H2</t>
        </is>
      </c>
    </row>
    <row r="209">
      <c r="A209" s="14" t="inlineStr">
        <is>
          <t>2025-11-14</t>
        </is>
      </c>
      <c r="B209" s="7" t="inlineStr">
        <is>
          <t>PAGEIND</t>
        </is>
      </c>
      <c r="C209" s="14" t="inlineStr">
        <is>
          <t>PE</t>
        </is>
      </c>
      <c r="D209" s="14" t="inlineStr">
        <is>
          <t>mid</t>
        </is>
      </c>
      <c r="E209" s="21" t="n">
        <v>38500</v>
      </c>
      <c r="F209" s="14" t="inlineStr">
        <is>
          <t>2025-11-25</t>
        </is>
      </c>
      <c r="G209" s="8" t="n">
        <v>15</v>
      </c>
      <c r="H209" s="22" t="n">
        <v>102.6</v>
      </c>
      <c r="I209" s="22" t="n">
        <v>97</v>
      </c>
      <c r="J209" s="22" t="n">
        <v>109.2</v>
      </c>
      <c r="K209" s="23" t="n">
        <v>520.05</v>
      </c>
      <c r="L209" s="23" t="n">
        <v>520</v>
      </c>
      <c r="M209" s="23" t="n">
        <v>697.5</v>
      </c>
      <c r="N209" s="23" t="n">
        <v>160</v>
      </c>
      <c r="O209" s="23" t="n">
        <v>187.05</v>
      </c>
      <c r="P209" s="23" t="n">
        <v>187</v>
      </c>
      <c r="Q209" s="8">
        <f>K209*G209</f>
        <v/>
      </c>
      <c r="R209" s="24">
        <f>(M209-K209)*G209</f>
        <v/>
      </c>
      <c r="S209" s="25">
        <f>(M209/K209-1)*100</f>
        <v/>
      </c>
      <c r="T209" s="26">
        <f>(N209-K209)*G209</f>
        <v/>
      </c>
      <c r="U209" s="27">
        <f>(N209/K209-1)*100</f>
        <v/>
      </c>
      <c r="V209" s="11">
        <f>(P209-K209)*G209</f>
        <v/>
      </c>
      <c r="W209" s="11" t="n">
        <v>-5263.96</v>
      </c>
      <c r="X209" s="10">
        <f>W209/Q209*100</f>
        <v/>
      </c>
      <c r="Y209" s="12" t="n">
        <v>-0.671</v>
      </c>
      <c r="Z209" s="14" t="inlineStr">
        <is>
          <t>2025_H2</t>
        </is>
      </c>
    </row>
    <row r="210">
      <c r="A210" s="14" t="inlineStr">
        <is>
          <t>2025-11-14</t>
        </is>
      </c>
      <c r="B210" s="7" t="inlineStr">
        <is>
          <t>PGEL</t>
        </is>
      </c>
      <c r="C210" s="14" t="inlineStr">
        <is>
          <t>CE</t>
        </is>
      </c>
      <c r="D210" s="14" t="inlineStr">
        <is>
          <t>small</t>
        </is>
      </c>
      <c r="E210" s="21" t="n">
        <v>570</v>
      </c>
      <c r="F210" s="14" t="inlineStr">
        <is>
          <t>2025-11-25</t>
        </is>
      </c>
      <c r="G210" s="8" t="n">
        <v>700</v>
      </c>
      <c r="H210" s="22" t="n">
        <v>-85.7</v>
      </c>
      <c r="I210" s="22" t="n">
        <v>-95.90000000000001</v>
      </c>
      <c r="J210" s="22" t="n">
        <v>-2.4</v>
      </c>
      <c r="K210" s="23" t="n">
        <v>5</v>
      </c>
      <c r="L210" s="23" t="n">
        <v>4.95</v>
      </c>
      <c r="M210" s="23" t="n">
        <v>26.15</v>
      </c>
      <c r="N210" s="23" t="n">
        <v>4.95</v>
      </c>
      <c r="O210" s="23" t="n">
        <v>21.1</v>
      </c>
      <c r="P210" s="23" t="n">
        <v>21.05</v>
      </c>
      <c r="Q210" s="8">
        <f>K210*G210</f>
        <v/>
      </c>
      <c r="R210" s="24">
        <f>(M210-K210)*G210</f>
        <v/>
      </c>
      <c r="S210" s="25">
        <f>(M210/K210-1)*100</f>
        <v/>
      </c>
      <c r="T210" s="26">
        <f>(N210-K210)*G210</f>
        <v/>
      </c>
      <c r="U210" s="27">
        <f>(N210/K210-1)*100</f>
        <v/>
      </c>
      <c r="V210" s="11">
        <f>(P210-K210)*G210</f>
        <v/>
      </c>
      <c r="W210" s="11" t="n">
        <v>10610.89</v>
      </c>
      <c r="X210" s="10">
        <f>W210/Q210*100</f>
        <v/>
      </c>
      <c r="Y210" s="12" t="n">
        <v>7.056</v>
      </c>
      <c r="Z210" s="14" t="inlineStr">
        <is>
          <t>2025_H2</t>
        </is>
      </c>
    </row>
    <row r="211">
      <c r="A211" s="14" t="inlineStr">
        <is>
          <t>2025-11-14</t>
        </is>
      </c>
      <c r="B211" s="7" t="inlineStr">
        <is>
          <t>VOLTAS</t>
        </is>
      </c>
      <c r="C211" s="14" t="inlineStr">
        <is>
          <t>CE</t>
        </is>
      </c>
      <c r="D211" s="14" t="inlineStr">
        <is>
          <t>mid</t>
        </is>
      </c>
      <c r="E211" s="21" t="n">
        <v>1340</v>
      </c>
      <c r="F211" s="14" t="inlineStr">
        <is>
          <t>2025-11-25</t>
        </is>
      </c>
      <c r="G211" s="8" t="n">
        <v>375</v>
      </c>
      <c r="H211" s="22" t="n">
        <v>-76.3</v>
      </c>
      <c r="I211" s="22" t="n">
        <v>-77.59999999999999</v>
      </c>
      <c r="J211" s="22" t="n">
        <v>-10.4</v>
      </c>
      <c r="K211" s="23" t="n">
        <v>14.45</v>
      </c>
      <c r="L211" s="23" t="n">
        <v>14.4</v>
      </c>
      <c r="M211" s="23" t="n">
        <v>39.9</v>
      </c>
      <c r="N211" s="23" t="n">
        <v>9.9</v>
      </c>
      <c r="O211" s="23" t="n">
        <v>31.55</v>
      </c>
      <c r="P211" s="23" t="n">
        <v>31.5</v>
      </c>
      <c r="Q211" s="8">
        <f>K211*G211</f>
        <v/>
      </c>
      <c r="R211" s="24">
        <f>(M211-K211)*G211</f>
        <v/>
      </c>
      <c r="S211" s="25">
        <f>(M211/K211-1)*100</f>
        <v/>
      </c>
      <c r="T211" s="26">
        <f>(N211-K211)*G211</f>
        <v/>
      </c>
      <c r="U211" s="27">
        <f>(N211/K211-1)*100</f>
        <v/>
      </c>
      <c r="V211" s="11">
        <f>(P211-K211)*G211</f>
        <v/>
      </c>
      <c r="W211" s="11" t="n">
        <v>5976.78</v>
      </c>
      <c r="X211" s="10">
        <f>W211/Q211*100</f>
        <v/>
      </c>
      <c r="Y211" s="12" t="n">
        <v>3.597</v>
      </c>
      <c r="Z211" s="14" t="inlineStr">
        <is>
          <t>2025_H2</t>
        </is>
      </c>
    </row>
    <row r="212">
      <c r="A212" s="14" t="inlineStr">
        <is>
          <t>2025-11-17</t>
        </is>
      </c>
      <c r="B212" s="7" t="inlineStr">
        <is>
          <t>GLENMARK</t>
        </is>
      </c>
      <c r="C212" s="14" t="inlineStr">
        <is>
          <t>PE</t>
        </is>
      </c>
      <c r="D212" s="14" t="inlineStr">
        <is>
          <t>mid</t>
        </is>
      </c>
      <c r="E212" s="21" t="n">
        <v>1780</v>
      </c>
      <c r="F212" s="14" t="inlineStr">
        <is>
          <t>2025-11-25</t>
        </is>
      </c>
      <c r="G212" s="8" t="n">
        <v>375</v>
      </c>
      <c r="H212" s="22" t="n">
        <v>72.2</v>
      </c>
      <c r="I212" s="22" t="n">
        <v>1199.6</v>
      </c>
      <c r="J212" s="22" t="n">
        <v>76.09999999999999</v>
      </c>
      <c r="K212" s="23" t="n">
        <v>11.6</v>
      </c>
      <c r="L212" s="23" t="n">
        <v>11.55</v>
      </c>
      <c r="M212" s="23" t="n">
        <v>21</v>
      </c>
      <c r="N212" s="23" t="n">
        <v>3.5</v>
      </c>
      <c r="O212" s="23" t="n">
        <v>7.95</v>
      </c>
      <c r="P212" s="23" t="n">
        <v>7.9</v>
      </c>
      <c r="Q212" s="8">
        <f>K212*G212</f>
        <v/>
      </c>
      <c r="R212" s="24">
        <f>(M212-K212)*G212</f>
        <v/>
      </c>
      <c r="S212" s="25">
        <f>(M212/K212-1)*100</f>
        <v/>
      </c>
      <c r="T212" s="26">
        <f>(N212-K212)*G212</f>
        <v/>
      </c>
      <c r="U212" s="27">
        <f>(N212/K212-1)*100</f>
        <v/>
      </c>
      <c r="V212" s="11">
        <f>(P212-K212)*G212</f>
        <v/>
      </c>
      <c r="W212" s="11" t="n">
        <v>-1588.59</v>
      </c>
      <c r="X212" s="10">
        <f>W212/Q212*100</f>
        <v/>
      </c>
      <c r="Y212" s="12" t="n">
        <v>-0.744</v>
      </c>
      <c r="Z212" s="14" t="inlineStr">
        <is>
          <t>2025_H2</t>
        </is>
      </c>
    </row>
    <row r="213">
      <c r="A213" s="14" t="inlineStr">
        <is>
          <t>2025-11-17</t>
        </is>
      </c>
      <c r="B213" s="7" t="inlineStr">
        <is>
          <t>INOXWIND</t>
        </is>
      </c>
      <c r="C213" s="14" t="inlineStr">
        <is>
          <t>PE</t>
        </is>
      </c>
      <c r="D213" s="14" t="inlineStr">
        <is>
          <t>small</t>
        </is>
      </c>
      <c r="E213" s="21" t="n">
        <v>147.5</v>
      </c>
      <c r="F213" s="14" t="inlineStr">
        <is>
          <t>2025-11-25</t>
        </is>
      </c>
      <c r="G213" s="8" t="n">
        <v>3272</v>
      </c>
      <c r="H213" s="22" t="n">
        <v>33.7</v>
      </c>
      <c r="I213" s="22" t="n">
        <v>23.9</v>
      </c>
      <c r="J213" s="22" t="n">
        <v>52.8</v>
      </c>
      <c r="K213" s="23" t="n">
        <v>2.06</v>
      </c>
      <c r="L213" s="23" t="n">
        <v>2.01</v>
      </c>
      <c r="M213" s="23" t="n">
        <v>5.71</v>
      </c>
      <c r="N213" s="23" t="n">
        <v>1.64</v>
      </c>
      <c r="O213" s="23" t="n">
        <v>3.93</v>
      </c>
      <c r="P213" s="23" t="n">
        <v>3.88</v>
      </c>
      <c r="Q213" s="8">
        <f>K213*G213</f>
        <v/>
      </c>
      <c r="R213" s="24">
        <f>(M213-K213)*G213</f>
        <v/>
      </c>
      <c r="S213" s="25">
        <f>(M213/K213-1)*100</f>
        <v/>
      </c>
      <c r="T213" s="26">
        <f>(N213-K213)*G213</f>
        <v/>
      </c>
      <c r="U213" s="27">
        <f>(N213/K213-1)*100</f>
        <v/>
      </c>
      <c r="V213" s="11">
        <f>(P213-K213)*G213</f>
        <v/>
      </c>
      <c r="W213" s="11" t="n">
        <v>5297.37</v>
      </c>
      <c r="X213" s="10">
        <f>W213/Q213*100</f>
        <v/>
      </c>
      <c r="Y213" s="12" t="n">
        <v>2.917</v>
      </c>
      <c r="Z213" s="14" t="inlineStr">
        <is>
          <t>2025_H2</t>
        </is>
      </c>
    </row>
    <row r="214">
      <c r="A214" s="14" t="inlineStr">
        <is>
          <t>2025-11-17</t>
        </is>
      </c>
      <c r="B214" s="7" t="inlineStr">
        <is>
          <t>MAXHEALTH</t>
        </is>
      </c>
      <c r="C214" s="14" t="inlineStr">
        <is>
          <t>PE</t>
        </is>
      </c>
      <c r="D214" s="14" t="inlineStr">
        <is>
          <t>large</t>
        </is>
      </c>
      <c r="E214" s="21" t="n">
        <v>1060</v>
      </c>
      <c r="F214" s="14" t="inlineStr">
        <is>
          <t>2025-11-25</t>
        </is>
      </c>
      <c r="G214" s="8" t="n">
        <v>525</v>
      </c>
      <c r="H214" s="22" t="n">
        <v>74.3</v>
      </c>
      <c r="I214" s="22" t="n">
        <v>59.5</v>
      </c>
      <c r="J214" s="22" t="n">
        <v>25.1</v>
      </c>
      <c r="K214" s="23" t="n">
        <v>6.2</v>
      </c>
      <c r="L214" s="23" t="n">
        <v>6.15</v>
      </c>
      <c r="M214" s="23" t="n">
        <v>10.6</v>
      </c>
      <c r="N214" s="23" t="n">
        <v>2.65</v>
      </c>
      <c r="O214" s="23" t="n">
        <v>2.9</v>
      </c>
      <c r="P214" s="23" t="n">
        <v>2.85</v>
      </c>
      <c r="Q214" s="8">
        <f>K214*G214</f>
        <v/>
      </c>
      <c r="R214" s="24">
        <f>(M214-K214)*G214</f>
        <v/>
      </c>
      <c r="S214" s="25">
        <f>(M214/K214-1)*100</f>
        <v/>
      </c>
      <c r="T214" s="26">
        <f>(N214-K214)*G214</f>
        <v/>
      </c>
      <c r="U214" s="27">
        <f>(N214/K214-1)*100</f>
        <v/>
      </c>
      <c r="V214" s="11">
        <f>(P214-K214)*G214</f>
        <v/>
      </c>
      <c r="W214" s="11" t="n">
        <v>-1857.8</v>
      </c>
      <c r="X214" s="10">
        <f>W214/Q214*100</f>
        <v/>
      </c>
      <c r="Y214" s="12" t="n">
        <v>-1.502</v>
      </c>
      <c r="Z214" s="14" t="inlineStr">
        <is>
          <t>2025_H2</t>
        </is>
      </c>
    </row>
    <row r="215">
      <c r="A215" s="14" t="inlineStr">
        <is>
          <t>2025-11-17</t>
        </is>
      </c>
      <c r="B215" s="7" t="inlineStr">
        <is>
          <t>OIL</t>
        </is>
      </c>
      <c r="C215" s="14" t="inlineStr">
        <is>
          <t>PE</t>
        </is>
      </c>
      <c r="D215" s="14" t="inlineStr">
        <is>
          <t>mid</t>
        </is>
      </c>
      <c r="E215" s="21" t="n">
        <v>420</v>
      </c>
      <c r="F215" s="14" t="inlineStr">
        <is>
          <t>2025-11-25</t>
        </is>
      </c>
      <c r="G215" s="8" t="n">
        <v>1400</v>
      </c>
      <c r="H215" s="22" t="n">
        <v>78.3</v>
      </c>
      <c r="I215" s="22" t="n">
        <v>80.3</v>
      </c>
      <c r="J215" s="22" t="n">
        <v>120.3</v>
      </c>
      <c r="K215" s="23" t="n">
        <v>4.8</v>
      </c>
      <c r="L215" s="23" t="n">
        <v>4.75</v>
      </c>
      <c r="M215" s="23" t="n">
        <v>5</v>
      </c>
      <c r="N215" s="23" t="n">
        <v>1.6</v>
      </c>
      <c r="O215" s="23" t="n">
        <v>2.55</v>
      </c>
      <c r="P215" s="23" t="n">
        <v>2.5</v>
      </c>
      <c r="Q215" s="8">
        <f>K215*G215</f>
        <v/>
      </c>
      <c r="R215" s="24">
        <f>(M215-K215)*G215</f>
        <v/>
      </c>
      <c r="S215" s="25">
        <f>(M215/K215-1)*100</f>
        <v/>
      </c>
      <c r="T215" s="26">
        <f>(N215-K215)*G215</f>
        <v/>
      </c>
      <c r="U215" s="27">
        <f>(N215/K215-1)*100</f>
        <v/>
      </c>
      <c r="V215" s="11">
        <f>(P215-K215)*G215</f>
        <v/>
      </c>
      <c r="W215" s="11" t="n">
        <v>-3481.34</v>
      </c>
      <c r="X215" s="10">
        <f>W215/Q215*100</f>
        <v/>
      </c>
      <c r="Y215" s="12" t="n">
        <v>0.16</v>
      </c>
      <c r="Z215" s="14" t="inlineStr">
        <is>
          <t>2025_H2</t>
        </is>
      </c>
    </row>
    <row r="216">
      <c r="A216" s="14" t="inlineStr">
        <is>
          <t>2026-01-12</t>
        </is>
      </c>
      <c r="B216" s="7" t="inlineStr">
        <is>
          <t>DMART</t>
        </is>
      </c>
      <c r="C216" s="14" t="inlineStr">
        <is>
          <t>PE</t>
        </is>
      </c>
      <c r="D216" s="14" t="inlineStr">
        <is>
          <t>large</t>
        </is>
      </c>
      <c r="E216" s="21" t="n">
        <v>3750</v>
      </c>
      <c r="F216" s="14" t="inlineStr">
        <is>
          <t>2026-01-27</t>
        </is>
      </c>
      <c r="G216" s="8" t="n">
        <v>150</v>
      </c>
      <c r="H216" s="22" t="n">
        <v>18.3</v>
      </c>
      <c r="I216" s="22" t="n">
        <v>25</v>
      </c>
      <c r="J216" s="22" t="n">
        <v>13.3</v>
      </c>
      <c r="K216" s="23" t="n">
        <v>51.05</v>
      </c>
      <c r="L216" s="23" t="n">
        <v>51</v>
      </c>
      <c r="M216" s="23" t="n">
        <v>73.95</v>
      </c>
      <c r="N216" s="23" t="n">
        <v>26</v>
      </c>
      <c r="O216" s="23" t="n">
        <v>37.25</v>
      </c>
      <c r="P216" s="23" t="n">
        <v>37.2</v>
      </c>
      <c r="Q216" s="8">
        <f>K216*G216</f>
        <v/>
      </c>
      <c r="R216" s="24">
        <f>(M216-K216)*G216</f>
        <v/>
      </c>
      <c r="S216" s="25">
        <f>(M216/K216-1)*100</f>
        <v/>
      </c>
      <c r="T216" s="26">
        <f>(N216-K216)*G216</f>
        <v/>
      </c>
      <c r="U216" s="27">
        <f>(N216/K216-1)*100</f>
        <v/>
      </c>
      <c r="V216" s="11">
        <f>(P216-K216)*G216</f>
        <v/>
      </c>
      <c r="W216" s="11" t="n">
        <v>-2271.24</v>
      </c>
      <c r="X216" s="10">
        <f>W216/Q216*100</f>
        <v/>
      </c>
      <c r="Y216" s="12" t="n">
        <v>0.506</v>
      </c>
      <c r="Z216" s="14" t="inlineStr">
        <is>
          <t>2026_H1</t>
        </is>
      </c>
    </row>
    <row r="217">
      <c r="A217" s="14" t="inlineStr">
        <is>
          <t>2026-01-13</t>
        </is>
      </c>
      <c r="B217" s="7" t="inlineStr">
        <is>
          <t>HCLTECH</t>
        </is>
      </c>
      <c r="C217" s="14" t="inlineStr">
        <is>
          <t>CE</t>
        </is>
      </c>
      <c r="D217" s="14" t="inlineStr">
        <is>
          <t>large</t>
        </is>
      </c>
      <c r="E217" s="21" t="n">
        <v>1700</v>
      </c>
      <c r="F217" s="14" t="inlineStr">
        <is>
          <t>2026-01-27</t>
        </is>
      </c>
      <c r="G217" s="8" t="n">
        <v>350</v>
      </c>
      <c r="H217" s="22" t="n">
        <v>-11.1</v>
      </c>
      <c r="I217" s="22" t="n">
        <v>-3.6</v>
      </c>
      <c r="J217" s="22" t="n">
        <v>13.3</v>
      </c>
      <c r="K217" s="23" t="n">
        <v>22.75</v>
      </c>
      <c r="L217" s="23" t="n">
        <v>22.7</v>
      </c>
      <c r="M217" s="23" t="n">
        <v>28.7</v>
      </c>
      <c r="N217" s="23" t="n">
        <v>6.8</v>
      </c>
      <c r="O217" s="23" t="n">
        <v>11.15</v>
      </c>
      <c r="P217" s="23" t="n">
        <v>11.1</v>
      </c>
      <c r="Q217" s="8">
        <f>K217*G217</f>
        <v/>
      </c>
      <c r="R217" s="24">
        <f>(M217-K217)*G217</f>
        <v/>
      </c>
      <c r="S217" s="25">
        <f>(M217/K217-1)*100</f>
        <v/>
      </c>
      <c r="T217" s="26">
        <f>(N217-K217)*G217</f>
        <v/>
      </c>
      <c r="U217" s="27">
        <f>(N217/K217-1)*100</f>
        <v/>
      </c>
      <c r="V217" s="11">
        <f>(P217-K217)*G217</f>
        <v/>
      </c>
      <c r="W217" s="11" t="n">
        <v>-4254.23</v>
      </c>
      <c r="X217" s="10">
        <f>W217/Q217*100</f>
        <v/>
      </c>
      <c r="Y217" s="12" t="n">
        <v>-1.187</v>
      </c>
      <c r="Z217" s="14" t="inlineStr">
        <is>
          <t>2026_H1</t>
        </is>
      </c>
    </row>
    <row r="218">
      <c r="A218" s="14" t="inlineStr">
        <is>
          <t>2026-01-13</t>
        </is>
      </c>
      <c r="B218" s="7" t="inlineStr">
        <is>
          <t>TCS</t>
        </is>
      </c>
      <c r="C218" s="14" t="inlineStr">
        <is>
          <t>CE</t>
        </is>
      </c>
      <c r="D218" s="14" t="inlineStr">
        <is>
          <t>large</t>
        </is>
      </c>
      <c r="E218" s="21" t="n">
        <v>3260</v>
      </c>
      <c r="F218" s="14" t="inlineStr">
        <is>
          <t>2026-01-27</t>
        </is>
      </c>
      <c r="G218" s="8" t="n">
        <v>175</v>
      </c>
      <c r="H218" s="22" t="n">
        <v>-13.9</v>
      </c>
      <c r="I218" s="22" t="n">
        <v>-11.6</v>
      </c>
      <c r="J218" s="22" t="n">
        <v>4.9</v>
      </c>
      <c r="K218" s="23" t="n">
        <v>40.05</v>
      </c>
      <c r="L218" s="23" t="n">
        <v>40</v>
      </c>
      <c r="M218" s="23" t="n">
        <v>40</v>
      </c>
      <c r="N218" s="23" t="n">
        <v>16.75</v>
      </c>
      <c r="O218" s="23" t="n">
        <v>26.05</v>
      </c>
      <c r="P218" s="23" t="n">
        <v>26</v>
      </c>
      <c r="Q218" s="8">
        <f>K218*G218</f>
        <v/>
      </c>
      <c r="R218" s="24">
        <f>(M218-K218)*G218</f>
        <v/>
      </c>
      <c r="S218" s="25">
        <f>(M218/K218-1)*100</f>
        <v/>
      </c>
      <c r="T218" s="26">
        <f>(N218-K218)*G218</f>
        <v/>
      </c>
      <c r="U218" s="27">
        <f>(N218/K218-1)*100</f>
        <v/>
      </c>
      <c r="V218" s="11">
        <f>(P218-K218)*G218</f>
        <v/>
      </c>
      <c r="W218" s="11" t="n">
        <v>-2633.44</v>
      </c>
      <c r="X218" s="10">
        <f>W218/Q218*100</f>
        <v/>
      </c>
      <c r="Y218" s="12" t="n">
        <v>0.709</v>
      </c>
      <c r="Z218" s="14" t="inlineStr">
        <is>
          <t>2026_H1</t>
        </is>
      </c>
    </row>
    <row r="219">
      <c r="A219" s="14" t="inlineStr">
        <is>
          <t>2026-01-14</t>
        </is>
      </c>
      <c r="B219" s="7" t="inlineStr">
        <is>
          <t>TATAELXSI</t>
        </is>
      </c>
      <c r="C219" s="14" t="inlineStr">
        <is>
          <t>CE</t>
        </is>
      </c>
      <c r="D219" s="14" t="inlineStr">
        <is>
          <t>mid</t>
        </is>
      </c>
      <c r="E219" s="21" t="n">
        <v>5900</v>
      </c>
      <c r="F219" s="14" t="inlineStr">
        <is>
          <t>2026-01-27</t>
        </is>
      </c>
      <c r="G219" s="8" t="n">
        <v>100</v>
      </c>
      <c r="H219" s="22" t="n">
        <v>-45.3</v>
      </c>
      <c r="I219" s="22" t="n">
        <v>-29.7</v>
      </c>
      <c r="J219" s="22" t="n">
        <v>1.5</v>
      </c>
      <c r="K219" s="23" t="n">
        <v>75.05</v>
      </c>
      <c r="L219" s="23" t="n">
        <v>75</v>
      </c>
      <c r="M219" s="23" t="n">
        <v>96.45</v>
      </c>
      <c r="N219" s="23" t="n">
        <v>24.25</v>
      </c>
      <c r="O219" s="23" t="n">
        <v>25.75</v>
      </c>
      <c r="P219" s="23" t="n">
        <v>25.7</v>
      </c>
      <c r="Q219" s="8">
        <f>K219*G219</f>
        <v/>
      </c>
      <c r="R219" s="24">
        <f>(M219-K219)*G219</f>
        <v/>
      </c>
      <c r="S219" s="25">
        <f>(M219/K219-1)*100</f>
        <v/>
      </c>
      <c r="T219" s="26">
        <f>(N219-K219)*G219</f>
        <v/>
      </c>
      <c r="U219" s="27">
        <f>(N219/K219-1)*100</f>
        <v/>
      </c>
      <c r="V219" s="11">
        <f>(P219-K219)*G219</f>
        <v/>
      </c>
      <c r="W219" s="11" t="n">
        <v>-5192.01</v>
      </c>
      <c r="X219" s="10">
        <f>W219/Q219*100</f>
        <v/>
      </c>
      <c r="Y219" s="12" t="n">
        <v>-3.421</v>
      </c>
      <c r="Z219" s="14" t="inlineStr">
        <is>
          <t>2026_H1</t>
        </is>
      </c>
    </row>
    <row r="220">
      <c r="A220" s="14" t="inlineStr">
        <is>
          <t>2026-01-16</t>
        </is>
      </c>
      <c r="B220" s="7" t="inlineStr">
        <is>
          <t>HDFCAMC</t>
        </is>
      </c>
      <c r="C220" s="14" t="inlineStr">
        <is>
          <t>PE</t>
        </is>
      </c>
      <c r="D220" s="14" t="inlineStr">
        <is>
          <t>mid</t>
        </is>
      </c>
      <c r="E220" s="21" t="n">
        <v>2540</v>
      </c>
      <c r="F220" s="14" t="inlineStr">
        <is>
          <t>2026-01-27</t>
        </is>
      </c>
      <c r="G220" s="8" t="n">
        <v>300</v>
      </c>
      <c r="H220" s="22" t="n">
        <v>20</v>
      </c>
      <c r="I220" s="22" t="n">
        <v>7.1</v>
      </c>
      <c r="J220" s="22" t="n">
        <v>15</v>
      </c>
      <c r="K220" s="23" t="n">
        <v>15.05</v>
      </c>
      <c r="L220" s="23" t="n">
        <v>15</v>
      </c>
      <c r="M220" s="23" t="n">
        <v>20.15</v>
      </c>
      <c r="N220" s="23" t="n">
        <v>1.35</v>
      </c>
      <c r="O220" s="23" t="n">
        <v>18.25</v>
      </c>
      <c r="P220" s="23" t="n">
        <v>18.2</v>
      </c>
      <c r="Q220" s="8">
        <f>K220*G220</f>
        <v/>
      </c>
      <c r="R220" s="24">
        <f>(M220-K220)*G220</f>
        <v/>
      </c>
      <c r="S220" s="25">
        <f>(M220/K220-1)*100</f>
        <v/>
      </c>
      <c r="T220" s="26">
        <f>(N220-K220)*G220</f>
        <v/>
      </c>
      <c r="U220" s="27">
        <f>(N220/K220-1)*100</f>
        <v/>
      </c>
      <c r="V220" s="11">
        <f>(P220-K220)*G220</f>
        <v/>
      </c>
      <c r="W220" s="11" t="n">
        <v>685.78</v>
      </c>
      <c r="X220" s="10">
        <f>W220/Q220*100</f>
        <v/>
      </c>
      <c r="Y220" s="12" t="n">
        <v>-0.628</v>
      </c>
      <c r="Z220" s="14" t="inlineStr">
        <is>
          <t>2026_H1</t>
        </is>
      </c>
    </row>
    <row r="221">
      <c r="A221" s="14" t="inlineStr">
        <is>
          <t>2026-01-19</t>
        </is>
      </c>
      <c r="B221" s="7" t="inlineStr">
        <is>
          <t>HDFCBANK</t>
        </is>
      </c>
      <c r="C221" s="14" t="inlineStr">
        <is>
          <t>PE</t>
        </is>
      </c>
      <c r="D221" s="14" t="inlineStr">
        <is>
          <t>large</t>
        </is>
      </c>
      <c r="E221" s="21" t="n">
        <v>930</v>
      </c>
      <c r="F221" s="14" t="inlineStr">
        <is>
          <t>2026-01-27</t>
        </is>
      </c>
      <c r="G221" s="8" t="n">
        <v>550</v>
      </c>
      <c r="H221" s="22" t="n">
        <v>12.2</v>
      </c>
      <c r="I221" s="22" t="n">
        <v>1</v>
      </c>
      <c r="J221" s="22" t="n">
        <v>2.4</v>
      </c>
      <c r="K221" s="23" t="n">
        <v>10.6</v>
      </c>
      <c r="L221" s="23" t="n">
        <v>10.55</v>
      </c>
      <c r="M221" s="23" t="n">
        <v>16.8</v>
      </c>
      <c r="N221" s="23" t="n">
        <v>7.75</v>
      </c>
      <c r="O221" s="23" t="n">
        <v>10.55</v>
      </c>
      <c r="P221" s="23" t="n">
        <v>10.5</v>
      </c>
      <c r="Q221" s="8">
        <f>K221*G221</f>
        <v/>
      </c>
      <c r="R221" s="24">
        <f>(M221-K221)*G221</f>
        <v/>
      </c>
      <c r="S221" s="25">
        <f>(M221/K221-1)*100</f>
        <v/>
      </c>
      <c r="T221" s="26">
        <f>(N221-K221)*G221</f>
        <v/>
      </c>
      <c r="U221" s="27">
        <f>(N221/K221-1)*100</f>
        <v/>
      </c>
      <c r="V221" s="11">
        <f>(P221-K221)*G221</f>
        <v/>
      </c>
      <c r="W221" s="11" t="n">
        <v>-231.96</v>
      </c>
      <c r="X221" s="10">
        <f>W221/Q221*100</f>
        <v/>
      </c>
      <c r="Y221" s="12" t="n">
        <v>0.855</v>
      </c>
      <c r="Z221" s="14" t="inlineStr">
        <is>
          <t>2026_H1</t>
        </is>
      </c>
    </row>
    <row r="222">
      <c r="A222" s="14" t="inlineStr">
        <is>
          <t>2026-01-19</t>
        </is>
      </c>
      <c r="B222" s="7" t="inlineStr">
        <is>
          <t>LTF</t>
        </is>
      </c>
      <c r="C222" s="14" t="inlineStr">
        <is>
          <t>PE</t>
        </is>
      </c>
      <c r="D222" s="14" t="inlineStr">
        <is>
          <t>mid</t>
        </is>
      </c>
      <c r="E222" s="21" t="n">
        <v>277.5</v>
      </c>
      <c r="F222" s="14" t="inlineStr">
        <is>
          <t>2026-01-27</t>
        </is>
      </c>
      <c r="G222" s="8" t="n">
        <v>2250</v>
      </c>
      <c r="H222" s="22" t="n">
        <v>18</v>
      </c>
      <c r="I222" s="22" t="n">
        <v>0.4</v>
      </c>
      <c r="J222" s="22" t="n">
        <v>11.7</v>
      </c>
      <c r="K222" s="23" t="n">
        <v>3.05</v>
      </c>
      <c r="L222" s="23" t="n">
        <v>3</v>
      </c>
      <c r="M222" s="23" t="n">
        <v>3.95</v>
      </c>
      <c r="N222" s="23" t="n">
        <v>0.55</v>
      </c>
      <c r="O222" s="23" t="n">
        <v>0.6</v>
      </c>
      <c r="P222" s="23" t="n">
        <v>0.55</v>
      </c>
      <c r="Q222" s="8">
        <f>K222*G222</f>
        <v/>
      </c>
      <c r="R222" s="24">
        <f>(M222-K222)*G222</f>
        <v/>
      </c>
      <c r="S222" s="25">
        <f>(M222/K222-1)*100</f>
        <v/>
      </c>
      <c r="T222" s="26">
        <f>(N222-K222)*G222</f>
        <v/>
      </c>
      <c r="U222" s="27">
        <f>(N222/K222-1)*100</f>
        <v/>
      </c>
      <c r="V222" s="11">
        <f>(P222-K222)*G222</f>
        <v/>
      </c>
      <c r="W222" s="11" t="n">
        <v>-5839.68</v>
      </c>
      <c r="X222" s="10">
        <f>W222/Q222*100</f>
        <v/>
      </c>
      <c r="Y222" s="12" t="n">
        <v>-5.466</v>
      </c>
      <c r="Z222" s="14" t="inlineStr">
        <is>
          <t>2026_H1</t>
        </is>
      </c>
    </row>
    <row r="223">
      <c r="A223" s="14" t="inlineStr">
        <is>
          <t>2026-01-20</t>
        </is>
      </c>
      <c r="B223" s="7" t="inlineStr">
        <is>
          <t>BHEL</t>
        </is>
      </c>
      <c r="C223" s="14" t="inlineStr">
        <is>
          <t>PE</t>
        </is>
      </c>
      <c r="D223" s="14" t="inlineStr">
        <is>
          <t>mid</t>
        </is>
      </c>
      <c r="E223" s="21" t="n">
        <v>252.5</v>
      </c>
      <c r="F223" s="14" t="inlineStr">
        <is>
          <t>2026-01-27</t>
        </is>
      </c>
      <c r="G223" s="8" t="n">
        <v>2625</v>
      </c>
      <c r="H223" s="22" t="n">
        <v>189.8</v>
      </c>
      <c r="I223" s="22" t="n">
        <v>4.1</v>
      </c>
      <c r="J223" s="22" t="n">
        <v>16.4</v>
      </c>
      <c r="K223" s="23" t="n">
        <v>2.75</v>
      </c>
      <c r="L223" s="23" t="n">
        <v>2.7</v>
      </c>
      <c r="M223" s="23" t="n">
        <v>7.15</v>
      </c>
      <c r="N223" s="23" t="n">
        <v>2.6</v>
      </c>
      <c r="O223" s="23" t="n">
        <v>5.45</v>
      </c>
      <c r="P223" s="23" t="n">
        <v>5.4</v>
      </c>
      <c r="Q223" s="8">
        <f>K223*G223</f>
        <v/>
      </c>
      <c r="R223" s="24">
        <f>(M223-K223)*G223</f>
        <v/>
      </c>
      <c r="S223" s="25">
        <f>(M223/K223-1)*100</f>
        <v/>
      </c>
      <c r="T223" s="26">
        <f>(N223-K223)*G223</f>
        <v/>
      </c>
      <c r="U223" s="27">
        <f>(N223/K223-1)*100</f>
        <v/>
      </c>
      <c r="V223" s="11">
        <f>(P223-K223)*G223</f>
        <v/>
      </c>
      <c r="W223" s="11" t="n">
        <v>6450.71</v>
      </c>
      <c r="X223" s="10">
        <f>W223/Q223*100</f>
        <v/>
      </c>
      <c r="Y223" s="12" t="n">
        <v>4.705</v>
      </c>
      <c r="Z223" s="14" t="inlineStr">
        <is>
          <t>2026_H1</t>
        </is>
      </c>
    </row>
    <row r="224">
      <c r="A224" s="14" t="inlineStr">
        <is>
          <t>2026-01-20</t>
        </is>
      </c>
      <c r="B224" s="7" t="inlineStr">
        <is>
          <t>HINDZINC</t>
        </is>
      </c>
      <c r="C224" s="14" t="inlineStr">
        <is>
          <t>PE</t>
        </is>
      </c>
      <c r="D224" s="14" t="inlineStr">
        <is>
          <t>large</t>
        </is>
      </c>
      <c r="E224" s="21" t="n">
        <v>630</v>
      </c>
      <c r="F224" s="14" t="inlineStr">
        <is>
          <t>2026-01-27</t>
        </is>
      </c>
      <c r="G224" s="8" t="n">
        <v>1225</v>
      </c>
      <c r="H224" s="22" t="n">
        <v>46.2</v>
      </c>
      <c r="I224" s="22" t="n">
        <v>47.8</v>
      </c>
      <c r="J224" s="22" t="n">
        <v>27.5</v>
      </c>
      <c r="K224" s="23" t="n">
        <v>4.2</v>
      </c>
      <c r="L224" s="23" t="n">
        <v>4.15</v>
      </c>
      <c r="M224" s="23" t="n">
        <v>6.5</v>
      </c>
      <c r="N224" s="23" t="n">
        <v>1.55</v>
      </c>
      <c r="O224" s="23" t="n">
        <v>2.65</v>
      </c>
      <c r="P224" s="23" t="n">
        <v>2.6</v>
      </c>
      <c r="Q224" s="8">
        <f>K224*G224</f>
        <v/>
      </c>
      <c r="R224" s="24">
        <f>(M224-K224)*G224</f>
        <v/>
      </c>
      <c r="S224" s="25">
        <f>(M224/K224-1)*100</f>
        <v/>
      </c>
      <c r="T224" s="26">
        <f>(N224-K224)*G224</f>
        <v/>
      </c>
      <c r="U224" s="27">
        <f>(N224/K224-1)*100</f>
        <v/>
      </c>
      <c r="V224" s="11">
        <f>(P224-K224)*G224</f>
        <v/>
      </c>
      <c r="W224" s="11" t="n">
        <v>-2098.93</v>
      </c>
      <c r="X224" s="10">
        <f>W224/Q224*100</f>
        <v/>
      </c>
      <c r="Y224" s="12" t="n">
        <v>-1.787</v>
      </c>
      <c r="Z224" s="14" t="inlineStr">
        <is>
          <t>2026_H1</t>
        </is>
      </c>
    </row>
    <row r="225">
      <c r="A225" s="14" t="inlineStr">
        <is>
          <t>2026-01-21</t>
        </is>
      </c>
      <c r="B225" s="7" t="inlineStr">
        <is>
          <t>AUBANK</t>
        </is>
      </c>
      <c r="C225" s="14" t="inlineStr">
        <is>
          <t>PE</t>
        </is>
      </c>
      <c r="D225" s="14" t="inlineStr">
        <is>
          <t>mid</t>
        </is>
      </c>
      <c r="E225" s="21" t="n">
        <v>960</v>
      </c>
      <c r="F225" s="14" t="inlineStr">
        <is>
          <t>2026-01-27</t>
        </is>
      </c>
      <c r="G225" s="8" t="n">
        <v>1000</v>
      </c>
      <c r="H225" s="22" t="n">
        <v>26.3</v>
      </c>
      <c r="I225" s="22" t="n">
        <v>19</v>
      </c>
      <c r="J225" s="22" t="n">
        <v>14.9</v>
      </c>
      <c r="K225" s="23" t="n">
        <v>6.05</v>
      </c>
      <c r="L225" s="23" t="n">
        <v>6</v>
      </c>
      <c r="M225" s="23" t="n">
        <v>10.5</v>
      </c>
      <c r="N225" s="23" t="n">
        <v>1.6</v>
      </c>
      <c r="O225" s="23" t="n">
        <v>3.2</v>
      </c>
      <c r="P225" s="23" t="n">
        <v>3.15</v>
      </c>
      <c r="Q225" s="8">
        <f>K225*G225</f>
        <v/>
      </c>
      <c r="R225" s="24">
        <f>(M225-K225)*G225</f>
        <v/>
      </c>
      <c r="S225" s="25">
        <f>(M225/K225-1)*100</f>
        <v/>
      </c>
      <c r="T225" s="26">
        <f>(N225-K225)*G225</f>
        <v/>
      </c>
      <c r="U225" s="27">
        <f>(N225/K225-1)*100</f>
        <v/>
      </c>
      <c r="V225" s="11">
        <f>(P225-K225)*G225</f>
        <v/>
      </c>
      <c r="W225" s="11" t="n">
        <v>-3139.98</v>
      </c>
      <c r="X225" s="10">
        <f>W225/Q225*100</f>
        <v/>
      </c>
      <c r="Y225" s="12" t="n">
        <v>1.397</v>
      </c>
      <c r="Z225" s="14" t="inlineStr">
        <is>
          <t>2026_H1</t>
        </is>
      </c>
    </row>
    <row r="226">
      <c r="A226" s="14" t="inlineStr">
        <is>
          <t>2026-01-21</t>
        </is>
      </c>
      <c r="B226" s="7" t="inlineStr">
        <is>
          <t>SRF</t>
        </is>
      </c>
      <c r="C226" s="14" t="inlineStr">
        <is>
          <t>PE</t>
        </is>
      </c>
      <c r="D226" s="14" t="inlineStr">
        <is>
          <t>mid</t>
        </is>
      </c>
      <c r="E226" s="21" t="n">
        <v>2760</v>
      </c>
      <c r="F226" s="14" t="inlineStr">
        <is>
          <t>2026-01-27</t>
        </is>
      </c>
      <c r="G226" s="8" t="n">
        <v>200</v>
      </c>
      <c r="H226" s="22" t="n">
        <v>59.6</v>
      </c>
      <c r="I226" s="22" t="n">
        <v>11.5</v>
      </c>
      <c r="J226" s="22" t="n">
        <v>6.3</v>
      </c>
      <c r="K226" s="23" t="n">
        <v>37.3</v>
      </c>
      <c r="L226" s="23" t="n">
        <v>37.25</v>
      </c>
      <c r="M226" s="23" t="n">
        <v>102.65</v>
      </c>
      <c r="N226" s="23" t="n">
        <v>37.25</v>
      </c>
      <c r="O226" s="23" t="n">
        <v>89.65000000000001</v>
      </c>
      <c r="P226" s="23" t="n">
        <v>89.59999999999999</v>
      </c>
      <c r="Q226" s="8">
        <f>K226*G226</f>
        <v/>
      </c>
      <c r="R226" s="24">
        <f>(M226-K226)*G226</f>
        <v/>
      </c>
      <c r="S226" s="25">
        <f>(M226/K226-1)*100</f>
        <v/>
      </c>
      <c r="T226" s="26">
        <f>(N226-K226)*G226</f>
        <v/>
      </c>
      <c r="U226" s="27">
        <f>(N226/K226-1)*100</f>
        <v/>
      </c>
      <c r="V226" s="11">
        <f>(P226-K226)*G226</f>
        <v/>
      </c>
      <c r="W226" s="11" t="n">
        <v>9867.42</v>
      </c>
      <c r="X226" s="10">
        <f>W226/Q226*100</f>
        <v/>
      </c>
      <c r="Y226" s="12" t="n">
        <v>4.485</v>
      </c>
      <c r="Z226" s="14" t="inlineStr">
        <is>
          <t>2026_H1</t>
        </is>
      </c>
    </row>
    <row r="227">
      <c r="A227" s="14" t="inlineStr">
        <is>
          <t>2026-01-22</t>
        </is>
      </c>
      <c r="B227" s="7" t="inlineStr">
        <is>
          <t>DRREDDY</t>
        </is>
      </c>
      <c r="C227" s="14" t="inlineStr">
        <is>
          <t>CE</t>
        </is>
      </c>
      <c r="D227" s="14" t="inlineStr">
        <is>
          <t>large</t>
        </is>
      </c>
      <c r="E227" s="21" t="n">
        <v>1220</v>
      </c>
      <c r="F227" s="14" t="inlineStr">
        <is>
          <t>2026-01-27</t>
        </is>
      </c>
      <c r="G227" s="8" t="n">
        <v>625</v>
      </c>
      <c r="H227" s="22" t="n">
        <v>-15.3</v>
      </c>
      <c r="I227" s="22" t="n">
        <v>-11</v>
      </c>
      <c r="J227" s="22" t="n">
        <v>4.4</v>
      </c>
      <c r="K227" s="23" t="n">
        <v>10.05</v>
      </c>
      <c r="L227" s="23" t="n">
        <v>10</v>
      </c>
      <c r="M227" s="23" t="n">
        <v>21.5</v>
      </c>
      <c r="N227" s="23" t="n">
        <v>8.25</v>
      </c>
      <c r="O227" s="23" t="n">
        <v>14.3</v>
      </c>
      <c r="P227" s="23" t="n">
        <v>14.25</v>
      </c>
      <c r="Q227" s="8">
        <f>K227*G227</f>
        <v/>
      </c>
      <c r="R227" s="24">
        <f>(M227-K227)*G227</f>
        <v/>
      </c>
      <c r="S227" s="25">
        <f>(M227/K227-1)*100</f>
        <v/>
      </c>
      <c r="T227" s="26">
        <f>(N227-K227)*G227</f>
        <v/>
      </c>
      <c r="U227" s="27">
        <f>(N227/K227-1)*100</f>
        <v/>
      </c>
      <c r="V227" s="11">
        <f>(P227-K227)*G227</f>
        <v/>
      </c>
      <c r="W227" s="11" t="n">
        <v>2405.99</v>
      </c>
      <c r="X227" s="10">
        <f>W227/Q227*100</f>
        <v/>
      </c>
      <c r="Y227" s="12" t="n">
        <v>1.883</v>
      </c>
      <c r="Z227" s="14" t="inlineStr">
        <is>
          <t>2026_H1</t>
        </is>
      </c>
    </row>
    <row r="228">
      <c r="A228" s="14" t="inlineStr">
        <is>
          <t>2026-01-22</t>
        </is>
      </c>
      <c r="B228" s="7" t="inlineStr">
        <is>
          <t>HINDPETRO</t>
        </is>
      </c>
      <c r="C228" s="14" t="inlineStr">
        <is>
          <t>PE</t>
        </is>
      </c>
      <c r="D228" s="14" t="inlineStr">
        <is>
          <t>mid</t>
        </is>
      </c>
      <c r="E228" s="21" t="n">
        <v>415</v>
      </c>
      <c r="F228" s="14" t="inlineStr">
        <is>
          <t>2026-01-27</t>
        </is>
      </c>
      <c r="G228" s="8" t="n">
        <v>2025</v>
      </c>
      <c r="H228" s="22" t="n">
        <v>57.7</v>
      </c>
      <c r="I228" s="22" t="n">
        <v>3.9</v>
      </c>
      <c r="J228" s="22" t="n">
        <v>4.7</v>
      </c>
      <c r="K228" s="23" t="n">
        <v>2.05</v>
      </c>
      <c r="L228" s="23" t="n">
        <v>2</v>
      </c>
      <c r="M228" s="23" t="n">
        <v>4.05</v>
      </c>
      <c r="N228" s="23" t="n">
        <v>0.85</v>
      </c>
      <c r="O228" s="23" t="n">
        <v>1.1</v>
      </c>
      <c r="P228" s="23" t="n">
        <v>1.05</v>
      </c>
      <c r="Q228" s="8">
        <f>K228*G228</f>
        <v/>
      </c>
      <c r="R228" s="24">
        <f>(M228-K228)*G228</f>
        <v/>
      </c>
      <c r="S228" s="25">
        <f>(M228/K228-1)*100</f>
        <v/>
      </c>
      <c r="T228" s="26">
        <f>(N228-K228)*G228</f>
        <v/>
      </c>
      <c r="U228" s="27">
        <f>(N228/K228-1)*100</f>
        <v/>
      </c>
      <c r="V228" s="11">
        <f>(P228-K228)*G228</f>
        <v/>
      </c>
      <c r="W228" s="11" t="n">
        <v>-2203.7</v>
      </c>
      <c r="X228" s="10">
        <f>W228/Q228*100</f>
        <v/>
      </c>
      <c r="Y228" s="12" t="n">
        <v>0.465</v>
      </c>
      <c r="Z228" s="14" t="inlineStr">
        <is>
          <t>2026_H1</t>
        </is>
      </c>
    </row>
    <row r="229">
      <c r="A229" s="14" t="inlineStr">
        <is>
          <t>2026-01-22</t>
        </is>
      </c>
      <c r="B229" s="7" t="inlineStr">
        <is>
          <t>OFSS</t>
        </is>
      </c>
      <c r="C229" s="14" t="inlineStr">
        <is>
          <t>PE</t>
        </is>
      </c>
      <c r="D229" s="14" t="inlineStr">
        <is>
          <t>mid</t>
        </is>
      </c>
      <c r="E229" s="21" t="n">
        <v>7700</v>
      </c>
      <c r="F229" s="14" t="inlineStr">
        <is>
          <t>2026-01-27</t>
        </is>
      </c>
      <c r="G229" s="8" t="n">
        <v>75</v>
      </c>
      <c r="H229" s="22" t="n">
        <v>12.6</v>
      </c>
      <c r="I229" s="22" t="n">
        <v>11.6</v>
      </c>
      <c r="J229" s="22" t="n">
        <v>14.6</v>
      </c>
      <c r="K229" s="23" t="n">
        <v>73.55</v>
      </c>
      <c r="L229" s="23" t="n">
        <v>73.5</v>
      </c>
      <c r="M229" s="23" t="n">
        <v>103.3</v>
      </c>
      <c r="N229" s="23" t="n">
        <v>28.35</v>
      </c>
      <c r="O229" s="23" t="n">
        <v>36.9</v>
      </c>
      <c r="P229" s="23" t="n">
        <v>36.85</v>
      </c>
      <c r="Q229" s="8">
        <f>K229*G229</f>
        <v/>
      </c>
      <c r="R229" s="24">
        <f>(M229-K229)*G229</f>
        <v/>
      </c>
      <c r="S229" s="25">
        <f>(M229/K229-1)*100</f>
        <v/>
      </c>
      <c r="T229" s="26">
        <f>(N229-K229)*G229</f>
        <v/>
      </c>
      <c r="U229" s="27">
        <f>(N229/K229-1)*100</f>
        <v/>
      </c>
      <c r="V229" s="11">
        <f>(P229-K229)*G229</f>
        <v/>
      </c>
      <c r="W229" s="11" t="n">
        <v>-2973.1</v>
      </c>
      <c r="X229" s="10">
        <f>W229/Q229*100</f>
        <v/>
      </c>
      <c r="Y229" s="12" t="n">
        <v>-0.663</v>
      </c>
      <c r="Z229" s="14" t="inlineStr">
        <is>
          <t>2026_H1</t>
        </is>
      </c>
    </row>
    <row r="230">
      <c r="A230" s="14" t="inlineStr">
        <is>
          <t>2026-01-22</t>
        </is>
      </c>
      <c r="B230" s="7" t="inlineStr">
        <is>
          <t>WAAREEENER</t>
        </is>
      </c>
      <c r="C230" s="14" t="inlineStr">
        <is>
          <t>PE</t>
        </is>
      </c>
      <c r="D230" s="14" t="inlineStr">
        <is>
          <t>mid</t>
        </is>
      </c>
      <c r="E230" s="21" t="n">
        <v>2400</v>
      </c>
      <c r="F230" s="14" t="inlineStr">
        <is>
          <t>2026-01-27</t>
        </is>
      </c>
      <c r="G230" s="8" t="n">
        <v>175</v>
      </c>
      <c r="H230" s="22" t="n">
        <v>118.4</v>
      </c>
      <c r="I230" s="22" t="n">
        <v>26</v>
      </c>
      <c r="J230" s="22" t="n">
        <v>118.8</v>
      </c>
      <c r="K230" s="23" t="n">
        <v>20.05</v>
      </c>
      <c r="L230" s="23" t="n">
        <v>20</v>
      </c>
      <c r="M230" s="23" t="n">
        <v>20</v>
      </c>
      <c r="N230" s="23" t="n">
        <v>3.1</v>
      </c>
      <c r="O230" s="23" t="n">
        <v>4.05</v>
      </c>
      <c r="P230" s="23" t="n">
        <v>4</v>
      </c>
      <c r="Q230" s="8">
        <f>K230*G230</f>
        <v/>
      </c>
      <c r="R230" s="24">
        <f>(M230-K230)*G230</f>
        <v/>
      </c>
      <c r="S230" s="25">
        <f>(M230/K230-1)*100</f>
        <v/>
      </c>
      <c r="T230" s="26">
        <f>(N230-K230)*G230</f>
        <v/>
      </c>
      <c r="U230" s="27">
        <f>(N230/K230-1)*100</f>
        <v/>
      </c>
      <c r="V230" s="11">
        <f>(P230-K230)*G230</f>
        <v/>
      </c>
      <c r="W230" s="11" t="n">
        <v>-2943.06</v>
      </c>
      <c r="X230" s="10">
        <f>W230/Q230*100</f>
        <v/>
      </c>
      <c r="Y230" s="12" t="n">
        <v>-2.99</v>
      </c>
      <c r="Z230" s="14" t="inlineStr">
        <is>
          <t>2026_H1</t>
        </is>
      </c>
    </row>
    <row r="231">
      <c r="A231" s="14" t="inlineStr">
        <is>
          <t>2026-01-23</t>
        </is>
      </c>
      <c r="B231" s="7" t="inlineStr">
        <is>
          <t>APLAPOLLO</t>
        </is>
      </c>
      <c r="C231" s="14" t="inlineStr">
        <is>
          <t>PE</t>
        </is>
      </c>
      <c r="D231" s="14" t="inlineStr">
        <is>
          <t>mid</t>
        </is>
      </c>
      <c r="E231" s="21" t="n">
        <v>1920</v>
      </c>
      <c r="F231" s="14" t="inlineStr">
        <is>
          <t>2026-02-24</t>
        </is>
      </c>
      <c r="G231" s="8" t="n">
        <v>350</v>
      </c>
      <c r="H231" s="22" t="n">
        <v>42.9</v>
      </c>
      <c r="I231" s="22" t="n">
        <v>2.8</v>
      </c>
      <c r="J231" s="22" t="n">
        <v>7</v>
      </c>
      <c r="K231" s="23" t="n">
        <v>19.15</v>
      </c>
      <c r="L231" s="23" t="n">
        <v>19.1</v>
      </c>
      <c r="M231" s="23" t="n">
        <v>32</v>
      </c>
      <c r="N231" s="23" t="n">
        <v>19.05</v>
      </c>
      <c r="O231" s="23" t="n">
        <v>31.15</v>
      </c>
      <c r="P231" s="23" t="n">
        <v>31.1</v>
      </c>
      <c r="Q231" s="8">
        <f>K231*G231</f>
        <v/>
      </c>
      <c r="R231" s="24">
        <f>(M231-K231)*G231</f>
        <v/>
      </c>
      <c r="S231" s="25">
        <f>(M231/K231-1)*100</f>
        <v/>
      </c>
      <c r="T231" s="26">
        <f>(N231-K231)*G231</f>
        <v/>
      </c>
      <c r="U231" s="27">
        <f>(N231/K231-1)*100</f>
        <v/>
      </c>
      <c r="V231" s="11">
        <f>(P231-K231)*G231</f>
        <v/>
      </c>
      <c r="W231" s="11" t="n">
        <v>3759.62</v>
      </c>
      <c r="X231" s="10">
        <f>W231/Q231*100</f>
        <v/>
      </c>
      <c r="Y231" s="12" t="n">
        <v>-0.005</v>
      </c>
      <c r="Z231" s="14" t="inlineStr">
        <is>
          <t>2026_H1</t>
        </is>
      </c>
    </row>
    <row r="232">
      <c r="A232" s="14" t="inlineStr">
        <is>
          <t>2026-01-23</t>
        </is>
      </c>
      <c r="B232" s="7" t="inlineStr">
        <is>
          <t>DLF</t>
        </is>
      </c>
      <c r="C232" s="14" t="inlineStr">
        <is>
          <t>PE</t>
        </is>
      </c>
      <c r="D232" s="14" t="inlineStr">
        <is>
          <t>large</t>
        </is>
      </c>
      <c r="E232" s="21" t="n">
        <v>570</v>
      </c>
      <c r="F232" s="14" t="inlineStr">
        <is>
          <t>2026-02-24</t>
        </is>
      </c>
      <c r="G232" s="8" t="n">
        <v>825</v>
      </c>
      <c r="H232" s="22" t="n">
        <v>13.7</v>
      </c>
      <c r="I232" s="22" t="n">
        <v>2</v>
      </c>
      <c r="J232" s="22" t="n">
        <v>32.2</v>
      </c>
      <c r="K232" s="23" t="n">
        <v>7.35</v>
      </c>
      <c r="L232" s="23" t="n">
        <v>7.3</v>
      </c>
      <c r="M232" s="23" t="n">
        <v>17</v>
      </c>
      <c r="N232" s="23" t="n">
        <v>7.2</v>
      </c>
      <c r="O232" s="23" t="n">
        <v>16.55</v>
      </c>
      <c r="P232" s="23" t="n">
        <v>16.5</v>
      </c>
      <c r="Q232" s="8">
        <f>K232*G232</f>
        <v/>
      </c>
      <c r="R232" s="24">
        <f>(M232-K232)*G232</f>
        <v/>
      </c>
      <c r="S232" s="25">
        <f>(M232/K232-1)*100</f>
        <v/>
      </c>
      <c r="T232" s="26">
        <f>(N232-K232)*G232</f>
        <v/>
      </c>
      <c r="U232" s="27">
        <f>(N232/K232-1)*100</f>
        <v/>
      </c>
      <c r="V232" s="11">
        <f>(P232-K232)*G232</f>
        <v/>
      </c>
      <c r="W232" s="11" t="n">
        <v>7275.92</v>
      </c>
      <c r="X232" s="10">
        <f>W232/Q232*100</f>
        <v/>
      </c>
      <c r="Y232" s="12" t="n">
        <v>5.089</v>
      </c>
      <c r="Z232" s="14" t="inlineStr">
        <is>
          <t>2026_H1</t>
        </is>
      </c>
    </row>
    <row r="233">
      <c r="A233" s="14" t="inlineStr">
        <is>
          <t>2026-01-23</t>
        </is>
      </c>
      <c r="B233" s="7" t="inlineStr">
        <is>
          <t>PREMIERENE</t>
        </is>
      </c>
      <c r="C233" s="14" t="inlineStr">
        <is>
          <t>PE</t>
        </is>
      </c>
      <c r="D233" s="14" t="inlineStr">
        <is>
          <t>mid</t>
        </is>
      </c>
      <c r="E233" s="21" t="n">
        <v>600</v>
      </c>
      <c r="F233" s="14" t="inlineStr">
        <is>
          <t>2026-02-24</t>
        </is>
      </c>
      <c r="G233" s="8" t="n">
        <v>575</v>
      </c>
      <c r="H233" s="22" t="n">
        <v>53.4</v>
      </c>
      <c r="I233" s="22" t="n">
        <v>10.8</v>
      </c>
      <c r="J233" s="22" t="n">
        <v>13</v>
      </c>
      <c r="K233" s="23" t="n">
        <v>5.6</v>
      </c>
      <c r="L233" s="23" t="n">
        <v>5.55</v>
      </c>
      <c r="M233" s="23" t="n">
        <v>15.95</v>
      </c>
      <c r="N233" s="23" t="n">
        <v>5.5</v>
      </c>
      <c r="O233" s="23" t="n">
        <v>14.9</v>
      </c>
      <c r="P233" s="23" t="n">
        <v>14.85</v>
      </c>
      <c r="Q233" s="8">
        <f>K233*G233</f>
        <v/>
      </c>
      <c r="R233" s="24">
        <f>(M233-K233)*G233</f>
        <v/>
      </c>
      <c r="S233" s="25">
        <f>(M233/K233-1)*100</f>
        <v/>
      </c>
      <c r="T233" s="26">
        <f>(N233-K233)*G233</f>
        <v/>
      </c>
      <c r="U233" s="27">
        <f>(N233/K233-1)*100</f>
        <v/>
      </c>
      <c r="V233" s="11">
        <f>(P233-K233)*G233</f>
        <v/>
      </c>
      <c r="W233" s="11" t="n">
        <v>5018.52</v>
      </c>
      <c r="X233" s="10">
        <f>W233/Q233*100</f>
        <v/>
      </c>
      <c r="Y233" s="12" t="n">
        <v>5.779</v>
      </c>
      <c r="Z233" s="14" t="inlineStr">
        <is>
          <t>2026_H1</t>
        </is>
      </c>
    </row>
    <row r="234">
      <c r="A234" s="14" t="inlineStr">
        <is>
          <t>2026-01-27</t>
        </is>
      </c>
      <c r="B234" s="7" t="inlineStr">
        <is>
          <t>BPCL</t>
        </is>
      </c>
      <c r="C234" s="14" t="inlineStr">
        <is>
          <t>PE</t>
        </is>
      </c>
      <c r="D234" s="14" t="inlineStr">
        <is>
          <t>large</t>
        </is>
      </c>
      <c r="E234" s="21" t="n">
        <v>335</v>
      </c>
      <c r="F234" s="14" t="inlineStr">
        <is>
          <t>2026-02-24</t>
        </is>
      </c>
      <c r="G234" s="8" t="n">
        <v>1975</v>
      </c>
      <c r="H234" s="22" t="n">
        <v>88.90000000000001</v>
      </c>
      <c r="I234" s="22" t="n">
        <v>16.1</v>
      </c>
      <c r="J234" s="22" t="n">
        <v>7.1</v>
      </c>
      <c r="K234" s="23" t="n">
        <v>3.95</v>
      </c>
      <c r="L234" s="23" t="n">
        <v>3.9</v>
      </c>
      <c r="M234" s="23" t="n">
        <v>9.449999999999999</v>
      </c>
      <c r="N234" s="23" t="n">
        <v>3.75</v>
      </c>
      <c r="O234" s="23" t="n">
        <v>4.15</v>
      </c>
      <c r="P234" s="23" t="n">
        <v>4.1</v>
      </c>
      <c r="Q234" s="8">
        <f>K234*G234</f>
        <v/>
      </c>
      <c r="R234" s="24">
        <f>(M234-K234)*G234</f>
        <v/>
      </c>
      <c r="S234" s="25">
        <f>(M234/K234-1)*100</f>
        <v/>
      </c>
      <c r="T234" s="26">
        <f>(N234-K234)*G234</f>
        <v/>
      </c>
      <c r="U234" s="27">
        <f>(N234/K234-1)*100</f>
        <v/>
      </c>
      <c r="V234" s="11">
        <f>(P234-K234)*G234</f>
        <v/>
      </c>
      <c r="W234" s="11" t="n">
        <v>70.98999999999999</v>
      </c>
      <c r="X234" s="10">
        <f>W234/Q234*100</f>
        <v/>
      </c>
      <c r="Y234" s="12" t="n">
        <v>0.168</v>
      </c>
      <c r="Z234" s="14" t="inlineStr">
        <is>
          <t>2026_H1</t>
        </is>
      </c>
    </row>
    <row r="235">
      <c r="A235" s="14" t="inlineStr">
        <is>
          <t>2026-01-27</t>
        </is>
      </c>
      <c r="B235" s="7" t="inlineStr">
        <is>
          <t>CIPLA</t>
        </is>
      </c>
      <c r="C235" s="14" t="inlineStr">
        <is>
          <t>CE</t>
        </is>
      </c>
      <c r="D235" s="14" t="inlineStr">
        <is>
          <t>large</t>
        </is>
      </c>
      <c r="E235" s="21" t="n">
        <v>1360</v>
      </c>
      <c r="F235" s="14" t="inlineStr">
        <is>
          <t>2026-02-24</t>
        </is>
      </c>
      <c r="G235" s="8" t="n">
        <v>375</v>
      </c>
      <c r="H235" s="22" t="n">
        <v>-57.2</v>
      </c>
      <c r="I235" s="22" t="n">
        <v>-50.2</v>
      </c>
      <c r="J235" s="22" t="n">
        <v>0</v>
      </c>
      <c r="K235" s="23" t="n">
        <v>17.45</v>
      </c>
      <c r="L235" s="23" t="n">
        <v>17.4</v>
      </c>
      <c r="M235" s="23" t="n">
        <v>21.4</v>
      </c>
      <c r="N235" s="23" t="n">
        <v>14</v>
      </c>
      <c r="O235" s="23" t="n">
        <v>17.35</v>
      </c>
      <c r="P235" s="23" t="n">
        <v>17.3</v>
      </c>
      <c r="Q235" s="8">
        <f>K235*G235</f>
        <v/>
      </c>
      <c r="R235" s="24">
        <f>(M235-K235)*G235</f>
        <v/>
      </c>
      <c r="S235" s="25">
        <f>(M235/K235-1)*100</f>
        <v/>
      </c>
      <c r="T235" s="26">
        <f>(N235-K235)*G235</f>
        <v/>
      </c>
      <c r="U235" s="27">
        <f>(N235/K235-1)*100</f>
        <v/>
      </c>
      <c r="V235" s="11">
        <f>(P235-K235)*G235</f>
        <v/>
      </c>
      <c r="W235" s="11" t="n">
        <v>-249.18</v>
      </c>
      <c r="X235" s="10">
        <f>W235/Q235*100</f>
        <v/>
      </c>
      <c r="Y235" s="12" t="n">
        <v>1</v>
      </c>
      <c r="Z235" s="14" t="inlineStr">
        <is>
          <t>2026_H1</t>
        </is>
      </c>
    </row>
    <row r="236">
      <c r="A236" s="14" t="inlineStr">
        <is>
          <t>2026-01-27</t>
        </is>
      </c>
      <c r="B236" s="7" t="inlineStr">
        <is>
          <t>JSWSTEEL</t>
        </is>
      </c>
      <c r="C236" s="14" t="inlineStr">
        <is>
          <t>PE</t>
        </is>
      </c>
      <c r="D236" s="14" t="inlineStr">
        <is>
          <t>large</t>
        </is>
      </c>
      <c r="E236" s="21" t="n">
        <v>1120</v>
      </c>
      <c r="F236" s="14" t="inlineStr">
        <is>
          <t>2026-02-24</t>
        </is>
      </c>
      <c r="G236" s="8" t="n">
        <v>675</v>
      </c>
      <c r="H236" s="22" t="n">
        <v>235.2</v>
      </c>
      <c r="I236" s="22" t="n">
        <v>46.4</v>
      </c>
      <c r="J236" s="22" t="n">
        <v>11.1</v>
      </c>
      <c r="K236" s="23" t="n">
        <v>8.4</v>
      </c>
      <c r="L236" s="23" t="n">
        <v>8.35</v>
      </c>
      <c r="M236" s="23" t="n">
        <v>12.5</v>
      </c>
      <c r="N236" s="23" t="n">
        <v>6.3</v>
      </c>
      <c r="O236" s="23" t="n">
        <v>7.25</v>
      </c>
      <c r="P236" s="23" t="n">
        <v>7.2</v>
      </c>
      <c r="Q236" s="8">
        <f>K236*G236</f>
        <v/>
      </c>
      <c r="R236" s="24">
        <f>(M236-K236)*G236</f>
        <v/>
      </c>
      <c r="S236" s="25">
        <f>(M236/K236-1)*100</f>
        <v/>
      </c>
      <c r="T236" s="26">
        <f>(N236-K236)*G236</f>
        <v/>
      </c>
      <c r="U236" s="27">
        <f>(N236/K236-1)*100</f>
        <v/>
      </c>
      <c r="V236" s="11">
        <f>(P236-K236)*G236</f>
        <v/>
      </c>
      <c r="W236" s="11" t="n">
        <v>-974.38</v>
      </c>
      <c r="X236" s="10">
        <f>W236/Q236*100</f>
        <v/>
      </c>
      <c r="Y236" s="12" t="n">
        <v>-2.089</v>
      </c>
      <c r="Z236" s="14" t="inlineStr">
        <is>
          <t>2026_H1</t>
        </is>
      </c>
    </row>
    <row r="237">
      <c r="A237" s="14" t="inlineStr">
        <is>
          <t>2026-01-27</t>
        </is>
      </c>
      <c r="B237" s="7" t="inlineStr">
        <is>
          <t>ULTRACEMCO</t>
        </is>
      </c>
      <c r="C237" s="14" t="inlineStr">
        <is>
          <t>PE</t>
        </is>
      </c>
      <c r="D237" s="14" t="inlineStr">
        <is>
          <t>large</t>
        </is>
      </c>
      <c r="E237" s="21" t="n">
        <v>12200</v>
      </c>
      <c r="F237" s="14" t="inlineStr">
        <is>
          <t>2026-02-24</t>
        </is>
      </c>
      <c r="G237" s="8" t="n">
        <v>50</v>
      </c>
      <c r="H237" s="22" t="n">
        <v>17.4</v>
      </c>
      <c r="I237" s="22" t="n">
        <v>39.7</v>
      </c>
      <c r="J237" s="22" t="n">
        <v>27</v>
      </c>
      <c r="K237" s="23" t="n">
        <v>154.9</v>
      </c>
      <c r="L237" s="23" t="n">
        <v>154.85</v>
      </c>
      <c r="M237" s="23" t="n">
        <v>197.2</v>
      </c>
      <c r="N237" s="23" t="n">
        <v>125.25</v>
      </c>
      <c r="O237" s="23" t="n">
        <v>161.15</v>
      </c>
      <c r="P237" s="23" t="n">
        <v>161.1</v>
      </c>
      <c r="Q237" s="8">
        <f>K237*G237</f>
        <v/>
      </c>
      <c r="R237" s="24">
        <f>(M237-K237)*G237</f>
        <v/>
      </c>
      <c r="S237" s="25">
        <f>(M237/K237-1)*100</f>
        <v/>
      </c>
      <c r="T237" s="26">
        <f>(N237-K237)*G237</f>
        <v/>
      </c>
      <c r="U237" s="27">
        <f>(N237/K237-1)*100</f>
        <v/>
      </c>
      <c r="V237" s="11">
        <f>(P237-K237)*G237</f>
        <v/>
      </c>
      <c r="W237" s="11" t="n">
        <v>85.84</v>
      </c>
      <c r="X237" s="10">
        <f>W237/Q237*100</f>
        <v/>
      </c>
      <c r="Y237" s="12" t="n">
        <v>-0.359</v>
      </c>
      <c r="Z237" s="14" t="inlineStr">
        <is>
          <t>2026_H1</t>
        </is>
      </c>
    </row>
    <row r="238">
      <c r="A238" s="14" t="inlineStr">
        <is>
          <t>2026-01-29</t>
        </is>
      </c>
      <c r="B238" s="7" t="inlineStr">
        <is>
          <t>BEL</t>
        </is>
      </c>
      <c r="C238" s="14" t="inlineStr">
        <is>
          <t>PE</t>
        </is>
      </c>
      <c r="D238" s="14" t="inlineStr">
        <is>
          <t>large</t>
        </is>
      </c>
      <c r="E238" s="21" t="n">
        <v>420</v>
      </c>
      <c r="F238" s="14" t="inlineStr">
        <is>
          <t>2026-02-24</t>
        </is>
      </c>
      <c r="G238" s="8" t="n">
        <v>1425</v>
      </c>
      <c r="H238" s="22" t="n">
        <v>20.4</v>
      </c>
      <c r="I238" s="22" t="n">
        <v>22.7</v>
      </c>
      <c r="J238" s="22" t="n">
        <v>24</v>
      </c>
      <c r="K238" s="23" t="n">
        <v>5.4</v>
      </c>
      <c r="L238" s="23" t="n">
        <v>5.35</v>
      </c>
      <c r="M238" s="23" t="n">
        <v>8.050000000000001</v>
      </c>
      <c r="N238" s="23" t="n">
        <v>4.5</v>
      </c>
      <c r="O238" s="23" t="n">
        <v>6.5</v>
      </c>
      <c r="P238" s="23" t="n">
        <v>6.45</v>
      </c>
      <c r="Q238" s="8">
        <f>K238*G238</f>
        <v/>
      </c>
      <c r="R238" s="24">
        <f>(M238-K238)*G238</f>
        <v/>
      </c>
      <c r="S238" s="25">
        <f>(M238/K238-1)*100</f>
        <v/>
      </c>
      <c r="T238" s="26">
        <f>(N238-K238)*G238</f>
        <v/>
      </c>
      <c r="U238" s="27">
        <f>(N238/K238-1)*100</f>
        <v/>
      </c>
      <c r="V238" s="11">
        <f>(P238-K238)*G238</f>
        <v/>
      </c>
      <c r="W238" s="11" t="n">
        <v>1259.07</v>
      </c>
      <c r="X238" s="10">
        <f>W238/Q238*100</f>
        <v/>
      </c>
      <c r="Y238" s="12" t="n">
        <v>2.146</v>
      </c>
      <c r="Z238" s="14" t="inlineStr">
        <is>
          <t>2026_H1</t>
        </is>
      </c>
    </row>
    <row r="239">
      <c r="A239" s="14" t="inlineStr">
        <is>
          <t>2026-01-29</t>
        </is>
      </c>
      <c r="B239" s="7" t="inlineStr">
        <is>
          <t>SBICARD</t>
        </is>
      </c>
      <c r="C239" s="14" t="inlineStr">
        <is>
          <t>PE</t>
        </is>
      </c>
      <c r="D239" s="14" t="inlineStr">
        <is>
          <t>mid</t>
        </is>
      </c>
      <c r="E239" s="21" t="n">
        <v>720</v>
      </c>
      <c r="F239" s="14" t="inlineStr">
        <is>
          <t>2026-02-24</t>
        </is>
      </c>
      <c r="G239" s="8" t="n">
        <v>800</v>
      </c>
      <c r="H239" s="22" t="n">
        <v>45.2</v>
      </c>
      <c r="I239" s="22" t="n">
        <v>25.2</v>
      </c>
      <c r="J239" s="22" t="n">
        <v>11</v>
      </c>
      <c r="K239" s="23" t="n">
        <v>8.15</v>
      </c>
      <c r="L239" s="23" t="n">
        <v>8.1</v>
      </c>
      <c r="M239" s="23" t="n">
        <v>12.9</v>
      </c>
      <c r="N239" s="23" t="n">
        <v>6.15</v>
      </c>
      <c r="O239" s="23" t="n">
        <v>7.55</v>
      </c>
      <c r="P239" s="23" t="n">
        <v>7.5</v>
      </c>
      <c r="Q239" s="8">
        <f>K239*G239</f>
        <v/>
      </c>
      <c r="R239" s="24">
        <f>(M239-K239)*G239</f>
        <v/>
      </c>
      <c r="S239" s="25">
        <f>(M239/K239-1)*100</f>
        <v/>
      </c>
      <c r="T239" s="26">
        <f>(N239-K239)*G239</f>
        <v/>
      </c>
      <c r="U239" s="27">
        <f>(N239/K239-1)*100</f>
        <v/>
      </c>
      <c r="V239" s="11">
        <f>(P239-K239)*G239</f>
        <v/>
      </c>
      <c r="W239" s="11" t="n">
        <v>-832.0700000000001</v>
      </c>
      <c r="X239" s="10">
        <f>W239/Q239*100</f>
        <v/>
      </c>
      <c r="Y239" s="12" t="n">
        <v>1.359</v>
      </c>
      <c r="Z239" s="14" t="inlineStr">
        <is>
          <t>2026_H1</t>
        </is>
      </c>
    </row>
    <row r="240">
      <c r="A240" s="14" t="inlineStr">
        <is>
          <t>2026-01-29</t>
        </is>
      </c>
      <c r="B240" s="7" t="inlineStr">
        <is>
          <t>TVSMOTOR</t>
        </is>
      </c>
      <c r="C240" s="14" t="inlineStr">
        <is>
          <t>PE</t>
        </is>
      </c>
      <c r="D240" s="14" t="inlineStr">
        <is>
          <t>large</t>
        </is>
      </c>
      <c r="E240" s="21" t="n">
        <v>3560</v>
      </c>
      <c r="F240" s="14" t="inlineStr">
        <is>
          <t>2026-02-24</t>
        </is>
      </c>
      <c r="G240" s="8" t="n">
        <v>175</v>
      </c>
      <c r="H240" s="22" t="n">
        <v>46.3</v>
      </c>
      <c r="I240" s="22" t="n">
        <v>7</v>
      </c>
      <c r="J240" s="22" t="n">
        <v>32.5</v>
      </c>
      <c r="K240" s="23" t="n">
        <v>38.6</v>
      </c>
      <c r="L240" s="23" t="n">
        <v>38.55</v>
      </c>
      <c r="M240" s="23" t="n">
        <v>76.84999999999999</v>
      </c>
      <c r="N240" s="23" t="n">
        <v>34.95</v>
      </c>
      <c r="O240" s="23" t="n">
        <v>56.95</v>
      </c>
      <c r="P240" s="23" t="n">
        <v>56.9</v>
      </c>
      <c r="Q240" s="8">
        <f>K240*G240</f>
        <v/>
      </c>
      <c r="R240" s="24">
        <f>(M240-K240)*G240</f>
        <v/>
      </c>
      <c r="S240" s="25">
        <f>(M240/K240-1)*100</f>
        <v/>
      </c>
      <c r="T240" s="26">
        <f>(N240-K240)*G240</f>
        <v/>
      </c>
      <c r="U240" s="27">
        <f>(N240/K240-1)*100</f>
        <v/>
      </c>
      <c r="V240" s="11">
        <f>(P240-K240)*G240</f>
        <v/>
      </c>
      <c r="W240" s="11" t="n">
        <v>2966</v>
      </c>
      <c r="X240" s="10">
        <f>W240/Q240*100</f>
        <v/>
      </c>
      <c r="Y240" s="12" t="n">
        <v>1.665</v>
      </c>
      <c r="Z240" s="14" t="inlineStr">
        <is>
          <t>2026_H1</t>
        </is>
      </c>
    </row>
    <row r="241">
      <c r="A241" s="14" t="inlineStr">
        <is>
          <t>2026-01-30</t>
        </is>
      </c>
      <c r="B241" s="7" t="inlineStr">
        <is>
          <t>BLUESTARCO</t>
        </is>
      </c>
      <c r="C241" s="14" t="inlineStr">
        <is>
          <t>CE</t>
        </is>
      </c>
      <c r="D241" s="14" t="inlineStr">
        <is>
          <t>mid</t>
        </is>
      </c>
      <c r="E241" s="21" t="n">
        <v>1860</v>
      </c>
      <c r="F241" s="14" t="inlineStr">
        <is>
          <t>2026-02-24</t>
        </is>
      </c>
      <c r="G241" s="8" t="n">
        <v>325</v>
      </c>
      <c r="H241" s="22" t="n">
        <v>-39.2</v>
      </c>
      <c r="I241" s="22" t="n">
        <v>-18.5</v>
      </c>
      <c r="J241" s="22" t="n">
        <v>4.2</v>
      </c>
      <c r="K241" s="23" t="n">
        <v>22.55</v>
      </c>
      <c r="L241" s="23" t="n">
        <v>22.5</v>
      </c>
      <c r="M241" s="23" t="n">
        <v>58.45</v>
      </c>
      <c r="N241" s="23" t="n">
        <v>22.5</v>
      </c>
      <c r="O241" s="23" t="n">
        <v>48.9</v>
      </c>
      <c r="P241" s="23" t="n">
        <v>48.85</v>
      </c>
      <c r="Q241" s="8">
        <f>K241*G241</f>
        <v/>
      </c>
      <c r="R241" s="24">
        <f>(M241-K241)*G241</f>
        <v/>
      </c>
      <c r="S241" s="25">
        <f>(M241/K241-1)*100</f>
        <v/>
      </c>
      <c r="T241" s="26">
        <f>(N241-K241)*G241</f>
        <v/>
      </c>
      <c r="U241" s="27">
        <f>(N241/K241-1)*100</f>
        <v/>
      </c>
      <c r="V241" s="11">
        <f>(P241-K241)*G241</f>
        <v/>
      </c>
      <c r="W241" s="11" t="n">
        <v>8002.41</v>
      </c>
      <c r="X241" s="10">
        <f>W241/Q241*100</f>
        <v/>
      </c>
      <c r="Y241" s="12" t="n">
        <v>6.876</v>
      </c>
      <c r="Z241" s="14" t="inlineStr">
        <is>
          <t>2026_H1</t>
        </is>
      </c>
    </row>
    <row r="242">
      <c r="A242" s="14" t="inlineStr">
        <is>
          <t>2026-01-30</t>
        </is>
      </c>
      <c r="B242" s="7" t="inlineStr">
        <is>
          <t>KPITTECH</t>
        </is>
      </c>
      <c r="C242" s="14" t="inlineStr">
        <is>
          <t>CE</t>
        </is>
      </c>
      <c r="D242" s="14" t="inlineStr">
        <is>
          <t>mid</t>
        </is>
      </c>
      <c r="E242" s="21" t="n">
        <v>1080</v>
      </c>
      <c r="F242" s="14" t="inlineStr">
        <is>
          <t>2026-02-24</t>
        </is>
      </c>
      <c r="G242" s="8" t="n">
        <v>425</v>
      </c>
      <c r="H242" s="22" t="n">
        <v>-28.6</v>
      </c>
      <c r="I242" s="22" t="n">
        <v>-21.1</v>
      </c>
      <c r="J242" s="22" t="n">
        <v>9.4</v>
      </c>
      <c r="K242" s="23" t="n">
        <v>17.8</v>
      </c>
      <c r="L242" s="23" t="n">
        <v>17.75</v>
      </c>
      <c r="M242" s="23" t="n">
        <v>27.3</v>
      </c>
      <c r="N242" s="23" t="n">
        <v>14</v>
      </c>
      <c r="O242" s="23" t="n">
        <v>19</v>
      </c>
      <c r="P242" s="23" t="n">
        <v>18.95</v>
      </c>
      <c r="Q242" s="8">
        <f>K242*G242</f>
        <v/>
      </c>
      <c r="R242" s="24">
        <f>(M242-K242)*G242</f>
        <v/>
      </c>
      <c r="S242" s="25">
        <f>(M242/K242-1)*100</f>
        <v/>
      </c>
      <c r="T242" s="26">
        <f>(N242-K242)*G242</f>
        <v/>
      </c>
      <c r="U242" s="27">
        <f>(N242/K242-1)*100</f>
        <v/>
      </c>
      <c r="V242" s="11">
        <f>(P242-K242)*G242</f>
        <v/>
      </c>
      <c r="W242" s="11" t="n">
        <v>110.28</v>
      </c>
      <c r="X242" s="10">
        <f>W242/Q242*100</f>
        <v/>
      </c>
      <c r="Y242" s="12" t="n">
        <v>0.569</v>
      </c>
      <c r="Z242" s="14" t="inlineStr">
        <is>
          <t>2026_H1</t>
        </is>
      </c>
    </row>
    <row r="243">
      <c r="A243" s="14" t="inlineStr">
        <is>
          <t>2026-02-01</t>
        </is>
      </c>
      <c r="B243" s="7" t="inlineStr">
        <is>
          <t>AMBUJACEM</t>
        </is>
      </c>
      <c r="C243" s="14" t="inlineStr">
        <is>
          <t>CE</t>
        </is>
      </c>
      <c r="D243" s="14" t="inlineStr">
        <is>
          <t>large</t>
        </is>
      </c>
      <c r="E243" s="21" t="n">
        <v>535</v>
      </c>
      <c r="F243" s="14" t="inlineStr">
        <is>
          <t>2026-02-24</t>
        </is>
      </c>
      <c r="G243" s="8" t="n">
        <v>1050</v>
      </c>
      <c r="H243" s="22" t="n">
        <v>-86</v>
      </c>
      <c r="I243" s="22" t="n">
        <v>-84.09999999999999</v>
      </c>
      <c r="J243" s="22" t="n">
        <v>10.2</v>
      </c>
      <c r="K243" s="23" t="n">
        <v>7.05</v>
      </c>
      <c r="L243" s="23" t="n">
        <v>7</v>
      </c>
      <c r="M243" s="23" t="n">
        <v>8.65</v>
      </c>
      <c r="N243" s="23" t="n">
        <v>2.95</v>
      </c>
      <c r="O243" s="23" t="n">
        <v>3.3</v>
      </c>
      <c r="P243" s="23" t="n">
        <v>3.25</v>
      </c>
      <c r="Q243" s="8">
        <f>K243*G243</f>
        <v/>
      </c>
      <c r="R243" s="24">
        <f>(M243-K243)*G243</f>
        <v/>
      </c>
      <c r="S243" s="25">
        <f>(M243/K243-1)*100</f>
        <v/>
      </c>
      <c r="T243" s="26">
        <f>(N243-K243)*G243</f>
        <v/>
      </c>
      <c r="U243" s="27">
        <f>(N243/K243-1)*100</f>
        <v/>
      </c>
      <c r="V243" s="11">
        <f>(P243-K243)*G243</f>
        <v/>
      </c>
      <c r="W243" s="11" t="n">
        <v>-4155.23</v>
      </c>
      <c r="X243" s="10">
        <f>W243/Q243*100</f>
        <v/>
      </c>
      <c r="Y243" s="12" t="n">
        <v>-2.671</v>
      </c>
      <c r="Z243" s="14" t="inlineStr">
        <is>
          <t>2026_H1</t>
        </is>
      </c>
    </row>
    <row r="244">
      <c r="A244" s="14" t="inlineStr">
        <is>
          <t>2026-02-01</t>
        </is>
      </c>
      <c r="B244" s="7" t="inlineStr">
        <is>
          <t>BAJAJ-AUTO</t>
        </is>
      </c>
      <c r="C244" s="14" t="inlineStr">
        <is>
          <t>PE</t>
        </is>
      </c>
      <c r="D244" s="14" t="inlineStr">
        <is>
          <t>large</t>
        </is>
      </c>
      <c r="E244" s="21" t="n">
        <v>9200</v>
      </c>
      <c r="F244" s="14" t="inlineStr">
        <is>
          <t>2026-02-24</t>
        </is>
      </c>
      <c r="G244" s="8" t="n">
        <v>75</v>
      </c>
      <c r="H244" s="22" t="n">
        <v>25.2</v>
      </c>
      <c r="I244" s="22" t="n">
        <v>29.6</v>
      </c>
      <c r="J244" s="22" t="n">
        <v>23.1</v>
      </c>
      <c r="K244" s="23" t="n">
        <v>86.09999999999999</v>
      </c>
      <c r="L244" s="23" t="n">
        <v>86.05</v>
      </c>
      <c r="M244" s="23" t="n">
        <v>228</v>
      </c>
      <c r="N244" s="23" t="n">
        <v>59.05</v>
      </c>
      <c r="O244" s="23" t="n">
        <v>127.1</v>
      </c>
      <c r="P244" s="23" t="n">
        <v>127.05</v>
      </c>
      <c r="Q244" s="8">
        <f>K244*G244</f>
        <v/>
      </c>
      <c r="R244" s="24">
        <f>(M244-K244)*G244</f>
        <v/>
      </c>
      <c r="S244" s="25">
        <f>(M244/K244-1)*100</f>
        <v/>
      </c>
      <c r="T244" s="26">
        <f>(N244-K244)*G244</f>
        <v/>
      </c>
      <c r="U244" s="27">
        <f>(N244/K244-1)*100</f>
        <v/>
      </c>
      <c r="V244" s="11">
        <f>(P244-K244)*G244</f>
        <v/>
      </c>
      <c r="W244" s="11" t="n">
        <v>2842.99</v>
      </c>
      <c r="X244" s="10">
        <f>W244/Q244*100</f>
        <v/>
      </c>
      <c r="Y244" s="12" t="n">
        <v>2.952</v>
      </c>
      <c r="Z244" s="14" t="inlineStr">
        <is>
          <t>2026_H1</t>
        </is>
      </c>
    </row>
    <row r="245">
      <c r="A245" s="14" t="inlineStr">
        <is>
          <t>2026-02-01</t>
        </is>
      </c>
      <c r="B245" s="7" t="inlineStr">
        <is>
          <t>BDL</t>
        </is>
      </c>
      <c r="C245" s="14" t="inlineStr">
        <is>
          <t>CE</t>
        </is>
      </c>
      <c r="D245" s="14" t="inlineStr">
        <is>
          <t>mid</t>
        </is>
      </c>
      <c r="E245" s="21" t="n">
        <v>1680</v>
      </c>
      <c r="F245" s="14" t="inlineStr">
        <is>
          <t>2026-02-24</t>
        </is>
      </c>
      <c r="G245" s="8" t="n">
        <v>350</v>
      </c>
      <c r="H245" s="22" t="n">
        <v>-50.4</v>
      </c>
      <c r="I245" s="22" t="n">
        <v>-66.2</v>
      </c>
      <c r="J245" s="22" t="n">
        <v>-31.9</v>
      </c>
      <c r="K245" s="23" t="n">
        <v>22.1</v>
      </c>
      <c r="L245" s="23" t="n">
        <v>22.05</v>
      </c>
      <c r="M245" s="23" t="n">
        <v>35</v>
      </c>
      <c r="N245" s="23" t="n">
        <v>6.95</v>
      </c>
      <c r="O245" s="23" t="n">
        <v>7.4</v>
      </c>
      <c r="P245" s="23" t="n">
        <v>7.35</v>
      </c>
      <c r="Q245" s="8">
        <f>K245*G245</f>
        <v/>
      </c>
      <c r="R245" s="24">
        <f>(M245-K245)*G245</f>
        <v/>
      </c>
      <c r="S245" s="25">
        <f>(M245/K245-1)*100</f>
        <v/>
      </c>
      <c r="T245" s="26">
        <f>(N245-K245)*G245</f>
        <v/>
      </c>
      <c r="U245" s="27">
        <f>(N245/K245-1)*100</f>
        <v/>
      </c>
      <c r="V245" s="11">
        <f>(P245-K245)*G245</f>
        <v/>
      </c>
      <c r="W245" s="11" t="n">
        <v>-5424.27</v>
      </c>
      <c r="X245" s="10">
        <f>W245/Q245*100</f>
        <v/>
      </c>
      <c r="Y245" s="12" t="n">
        <v>-8.032999999999999</v>
      </c>
      <c r="Z245" s="14" t="inlineStr">
        <is>
          <t>2026_H1</t>
        </is>
      </c>
    </row>
    <row r="246">
      <c r="A246" s="14" t="inlineStr">
        <is>
          <t>2026-02-01</t>
        </is>
      </c>
      <c r="B246" s="7" t="inlineStr">
        <is>
          <t>CHOLAFIN</t>
        </is>
      </c>
      <c r="C246" s="14" t="inlineStr">
        <is>
          <t>PE</t>
        </is>
      </c>
      <c r="D246" s="14" t="inlineStr">
        <is>
          <t>large</t>
        </is>
      </c>
      <c r="E246" s="21" t="n">
        <v>1440</v>
      </c>
      <c r="F246" s="14" t="inlineStr">
        <is>
          <t>2026-02-24</t>
        </is>
      </c>
      <c r="G246" s="8" t="n">
        <v>625</v>
      </c>
      <c r="H246" s="22" t="n">
        <v>18.5</v>
      </c>
      <c r="I246" s="22" t="n">
        <v>11.2</v>
      </c>
      <c r="J246" s="22" t="n">
        <v>17.3</v>
      </c>
      <c r="K246" s="23" t="n">
        <v>6.95</v>
      </c>
      <c r="L246" s="23" t="n">
        <v>6.9</v>
      </c>
      <c r="M246" s="23" t="n">
        <v>15.1</v>
      </c>
      <c r="N246" s="23" t="n">
        <v>5.25</v>
      </c>
      <c r="O246" s="23" t="n">
        <v>12.85</v>
      </c>
      <c r="P246" s="23" t="n">
        <v>12.8</v>
      </c>
      <c r="Q246" s="8">
        <f>K246*G246</f>
        <v/>
      </c>
      <c r="R246" s="24">
        <f>(M246-K246)*G246</f>
        <v/>
      </c>
      <c r="S246" s="25">
        <f>(M246/K246-1)*100</f>
        <v/>
      </c>
      <c r="T246" s="26">
        <f>(N246-K246)*G246</f>
        <v/>
      </c>
      <c r="U246" s="27">
        <f>(N246/K246-1)*100</f>
        <v/>
      </c>
      <c r="V246" s="11">
        <f>(P246-K246)*G246</f>
        <v/>
      </c>
      <c r="W246" s="11" t="n">
        <v>3468.3</v>
      </c>
      <c r="X246" s="10">
        <f>W246/Q246*100</f>
        <v/>
      </c>
      <c r="Y246" s="12" t="n">
        <v>2.379</v>
      </c>
      <c r="Z246" s="14" t="inlineStr">
        <is>
          <t>2026_H1</t>
        </is>
      </c>
    </row>
    <row r="247">
      <c r="A247" s="14" t="inlineStr">
        <is>
          <t>2026-02-01</t>
        </is>
      </c>
      <c r="B247" s="7" t="inlineStr">
        <is>
          <t>JINDALSTEL</t>
        </is>
      </c>
      <c r="C247" s="14" t="inlineStr">
        <is>
          <t>CE</t>
        </is>
      </c>
      <c r="D247" s="14" t="inlineStr">
        <is>
          <t>mid</t>
        </is>
      </c>
      <c r="E247" s="21" t="n">
        <v>1210</v>
      </c>
      <c r="F247" s="14" t="inlineStr">
        <is>
          <t>2026-02-24</t>
        </is>
      </c>
      <c r="G247" s="8" t="n">
        <v>625</v>
      </c>
      <c r="H247" s="22" t="n">
        <v>-80.2</v>
      </c>
      <c r="I247" s="22" t="n">
        <v>-70.3</v>
      </c>
      <c r="J247" s="22" t="n">
        <v>10.9</v>
      </c>
      <c r="K247" s="23" t="n">
        <v>11.05</v>
      </c>
      <c r="L247" s="23" t="n">
        <v>11</v>
      </c>
      <c r="M247" s="23" t="n">
        <v>16</v>
      </c>
      <c r="N247" s="23" t="n">
        <v>6.75</v>
      </c>
      <c r="O247" s="23" t="n">
        <v>6.95</v>
      </c>
      <c r="P247" s="23" t="n">
        <v>6.9</v>
      </c>
      <c r="Q247" s="8">
        <f>K247*G247</f>
        <v/>
      </c>
      <c r="R247" s="24">
        <f>(M247-K247)*G247</f>
        <v/>
      </c>
      <c r="S247" s="25">
        <f>(M247/K247-1)*100</f>
        <v/>
      </c>
      <c r="T247" s="26">
        <f>(N247-K247)*G247</f>
        <v/>
      </c>
      <c r="U247" s="27">
        <f>(N247/K247-1)*100</f>
        <v/>
      </c>
      <c r="V247" s="11">
        <f>(P247-K247)*G247</f>
        <v/>
      </c>
      <c r="W247" s="11" t="n">
        <v>-2876.72</v>
      </c>
      <c r="X247" s="10">
        <f>W247/Q247*100</f>
        <v/>
      </c>
      <c r="Y247" s="12" t="n">
        <v>0.364</v>
      </c>
      <c r="Z247" s="14" t="inlineStr">
        <is>
          <t>2026_H1</t>
        </is>
      </c>
    </row>
    <row r="248">
      <c r="A248" s="14" t="inlineStr">
        <is>
          <t>2026-02-01</t>
        </is>
      </c>
      <c r="B248" s="7" t="inlineStr">
        <is>
          <t>NESTLEIND</t>
        </is>
      </c>
      <c r="C248" s="14" t="inlineStr">
        <is>
          <t>PE</t>
        </is>
      </c>
      <c r="D248" s="14" t="inlineStr">
        <is>
          <t>large</t>
        </is>
      </c>
      <c r="E248" s="21" t="n">
        <v>1270</v>
      </c>
      <c r="F248" s="14" t="inlineStr">
        <is>
          <t>2026-02-24</t>
        </is>
      </c>
      <c r="G248" s="8" t="n">
        <v>500</v>
      </c>
      <c r="H248" s="22" t="n">
        <v>45.1</v>
      </c>
      <c r="I248" s="22" t="n">
        <v>34.3</v>
      </c>
      <c r="J248" s="22" t="n">
        <v>18.6</v>
      </c>
      <c r="K248" s="23" t="n">
        <v>12.7</v>
      </c>
      <c r="L248" s="23" t="n">
        <v>12.65</v>
      </c>
      <c r="M248" s="23" t="n">
        <v>39.6</v>
      </c>
      <c r="N248" s="23" t="n">
        <v>12.65</v>
      </c>
      <c r="O248" s="23" t="n">
        <v>31.95</v>
      </c>
      <c r="P248" s="23" t="n">
        <v>31.9</v>
      </c>
      <c r="Q248" s="8">
        <f>K248*G248</f>
        <v/>
      </c>
      <c r="R248" s="24">
        <f>(M248-K248)*G248</f>
        <v/>
      </c>
      <c r="S248" s="25">
        <f>(M248/K248-1)*100</f>
        <v/>
      </c>
      <c r="T248" s="26">
        <f>(N248-K248)*G248</f>
        <v/>
      </c>
      <c r="U248" s="27">
        <f>(N248/K248-1)*100</f>
        <v/>
      </c>
      <c r="V248" s="11">
        <f>(P248-K248)*G248</f>
        <v/>
      </c>
      <c r="W248" s="11" t="n">
        <v>9296.290000000001</v>
      </c>
      <c r="X248" s="10">
        <f>W248/Q248*100</f>
        <v/>
      </c>
      <c r="Y248" s="12" t="n">
        <v>2.841</v>
      </c>
      <c r="Z248" s="14" t="inlineStr">
        <is>
          <t>2026_H1</t>
        </is>
      </c>
    </row>
    <row r="249">
      <c r="A249" s="14" t="inlineStr">
        <is>
          <t>2026-02-01</t>
        </is>
      </c>
      <c r="B249" s="7" t="inlineStr">
        <is>
          <t>SUNPHARMA</t>
        </is>
      </c>
      <c r="C249" s="14" t="inlineStr">
        <is>
          <t>PE</t>
        </is>
      </c>
      <c r="D249" s="14" t="inlineStr">
        <is>
          <t>large</t>
        </is>
      </c>
      <c r="E249" s="21" t="n">
        <v>1600</v>
      </c>
      <c r="F249" s="14" t="inlineStr">
        <is>
          <t>2026-02-24</t>
        </is>
      </c>
      <c r="G249" s="8" t="n">
        <v>350</v>
      </c>
      <c r="H249" s="22" t="n">
        <v>16.1</v>
      </c>
      <c r="I249" s="22" t="n">
        <v>8.199999999999999</v>
      </c>
      <c r="J249" s="22" t="n">
        <v>13.5</v>
      </c>
      <c r="K249" s="23" t="n">
        <v>20.25</v>
      </c>
      <c r="L249" s="23" t="n">
        <v>20.2</v>
      </c>
      <c r="M249" s="23" t="n">
        <v>47.95</v>
      </c>
      <c r="N249" s="23" t="n">
        <v>17.5</v>
      </c>
      <c r="O249" s="23" t="n">
        <v>32.6</v>
      </c>
      <c r="P249" s="23" t="n">
        <v>32.55</v>
      </c>
      <c r="Q249" s="8">
        <f>K249*G249</f>
        <v/>
      </c>
      <c r="R249" s="24">
        <f>(M249-K249)*G249</f>
        <v/>
      </c>
      <c r="S249" s="25">
        <f>(M249/K249-1)*100</f>
        <v/>
      </c>
      <c r="T249" s="26">
        <f>(N249-K249)*G249</f>
        <v/>
      </c>
      <c r="U249" s="27">
        <f>(N249/K249-1)*100</f>
        <v/>
      </c>
      <c r="V249" s="11">
        <f>(P249-K249)*G249</f>
        <v/>
      </c>
      <c r="W249" s="11" t="n">
        <v>4047.93</v>
      </c>
      <c r="X249" s="10">
        <f>W249/Q249*100</f>
        <v/>
      </c>
      <c r="Y249" s="12" t="n">
        <v>1.823</v>
      </c>
      <c r="Z249" s="14" t="inlineStr">
        <is>
          <t>2026_H1</t>
        </is>
      </c>
    </row>
    <row r="250">
      <c r="A250" s="14" t="inlineStr">
        <is>
          <t>2026-02-03</t>
        </is>
      </c>
      <c r="B250" s="7" t="inlineStr">
        <is>
          <t>INDUSTOWER</t>
        </is>
      </c>
      <c r="C250" s="14" t="inlineStr">
        <is>
          <t>CE</t>
        </is>
      </c>
      <c r="D250" s="14" t="inlineStr">
        <is>
          <t>mid</t>
        </is>
      </c>
      <c r="E250" s="21" t="n">
        <v>470</v>
      </c>
      <c r="F250" s="14" t="inlineStr">
        <is>
          <t>2026-02-24</t>
        </is>
      </c>
      <c r="G250" s="8" t="n">
        <v>1700</v>
      </c>
      <c r="H250" s="22" t="n">
        <v>-55.6</v>
      </c>
      <c r="I250" s="22" t="n">
        <v>-3.4</v>
      </c>
      <c r="J250" s="22" t="n">
        <v>7.9</v>
      </c>
      <c r="K250" s="23" t="n">
        <v>4.05</v>
      </c>
      <c r="L250" s="23" t="n">
        <v>4</v>
      </c>
      <c r="M250" s="23" t="n">
        <v>6.5</v>
      </c>
      <c r="N250" s="23" t="n">
        <v>2.6</v>
      </c>
      <c r="O250" s="23" t="n">
        <v>4.05</v>
      </c>
      <c r="P250" s="23" t="n">
        <v>4</v>
      </c>
      <c r="Q250" s="8">
        <f>K250*G250</f>
        <v/>
      </c>
      <c r="R250" s="24">
        <f>(M250-K250)*G250</f>
        <v/>
      </c>
      <c r="S250" s="25">
        <f>(M250/K250-1)*100</f>
        <v/>
      </c>
      <c r="T250" s="26">
        <f>(N250-K250)*G250</f>
        <v/>
      </c>
      <c r="U250" s="27">
        <f>(N250/K250-1)*100</f>
        <v/>
      </c>
      <c r="V250" s="11">
        <f>(P250-K250)*G250</f>
        <v/>
      </c>
      <c r="W250" s="11" t="n">
        <v>-422.08</v>
      </c>
      <c r="X250" s="10">
        <f>W250/Q250*100</f>
        <v/>
      </c>
      <c r="Y250" s="12" t="n">
        <v>-1.094</v>
      </c>
      <c r="Z250" s="14" t="inlineStr">
        <is>
          <t>2026_H1</t>
        </is>
      </c>
    </row>
    <row r="251">
      <c r="A251" s="14" t="inlineStr">
        <is>
          <t>2026-02-03</t>
        </is>
      </c>
      <c r="B251" s="7" t="inlineStr">
        <is>
          <t>PGEL</t>
        </is>
      </c>
      <c r="C251" s="14" t="inlineStr">
        <is>
          <t>PE</t>
        </is>
      </c>
      <c r="D251" s="14" t="inlineStr">
        <is>
          <t>small</t>
        </is>
      </c>
      <c r="E251" s="21" t="n">
        <v>560</v>
      </c>
      <c r="F251" s="14" t="inlineStr">
        <is>
          <t>2026-02-24</t>
        </is>
      </c>
      <c r="G251" s="8" t="n">
        <v>950</v>
      </c>
      <c r="H251" s="22" t="n">
        <v>56.7</v>
      </c>
      <c r="I251" s="22" t="n">
        <v>2144.9</v>
      </c>
      <c r="J251" s="22" t="n">
        <v>45.9</v>
      </c>
      <c r="K251" s="23" t="n">
        <v>5.05</v>
      </c>
      <c r="L251" s="23" t="n">
        <v>5</v>
      </c>
      <c r="M251" s="23" t="n">
        <v>36.6</v>
      </c>
      <c r="N251" s="23" t="n">
        <v>5</v>
      </c>
      <c r="O251" s="23" t="n">
        <v>24.95</v>
      </c>
      <c r="P251" s="23" t="n">
        <v>24.9</v>
      </c>
      <c r="Q251" s="8">
        <f>K251*G251</f>
        <v/>
      </c>
      <c r="R251" s="24">
        <f>(M251-K251)*G251</f>
        <v/>
      </c>
      <c r="S251" s="25">
        <f>(M251/K251-1)*100</f>
        <v/>
      </c>
      <c r="T251" s="26">
        <f>(N251-K251)*G251</f>
        <v/>
      </c>
      <c r="U251" s="27">
        <f>(N251/K251-1)*100</f>
        <v/>
      </c>
      <c r="V251" s="11">
        <f>(P251-K251)*G251</f>
        <v/>
      </c>
      <c r="W251" s="11" t="n">
        <v>17909.15</v>
      </c>
      <c r="X251" s="10">
        <f>W251/Q251*100</f>
        <v/>
      </c>
      <c r="Y251" s="12" t="n">
        <v>4.413</v>
      </c>
      <c r="Z251" s="14" t="inlineStr">
        <is>
          <t>2026_H1</t>
        </is>
      </c>
    </row>
    <row r="252">
      <c r="A252" s="14" t="inlineStr">
        <is>
          <t>2026-02-03</t>
        </is>
      </c>
      <c r="B252" s="7" t="inlineStr">
        <is>
          <t>POLICYBZR</t>
        </is>
      </c>
      <c r="C252" s="14" t="inlineStr">
        <is>
          <t>PE</t>
        </is>
      </c>
      <c r="D252" s="14" t="inlineStr">
        <is>
          <t>mid</t>
        </is>
      </c>
      <c r="E252" s="21" t="n">
        <v>1520</v>
      </c>
      <c r="F252" s="14" t="inlineStr">
        <is>
          <t>2026-02-24</t>
        </is>
      </c>
      <c r="G252" s="8" t="n">
        <v>350</v>
      </c>
      <c r="H252" s="22" t="n">
        <v>164.8</v>
      </c>
      <c r="I252" s="22" t="n">
        <v>40.4</v>
      </c>
      <c r="J252" s="22" t="n">
        <v>37.1</v>
      </c>
      <c r="K252" s="23" t="n">
        <v>22.7</v>
      </c>
      <c r="L252" s="23" t="n">
        <v>22.65</v>
      </c>
      <c r="M252" s="23" t="n">
        <v>102.9</v>
      </c>
      <c r="N252" s="23" t="n">
        <v>22.65</v>
      </c>
      <c r="O252" s="23" t="n">
        <v>94.15000000000001</v>
      </c>
      <c r="P252" s="23" t="n">
        <v>94.09999999999999</v>
      </c>
      <c r="Q252" s="8">
        <f>K252*G252</f>
        <v/>
      </c>
      <c r="R252" s="24">
        <f>(M252-K252)*G252</f>
        <v/>
      </c>
      <c r="S252" s="25">
        <f>(M252/K252-1)*100</f>
        <v/>
      </c>
      <c r="T252" s="26">
        <f>(N252-K252)*G252</f>
        <v/>
      </c>
      <c r="U252" s="27">
        <f>(N252/K252-1)*100</f>
        <v/>
      </c>
      <c r="V252" s="11">
        <f>(P252-K252)*G252</f>
        <v/>
      </c>
      <c r="W252" s="11" t="n">
        <v>24058.38</v>
      </c>
      <c r="X252" s="10">
        <f>W252/Q252*100</f>
        <v/>
      </c>
      <c r="Y252" s="12" t="n">
        <v>10.025</v>
      </c>
      <c r="Z252" s="14" t="inlineStr">
        <is>
          <t>2026_H1</t>
        </is>
      </c>
    </row>
    <row r="253">
      <c r="A253" s="14" t="inlineStr">
        <is>
          <t>2026-02-03</t>
        </is>
      </c>
      <c r="B253" s="7" t="inlineStr">
        <is>
          <t>UPL</t>
        </is>
      </c>
      <c r="C253" s="14" t="inlineStr">
        <is>
          <t>CE</t>
        </is>
      </c>
      <c r="D253" s="14" t="inlineStr">
        <is>
          <t>mid</t>
        </is>
      </c>
      <c r="E253" s="21" t="n">
        <v>770</v>
      </c>
      <c r="F253" s="14" t="inlineStr">
        <is>
          <t>2026-02-24</t>
        </is>
      </c>
      <c r="G253" s="8" t="n">
        <v>1355</v>
      </c>
      <c r="H253" s="22" t="n">
        <v>-42.6</v>
      </c>
      <c r="I253" s="22" t="n">
        <v>-19.9</v>
      </c>
      <c r="J253" s="22" t="n">
        <v>12.5</v>
      </c>
      <c r="K253" s="23" t="n">
        <v>5.6</v>
      </c>
      <c r="L253" s="23" t="n">
        <v>5.55</v>
      </c>
      <c r="M253" s="23" t="n">
        <v>13.6</v>
      </c>
      <c r="N253" s="23" t="n">
        <v>5.55</v>
      </c>
      <c r="O253" s="23" t="n">
        <v>8.050000000000001</v>
      </c>
      <c r="P253" s="23" t="n">
        <v>8</v>
      </c>
      <c r="Q253" s="8">
        <f>K253*G253</f>
        <v/>
      </c>
      <c r="R253" s="24">
        <f>(M253-K253)*G253</f>
        <v/>
      </c>
      <c r="S253" s="25">
        <f>(M253/K253-1)*100</f>
        <v/>
      </c>
      <c r="T253" s="26">
        <f>(N253-K253)*G253</f>
        <v/>
      </c>
      <c r="U253" s="27">
        <f>(N253/K253-1)*100</f>
        <v/>
      </c>
      <c r="V253" s="11">
        <f>(P253-K253)*G253</f>
        <v/>
      </c>
      <c r="W253" s="11" t="n">
        <v>2811.99</v>
      </c>
      <c r="X253" s="10">
        <f>W253/Q253*100</f>
        <v/>
      </c>
      <c r="Y253" s="12" t="n">
        <v>-0.296</v>
      </c>
      <c r="Z253" s="14" t="inlineStr">
        <is>
          <t>2026_H1</t>
        </is>
      </c>
    </row>
    <row r="254">
      <c r="A254" s="14" t="inlineStr">
        <is>
          <t>2026-02-04</t>
        </is>
      </c>
      <c r="B254" s="7" t="inlineStr">
        <is>
          <t>ADANIENT</t>
        </is>
      </c>
      <c r="C254" s="14" t="inlineStr">
        <is>
          <t>PE</t>
        </is>
      </c>
      <c r="D254" s="14" t="inlineStr">
        <is>
          <t>large</t>
        </is>
      </c>
      <c r="E254" s="21" t="n">
        <v>2040</v>
      </c>
      <c r="F254" s="14" t="inlineStr">
        <is>
          <t>2026-02-24</t>
        </is>
      </c>
      <c r="G254" s="8" t="n">
        <v>309</v>
      </c>
      <c r="H254" s="22" t="n">
        <v>2404.6</v>
      </c>
      <c r="I254" s="22" t="n">
        <v>67.7</v>
      </c>
      <c r="J254" s="22" t="n">
        <v>8.6</v>
      </c>
      <c r="K254" s="23" t="n">
        <v>25.55</v>
      </c>
      <c r="L254" s="23" t="n">
        <v>25.5</v>
      </c>
      <c r="M254" s="23" t="n">
        <v>27.3</v>
      </c>
      <c r="N254" s="23" t="n">
        <v>20.4</v>
      </c>
      <c r="O254" s="23" t="n">
        <v>22.1</v>
      </c>
      <c r="P254" s="23" t="n">
        <v>22.05</v>
      </c>
      <c r="Q254" s="8">
        <f>K254*G254</f>
        <v/>
      </c>
      <c r="R254" s="24">
        <f>(M254-K254)*G254</f>
        <v/>
      </c>
      <c r="S254" s="25">
        <f>(M254/K254-1)*100</f>
        <v/>
      </c>
      <c r="T254" s="26">
        <f>(N254-K254)*G254</f>
        <v/>
      </c>
      <c r="U254" s="27">
        <f>(N254/K254-1)*100</f>
        <v/>
      </c>
      <c r="V254" s="11">
        <f>(P254-K254)*G254</f>
        <v/>
      </c>
      <c r="W254" s="11" t="n">
        <v>-1292.44</v>
      </c>
      <c r="X254" s="10">
        <f>W254/Q254*100</f>
        <v/>
      </c>
      <c r="Y254" s="12" t="n">
        <v>-0.369</v>
      </c>
      <c r="Z254" s="14" t="inlineStr">
        <is>
          <t>2026_H1</t>
        </is>
      </c>
    </row>
    <row r="255">
      <c r="A255" s="14" t="inlineStr">
        <is>
          <t>2026-02-04</t>
        </is>
      </c>
      <c r="B255" s="7" t="inlineStr">
        <is>
          <t>PIDILITIND</t>
        </is>
      </c>
      <c r="C255" s="14" t="inlineStr">
        <is>
          <t>PE</t>
        </is>
      </c>
      <c r="D255" s="14" t="inlineStr">
        <is>
          <t>large</t>
        </is>
      </c>
      <c r="E255" s="21" t="n">
        <v>1380</v>
      </c>
      <c r="F255" s="14" t="inlineStr">
        <is>
          <t>2026-02-24</t>
        </is>
      </c>
      <c r="G255" s="8" t="n">
        <v>500</v>
      </c>
      <c r="H255" s="22" t="n">
        <v>12</v>
      </c>
      <c r="I255" s="22" t="n">
        <v>6.7</v>
      </c>
      <c r="J255" s="22" t="n">
        <v>10.1</v>
      </c>
      <c r="K255" s="23" t="n">
        <v>12.05</v>
      </c>
      <c r="L255" s="23" t="n">
        <v>12</v>
      </c>
      <c r="M255" s="23" t="n">
        <v>12</v>
      </c>
      <c r="N255" s="23" t="n">
        <v>5.15</v>
      </c>
      <c r="O255" s="23" t="n">
        <v>6.45</v>
      </c>
      <c r="P255" s="23" t="n">
        <v>6.4</v>
      </c>
      <c r="Q255" s="8">
        <f>K255*G255</f>
        <v/>
      </c>
      <c r="R255" s="24">
        <f>(M255-K255)*G255</f>
        <v/>
      </c>
      <c r="S255" s="25">
        <f>(M255/K255-1)*100</f>
        <v/>
      </c>
      <c r="T255" s="26">
        <f>(N255-K255)*G255</f>
        <v/>
      </c>
      <c r="U255" s="27">
        <f>(N255/K255-1)*100</f>
        <v/>
      </c>
      <c r="V255" s="11">
        <f>(P255-K255)*G255</f>
        <v/>
      </c>
      <c r="W255" s="11" t="n">
        <v>-2973.32</v>
      </c>
      <c r="X255" s="10">
        <f>W255/Q255*100</f>
        <v/>
      </c>
      <c r="Y255" s="12" t="n">
        <v>-1.248</v>
      </c>
      <c r="Z255" s="14" t="inlineStr">
        <is>
          <t>2026_H1</t>
        </is>
      </c>
    </row>
    <row r="256">
      <c r="A256" s="14" t="inlineStr">
        <is>
          <t>2026-02-04</t>
        </is>
      </c>
      <c r="B256" s="7" t="inlineStr">
        <is>
          <t>SOLARINDS</t>
        </is>
      </c>
      <c r="C256" s="14" t="inlineStr">
        <is>
          <t>PE</t>
        </is>
      </c>
      <c r="D256" s="14" t="inlineStr">
        <is>
          <t>large</t>
        </is>
      </c>
      <c r="E256" s="21" t="n">
        <v>12800</v>
      </c>
      <c r="F256" s="14" t="inlineStr">
        <is>
          <t>2026-02-24</t>
        </is>
      </c>
      <c r="G256" s="8" t="n">
        <v>50</v>
      </c>
      <c r="H256" s="22" t="n">
        <v>38.2</v>
      </c>
      <c r="I256" s="22" t="n">
        <v>29</v>
      </c>
      <c r="J256" s="22" t="n">
        <v>29.2</v>
      </c>
      <c r="K256" s="23" t="n">
        <v>150.05</v>
      </c>
      <c r="L256" s="23" t="n">
        <v>150</v>
      </c>
      <c r="M256" s="23" t="n">
        <v>274</v>
      </c>
      <c r="N256" s="23" t="n">
        <v>130.55</v>
      </c>
      <c r="O256" s="23" t="n">
        <v>212.45</v>
      </c>
      <c r="P256" s="23" t="n">
        <v>212.4</v>
      </c>
      <c r="Q256" s="8">
        <f>K256*G256</f>
        <v/>
      </c>
      <c r="R256" s="24">
        <f>(M256-K256)*G256</f>
        <v/>
      </c>
      <c r="S256" s="25">
        <f>(M256/K256-1)*100</f>
        <v/>
      </c>
      <c r="T256" s="26">
        <f>(N256-K256)*G256</f>
        <v/>
      </c>
      <c r="U256" s="27">
        <f>(N256/K256-1)*100</f>
        <v/>
      </c>
      <c r="V256" s="11">
        <f>(P256-K256)*G256</f>
        <v/>
      </c>
      <c r="W256" s="11" t="n">
        <v>2865.29</v>
      </c>
      <c r="X256" s="10">
        <f>W256/Q256*100</f>
        <v/>
      </c>
      <c r="Y256" s="12" t="n">
        <v>2.8</v>
      </c>
      <c r="Z256" s="14" t="inlineStr">
        <is>
          <t>2026_H1</t>
        </is>
      </c>
    </row>
    <row r="257">
      <c r="A257" s="14" t="inlineStr">
        <is>
          <t>2026-02-05</t>
        </is>
      </c>
      <c r="B257" s="7" t="inlineStr">
        <is>
          <t>BAJAJHLDNG</t>
        </is>
      </c>
      <c r="C257" s="14" t="inlineStr">
        <is>
          <t>PE</t>
        </is>
      </c>
      <c r="D257" s="14" t="inlineStr">
        <is>
          <t>large</t>
        </is>
      </c>
      <c r="E257" s="21" t="n">
        <v>10500</v>
      </c>
      <c r="F257" s="14" t="inlineStr">
        <is>
          <t>2026-02-24</t>
        </is>
      </c>
      <c r="G257" s="8" t="n">
        <v>50</v>
      </c>
      <c r="H257" s="22" t="n">
        <v>15.3</v>
      </c>
      <c r="I257" s="22" t="n">
        <v>19.4</v>
      </c>
      <c r="J257" s="22" t="n">
        <v>127.6</v>
      </c>
      <c r="K257" s="23" t="n">
        <v>100.05</v>
      </c>
      <c r="L257" s="23" t="n">
        <v>100</v>
      </c>
      <c r="M257" s="23" t="n">
        <v>163.75</v>
      </c>
      <c r="N257" s="23" t="n">
        <v>86.7</v>
      </c>
      <c r="O257" s="23" t="n">
        <v>131.95</v>
      </c>
      <c r="P257" s="23" t="n">
        <v>131.9</v>
      </c>
      <c r="Q257" s="8">
        <f>K257*G257</f>
        <v/>
      </c>
      <c r="R257" s="24">
        <f>(M257-K257)*G257</f>
        <v/>
      </c>
      <c r="S257" s="25">
        <f>(M257/K257-1)*100</f>
        <v/>
      </c>
      <c r="T257" s="26">
        <f>(N257-K257)*G257</f>
        <v/>
      </c>
      <c r="U257" s="27">
        <f>(N257/K257-1)*100</f>
        <v/>
      </c>
      <c r="V257" s="11">
        <f>(P257-K257)*G257</f>
        <v/>
      </c>
      <c r="W257" s="11" t="n">
        <v>1414.41</v>
      </c>
      <c r="X257" s="10">
        <f>W257/Q257*100</f>
        <v/>
      </c>
      <c r="Y257" s="12" t="n">
        <v>0.991</v>
      </c>
      <c r="Z257" s="14" t="inlineStr">
        <is>
          <t>2026_H1</t>
        </is>
      </c>
    </row>
    <row r="258">
      <c r="A258" s="14" t="inlineStr">
        <is>
          <t>2026-02-05</t>
        </is>
      </c>
      <c r="B258" s="7" t="inlineStr">
        <is>
          <t>CUMMINSIND</t>
        </is>
      </c>
      <c r="C258" s="14" t="inlineStr">
        <is>
          <t>CE</t>
        </is>
      </c>
      <c r="D258" s="14" t="inlineStr">
        <is>
          <t>large</t>
        </is>
      </c>
      <c r="E258" s="21" t="n">
        <v>4350</v>
      </c>
      <c r="F258" s="14" t="inlineStr">
        <is>
          <t>2026-02-24</t>
        </is>
      </c>
      <c r="G258" s="8" t="n">
        <v>200</v>
      </c>
      <c r="H258" s="22" t="n">
        <v>-13</v>
      </c>
      <c r="I258" s="22" t="n">
        <v>-21.9</v>
      </c>
      <c r="J258" s="22" t="n">
        <v>-1.3</v>
      </c>
      <c r="K258" s="23" t="n">
        <v>40</v>
      </c>
      <c r="L258" s="23" t="n">
        <v>39.95</v>
      </c>
      <c r="M258" s="23" t="n">
        <v>178.95</v>
      </c>
      <c r="N258" s="23" t="n">
        <v>39.95</v>
      </c>
      <c r="O258" s="23" t="n">
        <v>154.2</v>
      </c>
      <c r="P258" s="23" t="n">
        <v>154.15</v>
      </c>
      <c r="Q258" s="8">
        <f>K258*G258</f>
        <v/>
      </c>
      <c r="R258" s="24">
        <f>(M258-K258)*G258</f>
        <v/>
      </c>
      <c r="S258" s="25">
        <f>(M258/K258-1)*100</f>
        <v/>
      </c>
      <c r="T258" s="26">
        <f>(N258-K258)*G258</f>
        <v/>
      </c>
      <c r="U258" s="27">
        <f>(N258/K258-1)*100</f>
        <v/>
      </c>
      <c r="V258" s="11">
        <f>(P258-K258)*G258</f>
        <v/>
      </c>
      <c r="W258" s="11" t="n">
        <v>22331.7</v>
      </c>
      <c r="X258" s="10">
        <f>W258/Q258*100</f>
        <v/>
      </c>
      <c r="Y258" s="12" t="n">
        <v>7.422</v>
      </c>
      <c r="Z258" s="14" t="inlineStr">
        <is>
          <t>2026_H1</t>
        </is>
      </c>
    </row>
    <row r="259">
      <c r="A259" s="14" t="inlineStr">
        <is>
          <t>2026-02-06</t>
        </is>
      </c>
      <c r="B259" s="7" t="inlineStr">
        <is>
          <t>BHARTIARTL</t>
        </is>
      </c>
      <c r="C259" s="14" t="inlineStr">
        <is>
          <t>CE</t>
        </is>
      </c>
      <c r="D259" s="14" t="inlineStr">
        <is>
          <t>large</t>
        </is>
      </c>
      <c r="E259" s="21" t="n">
        <v>2060</v>
      </c>
      <c r="F259" s="14" t="inlineStr">
        <is>
          <t>2026-02-24</t>
        </is>
      </c>
      <c r="G259" s="8" t="n">
        <v>475</v>
      </c>
      <c r="H259" s="22" t="n">
        <v>-47.3</v>
      </c>
      <c r="I259" s="22" t="n">
        <v>-1.7</v>
      </c>
      <c r="J259" s="22" t="n">
        <v>19.6</v>
      </c>
      <c r="K259" s="23" t="n">
        <v>16.1</v>
      </c>
      <c r="L259" s="23" t="n">
        <v>16.05</v>
      </c>
      <c r="M259" s="23" t="n">
        <v>24.2</v>
      </c>
      <c r="N259" s="23" t="n">
        <v>11.6</v>
      </c>
      <c r="O259" s="23" t="n">
        <v>20.55</v>
      </c>
      <c r="P259" s="23" t="n">
        <v>20.5</v>
      </c>
      <c r="Q259" s="8">
        <f>K259*G259</f>
        <v/>
      </c>
      <c r="R259" s="24">
        <f>(M259-K259)*G259</f>
        <v/>
      </c>
      <c r="S259" s="25">
        <f>(M259/K259-1)*100</f>
        <v/>
      </c>
      <c r="T259" s="26">
        <f>(N259-K259)*G259</f>
        <v/>
      </c>
      <c r="U259" s="27">
        <f>(N259/K259-1)*100</f>
        <v/>
      </c>
      <c r="V259" s="11">
        <f>(P259-K259)*G259</f>
        <v/>
      </c>
      <c r="W259" s="11" t="n">
        <v>1846.8</v>
      </c>
      <c r="X259" s="10">
        <f>W259/Q259*100</f>
        <v/>
      </c>
      <c r="Y259" s="12" t="n">
        <v>2.227</v>
      </c>
      <c r="Z259" s="14" t="inlineStr">
        <is>
          <t>2026_H1</t>
        </is>
      </c>
    </row>
    <row r="260">
      <c r="A260" s="14" t="inlineStr">
        <is>
          <t>2026-02-06</t>
        </is>
      </c>
      <c r="B260" s="7" t="inlineStr">
        <is>
          <t>TMPV</t>
        </is>
      </c>
      <c r="C260" s="14" t="inlineStr">
        <is>
          <t>CE</t>
        </is>
      </c>
      <c r="D260" s="14" t="inlineStr">
        <is>
          <t>large</t>
        </is>
      </c>
      <c r="E260" s="21" t="n">
        <v>375</v>
      </c>
      <c r="F260" s="14" t="inlineStr">
        <is>
          <t>2026-02-24</t>
        </is>
      </c>
      <c r="G260" s="8" t="n">
        <v>800</v>
      </c>
      <c r="H260" s="22" t="n">
        <v>-162.4</v>
      </c>
      <c r="I260" s="22" t="n">
        <v>-104.6</v>
      </c>
      <c r="J260" s="22" t="n">
        <v>-38.3</v>
      </c>
      <c r="K260" s="23" t="n">
        <v>10</v>
      </c>
      <c r="L260" s="23" t="n">
        <v>9.949999999999999</v>
      </c>
      <c r="M260" s="23" t="n">
        <v>15.35</v>
      </c>
      <c r="N260" s="23" t="n">
        <v>3.35</v>
      </c>
      <c r="O260" s="23" t="n">
        <v>6.6</v>
      </c>
      <c r="P260" s="23" t="n">
        <v>6.55</v>
      </c>
      <c r="Q260" s="8">
        <f>K260*G260</f>
        <v/>
      </c>
      <c r="R260" s="24">
        <f>(M260-K260)*G260</f>
        <v/>
      </c>
      <c r="S260" s="25">
        <f>(M260/K260-1)*100</f>
        <v/>
      </c>
      <c r="T260" s="26">
        <f>(N260-K260)*G260</f>
        <v/>
      </c>
      <c r="U260" s="27">
        <f>(N260/K260-1)*100</f>
        <v/>
      </c>
      <c r="V260" s="11">
        <f>(P260-K260)*G260</f>
        <v/>
      </c>
      <c r="W260" s="11" t="n">
        <v>-2953.27</v>
      </c>
      <c r="X260" s="10">
        <f>W260/Q260*100</f>
        <v/>
      </c>
      <c r="Y260" s="12" t="n">
        <v>1.233</v>
      </c>
      <c r="Z260" s="14" t="inlineStr">
        <is>
          <t>2026_H1</t>
        </is>
      </c>
    </row>
    <row r="261">
      <c r="A261" s="14" t="inlineStr">
        <is>
          <t>2026-02-09</t>
        </is>
      </c>
      <c r="B261" s="7" t="inlineStr">
        <is>
          <t>KALYANKJIL</t>
        </is>
      </c>
      <c r="C261" s="14" t="inlineStr">
        <is>
          <t>PE</t>
        </is>
      </c>
      <c r="D261" s="14" t="inlineStr">
        <is>
          <t>mid</t>
        </is>
      </c>
      <c r="E261" s="21" t="n">
        <v>370</v>
      </c>
      <c r="F261" s="14" t="inlineStr">
        <is>
          <t>2026-02-24</t>
        </is>
      </c>
      <c r="G261" s="8" t="n">
        <v>1175</v>
      </c>
      <c r="H261" s="22" t="n">
        <v>90.40000000000001</v>
      </c>
      <c r="I261" s="22" t="n">
        <v>59.8</v>
      </c>
      <c r="J261" s="22" t="n">
        <v>41.9</v>
      </c>
      <c r="K261" s="23" t="n">
        <v>6</v>
      </c>
      <c r="L261" s="23" t="n">
        <v>5.95</v>
      </c>
      <c r="M261" s="23" t="n">
        <v>7.05</v>
      </c>
      <c r="N261" s="23" t="n">
        <v>1.8</v>
      </c>
      <c r="O261" s="23" t="n">
        <v>2</v>
      </c>
      <c r="P261" s="23" t="n">
        <v>1.95</v>
      </c>
      <c r="Q261" s="8">
        <f>K261*G261</f>
        <v/>
      </c>
      <c r="R261" s="24">
        <f>(M261-K261)*G261</f>
        <v/>
      </c>
      <c r="S261" s="25">
        <f>(M261/K261-1)*100</f>
        <v/>
      </c>
      <c r="T261" s="26">
        <f>(N261-K261)*G261</f>
        <v/>
      </c>
      <c r="U261" s="27">
        <f>(N261/K261-1)*100</f>
        <v/>
      </c>
      <c r="V261" s="11">
        <f>(P261-K261)*G261</f>
        <v/>
      </c>
      <c r="W261" s="11" t="n">
        <v>-5000.35</v>
      </c>
      <c r="X261" s="10">
        <f>W261/Q261*100</f>
        <v/>
      </c>
      <c r="Y261" s="12" t="n">
        <v>-7.988</v>
      </c>
      <c r="Z261" s="14" t="inlineStr">
        <is>
          <t>2026_H1</t>
        </is>
      </c>
    </row>
    <row r="262">
      <c r="A262" s="14" t="inlineStr">
        <is>
          <t>2026-02-09</t>
        </is>
      </c>
      <c r="B262" s="7" t="inlineStr">
        <is>
          <t>SBIN</t>
        </is>
      </c>
      <c r="C262" s="14" t="inlineStr">
        <is>
          <t>PE</t>
        </is>
      </c>
      <c r="D262" s="14" t="inlineStr">
        <is>
          <t>large</t>
        </is>
      </c>
      <c r="E262" s="21" t="n">
        <v>1065</v>
      </c>
      <c r="F262" s="14" t="inlineStr">
        <is>
          <t>2026-02-24</t>
        </is>
      </c>
      <c r="G262" s="8" t="n">
        <v>750</v>
      </c>
      <c r="H262" s="22" t="n">
        <v>13.1</v>
      </c>
      <c r="I262" s="22" t="n">
        <v>0.9</v>
      </c>
      <c r="J262" s="22" t="n">
        <v>4.8</v>
      </c>
      <c r="K262" s="23" t="n">
        <v>3.65</v>
      </c>
      <c r="L262" s="23" t="n">
        <v>3.6</v>
      </c>
      <c r="M262" s="23" t="n">
        <v>14.35</v>
      </c>
      <c r="N262" s="23" t="n">
        <v>2.95</v>
      </c>
      <c r="O262" s="23" t="n">
        <v>3.4</v>
      </c>
      <c r="P262" s="23" t="n">
        <v>3.35</v>
      </c>
      <c r="Q262" s="8">
        <f>K262*G262</f>
        <v/>
      </c>
      <c r="R262" s="24">
        <f>(M262-K262)*G262</f>
        <v/>
      </c>
      <c r="S262" s="25">
        <f>(M262/K262-1)*100</f>
        <v/>
      </c>
      <c r="T262" s="26">
        <f>(N262-K262)*G262</f>
        <v/>
      </c>
      <c r="U262" s="27">
        <f>(N262/K262-1)*100</f>
        <v/>
      </c>
      <c r="V262" s="11">
        <f>(P262-K262)*G262</f>
        <v/>
      </c>
      <c r="W262" s="11" t="n">
        <v>-330.75</v>
      </c>
      <c r="X262" s="10">
        <f>W262/Q262*100</f>
        <v/>
      </c>
      <c r="Y262" s="12" t="n">
        <v>-2.321</v>
      </c>
      <c r="Z262" s="14" t="inlineStr">
        <is>
          <t>2026_H1</t>
        </is>
      </c>
    </row>
    <row r="263">
      <c r="A263" s="14" t="inlineStr">
        <is>
          <t>2026-02-09</t>
        </is>
      </c>
      <c r="B263" s="7" t="inlineStr">
        <is>
          <t>SIEMENS</t>
        </is>
      </c>
      <c r="C263" s="14" t="inlineStr">
        <is>
          <t>CE</t>
        </is>
      </c>
      <c r="D263" s="14" t="inlineStr">
        <is>
          <t>large</t>
        </is>
      </c>
      <c r="E263" s="21" t="n">
        <v>3250</v>
      </c>
      <c r="F263" s="14" t="inlineStr">
        <is>
          <t>2026-02-24</t>
        </is>
      </c>
      <c r="G263" s="8" t="n">
        <v>175</v>
      </c>
      <c r="H263" s="22" t="n">
        <v>-54.8</v>
      </c>
      <c r="I263" s="22" t="n">
        <v>-42.8</v>
      </c>
      <c r="J263" s="22" t="n">
        <v>6.8</v>
      </c>
      <c r="K263" s="23" t="n">
        <v>30.1</v>
      </c>
      <c r="L263" s="23" t="n">
        <v>30.05</v>
      </c>
      <c r="M263" s="23" t="n">
        <v>44</v>
      </c>
      <c r="N263" s="23" t="n">
        <v>21.65</v>
      </c>
      <c r="O263" s="23" t="n">
        <v>33.15</v>
      </c>
      <c r="P263" s="23" t="n">
        <v>33.1</v>
      </c>
      <c r="Q263" s="8">
        <f>K263*G263</f>
        <v/>
      </c>
      <c r="R263" s="24">
        <f>(M263-K263)*G263</f>
        <v/>
      </c>
      <c r="S263" s="25">
        <f>(M263/K263-1)*100</f>
        <v/>
      </c>
      <c r="T263" s="26">
        <f>(N263-K263)*G263</f>
        <v/>
      </c>
      <c r="U263" s="27">
        <f>(N263/K263-1)*100</f>
        <v/>
      </c>
      <c r="V263" s="11">
        <f>(P263-K263)*G263</f>
        <v/>
      </c>
      <c r="W263" s="11" t="n">
        <v>353.69</v>
      </c>
      <c r="X263" s="10">
        <f>W263/Q263*100</f>
        <v/>
      </c>
      <c r="Y263" s="12" t="n">
        <v>-0.196</v>
      </c>
      <c r="Z263" s="14" t="inlineStr">
        <is>
          <t>2026_H1</t>
        </is>
      </c>
    </row>
    <row r="264">
      <c r="A264" s="14" t="inlineStr">
        <is>
          <t>2026-02-10</t>
        </is>
      </c>
      <c r="B264" s="7" t="inlineStr">
        <is>
          <t>BSE</t>
        </is>
      </c>
      <c r="C264" s="14" t="inlineStr">
        <is>
          <t>PE</t>
        </is>
      </c>
      <c r="D264" s="14" t="inlineStr">
        <is>
          <t>mid</t>
        </is>
      </c>
      <c r="E264" s="21" t="n">
        <v>2800</v>
      </c>
      <c r="F264" s="14" t="inlineStr">
        <is>
          <t>2026-02-24</t>
        </is>
      </c>
      <c r="G264" s="8" t="n">
        <v>375</v>
      </c>
      <c r="H264" s="22" t="n">
        <v>172.9</v>
      </c>
      <c r="I264" s="22" t="n">
        <v>7.1</v>
      </c>
      <c r="J264" s="22" t="n">
        <v>60.8</v>
      </c>
      <c r="K264" s="23" t="n">
        <v>20.15</v>
      </c>
      <c r="L264" s="23" t="n">
        <v>20.1</v>
      </c>
      <c r="M264" s="23" t="n">
        <v>25.95</v>
      </c>
      <c r="N264" s="23" t="n">
        <v>12.1</v>
      </c>
      <c r="O264" s="23" t="n">
        <v>12.6</v>
      </c>
      <c r="P264" s="23" t="n">
        <v>12.55</v>
      </c>
      <c r="Q264" s="8">
        <f>K264*G264</f>
        <v/>
      </c>
      <c r="R264" s="24">
        <f>(M264-K264)*G264</f>
        <v/>
      </c>
      <c r="S264" s="25">
        <f>(M264/K264-1)*100</f>
        <v/>
      </c>
      <c r="T264" s="26">
        <f>(N264-K264)*G264</f>
        <v/>
      </c>
      <c r="U264" s="27">
        <f>(N264/K264-1)*100</f>
        <v/>
      </c>
      <c r="V264" s="11">
        <f>(P264-K264)*G264</f>
        <v/>
      </c>
      <c r="W264" s="11" t="n">
        <v>-3154.88</v>
      </c>
      <c r="X264" s="10">
        <f>W264/Q264*100</f>
        <v/>
      </c>
      <c r="Y264" s="12" t="n">
        <v>-2.064</v>
      </c>
      <c r="Z264" s="14" t="inlineStr">
        <is>
          <t>2026_H1</t>
        </is>
      </c>
    </row>
    <row r="265">
      <c r="A265" s="14" t="inlineStr">
        <is>
          <t>2026-02-11</t>
        </is>
      </c>
      <c r="B265" s="7" t="inlineStr">
        <is>
          <t>APOLLOHOSP</t>
        </is>
      </c>
      <c r="C265" s="14" t="inlineStr">
        <is>
          <t>PE</t>
        </is>
      </c>
      <c r="D265" s="14" t="inlineStr">
        <is>
          <t>large</t>
        </is>
      </c>
      <c r="E265" s="21" t="n">
        <v>7150</v>
      </c>
      <c r="F265" s="14" t="inlineStr">
        <is>
          <t>2026-02-24</t>
        </is>
      </c>
      <c r="G265" s="8" t="n">
        <v>125</v>
      </c>
      <c r="H265" s="22" t="n">
        <v>36.1</v>
      </c>
      <c r="I265" s="22" t="n">
        <v>4.5</v>
      </c>
      <c r="J265" s="22" t="n">
        <v>17.2</v>
      </c>
      <c r="K265" s="23" t="n">
        <v>38.55</v>
      </c>
      <c r="L265" s="23" t="n">
        <v>38.5</v>
      </c>
      <c r="M265" s="23" t="n">
        <v>38.5</v>
      </c>
      <c r="N265" s="23" t="n">
        <v>15.6</v>
      </c>
      <c r="O265" s="23" t="n">
        <v>16.9</v>
      </c>
      <c r="P265" s="23" t="n">
        <v>16.85</v>
      </c>
      <c r="Q265" s="8">
        <f>K265*G265</f>
        <v/>
      </c>
      <c r="R265" s="24">
        <f>(M265-K265)*G265</f>
        <v/>
      </c>
      <c r="S265" s="25">
        <f>(M265/K265-1)*100</f>
        <v/>
      </c>
      <c r="T265" s="26">
        <f>(N265-K265)*G265</f>
        <v/>
      </c>
      <c r="U265" s="27">
        <f>(N265/K265-1)*100</f>
        <v/>
      </c>
      <c r="V265" s="11">
        <f>(P265-K265)*G265</f>
        <v/>
      </c>
      <c r="W265" s="11" t="n">
        <v>-2835.16</v>
      </c>
      <c r="X265" s="10">
        <f>W265/Q265*100</f>
        <v/>
      </c>
      <c r="Y265" s="12" t="n">
        <v>-1.377</v>
      </c>
      <c r="Z265" s="14" t="inlineStr">
        <is>
          <t>2026_H1</t>
        </is>
      </c>
    </row>
    <row r="266">
      <c r="A266" s="14" t="inlineStr">
        <is>
          <t>2026-02-11</t>
        </is>
      </c>
      <c r="B266" s="7" t="inlineStr">
        <is>
          <t>BRITANNIA</t>
        </is>
      </c>
      <c r="C266" s="14" t="inlineStr">
        <is>
          <t>PE</t>
        </is>
      </c>
      <c r="D266" s="14" t="inlineStr">
        <is>
          <t>large</t>
        </is>
      </c>
      <c r="E266" s="21" t="n">
        <v>5850</v>
      </c>
      <c r="F266" s="14" t="inlineStr">
        <is>
          <t>2026-02-24</t>
        </is>
      </c>
      <c r="G266" s="8" t="n">
        <v>125</v>
      </c>
      <c r="H266" s="22" t="n">
        <v>17.1</v>
      </c>
      <c r="I266" s="22" t="n">
        <v>4.1</v>
      </c>
      <c r="J266" s="22" t="n">
        <v>8.199999999999999</v>
      </c>
      <c r="K266" s="23" t="n">
        <v>60.6</v>
      </c>
      <c r="L266" s="23" t="n">
        <v>60.55</v>
      </c>
      <c r="M266" s="23" t="n">
        <v>60.55</v>
      </c>
      <c r="N266" s="23" t="n">
        <v>25.4</v>
      </c>
      <c r="O266" s="23" t="n">
        <v>36</v>
      </c>
      <c r="P266" s="23" t="n">
        <v>35.95</v>
      </c>
      <c r="Q266" s="8">
        <f>K266*G266</f>
        <v/>
      </c>
      <c r="R266" s="24">
        <f>(M266-K266)*G266</f>
        <v/>
      </c>
      <c r="S266" s="25">
        <f>(M266/K266-1)*100</f>
        <v/>
      </c>
      <c r="T266" s="26">
        <f>(N266-K266)*G266</f>
        <v/>
      </c>
      <c r="U266" s="27">
        <f>(N266/K266-1)*100</f>
        <v/>
      </c>
      <c r="V266" s="11">
        <f>(P266-K266)*G266</f>
        <v/>
      </c>
      <c r="W266" s="11" t="n">
        <v>-3261.19</v>
      </c>
      <c r="X266" s="10">
        <f>W266/Q266*100</f>
        <v/>
      </c>
      <c r="Y266" s="12" t="n">
        <v>-0.317</v>
      </c>
      <c r="Z266" s="14" t="inlineStr">
        <is>
          <t>2026_H1</t>
        </is>
      </c>
    </row>
    <row r="267">
      <c r="A267" s="14" t="inlineStr">
        <is>
          <t>2026-02-11</t>
        </is>
      </c>
      <c r="B267" s="7" t="inlineStr">
        <is>
          <t>EICHERMOT</t>
        </is>
      </c>
      <c r="C267" s="14" t="inlineStr">
        <is>
          <t>PE</t>
        </is>
      </c>
      <c r="D267" s="14" t="inlineStr">
        <is>
          <t>large</t>
        </is>
      </c>
      <c r="E267" s="21" t="n">
        <v>7200</v>
      </c>
      <c r="F267" s="14" t="inlineStr">
        <is>
          <t>2026-02-24</t>
        </is>
      </c>
      <c r="G267" s="8" t="n">
        <v>100</v>
      </c>
      <c r="H267" s="22" t="n">
        <v>21.4</v>
      </c>
      <c r="I267" s="22" t="n">
        <v>3.7</v>
      </c>
      <c r="J267" s="22" t="n">
        <v>22.9</v>
      </c>
      <c r="K267" s="23" t="n">
        <v>54.65</v>
      </c>
      <c r="L267" s="23" t="n">
        <v>54.6</v>
      </c>
      <c r="M267" s="23" t="n">
        <v>54.6</v>
      </c>
      <c r="N267" s="23" t="n">
        <v>19.05</v>
      </c>
      <c r="O267" s="23" t="n">
        <v>21.9</v>
      </c>
      <c r="P267" s="23" t="n">
        <v>21.85</v>
      </c>
      <c r="Q267" s="8">
        <f>K267*G267</f>
        <v/>
      </c>
      <c r="R267" s="24">
        <f>(M267-K267)*G267</f>
        <v/>
      </c>
      <c r="S267" s="25">
        <f>(M267/K267-1)*100</f>
        <v/>
      </c>
      <c r="T267" s="26">
        <f>(N267-K267)*G267</f>
        <v/>
      </c>
      <c r="U267" s="27">
        <f>(N267/K267-1)*100</f>
        <v/>
      </c>
      <c r="V267" s="11">
        <f>(P267-K267)*G267</f>
        <v/>
      </c>
      <c r="W267" s="11" t="n">
        <v>-3410.36</v>
      </c>
      <c r="X267" s="10">
        <f>W267/Q267*100</f>
        <v/>
      </c>
      <c r="Y267" s="12" t="n">
        <v>-3.544</v>
      </c>
      <c r="Z267" s="14" t="inlineStr">
        <is>
          <t>2026_H1</t>
        </is>
      </c>
    </row>
    <row r="268">
      <c r="A268" s="14" t="inlineStr">
        <is>
          <t>2026-02-11</t>
        </is>
      </c>
      <c r="B268" s="7" t="inlineStr">
        <is>
          <t>GRASIM</t>
        </is>
      </c>
      <c r="C268" s="14" t="inlineStr">
        <is>
          <t>PE</t>
        </is>
      </c>
      <c r="D268" s="14" t="inlineStr">
        <is>
          <t>large</t>
        </is>
      </c>
      <c r="E268" s="21" t="n">
        <v>2900</v>
      </c>
      <c r="F268" s="14" t="inlineStr">
        <is>
          <t>2026-02-24</t>
        </is>
      </c>
      <c r="G268" s="8" t="n">
        <v>250</v>
      </c>
      <c r="H268" s="22" t="n">
        <v>21.1</v>
      </c>
      <c r="I268" s="22" t="n">
        <v>49.1</v>
      </c>
      <c r="J268" s="22" t="n">
        <v>27.4</v>
      </c>
      <c r="K268" s="23" t="n">
        <v>30.05</v>
      </c>
      <c r="L268" s="23" t="n">
        <v>30</v>
      </c>
      <c r="M268" s="23" t="n">
        <v>58.1</v>
      </c>
      <c r="N268" s="23" t="n">
        <v>23.15</v>
      </c>
      <c r="O268" s="23" t="n">
        <v>36.5</v>
      </c>
      <c r="P268" s="23" t="n">
        <v>36.45</v>
      </c>
      <c r="Q268" s="8">
        <f>K268*G268</f>
        <v/>
      </c>
      <c r="R268" s="24">
        <f>(M268-K268)*G268</f>
        <v/>
      </c>
      <c r="S268" s="25">
        <f>(M268/K268-1)*100</f>
        <v/>
      </c>
      <c r="T268" s="26">
        <f>(N268-K268)*G268</f>
        <v/>
      </c>
      <c r="U268" s="27">
        <f>(N268/K268-1)*100</f>
        <v/>
      </c>
      <c r="V268" s="11">
        <f>(P268-K268)*G268</f>
        <v/>
      </c>
      <c r="W268" s="11" t="n">
        <v>1365.66</v>
      </c>
      <c r="X268" s="10">
        <f>W268/Q268*100</f>
        <v/>
      </c>
      <c r="Y268" s="12" t="n">
        <v>1.558</v>
      </c>
      <c r="Z268" s="14" t="inlineStr">
        <is>
          <t>2026_H1</t>
        </is>
      </c>
    </row>
    <row r="269">
      <c r="A269" s="14" t="inlineStr">
        <is>
          <t>2026-02-11</t>
        </is>
      </c>
      <c r="B269" s="7" t="inlineStr">
        <is>
          <t>TITAN</t>
        </is>
      </c>
      <c r="C269" s="14" t="inlineStr">
        <is>
          <t>PE</t>
        </is>
      </c>
      <c r="D269" s="14" t="inlineStr">
        <is>
          <t>large</t>
        </is>
      </c>
      <c r="E269" s="21" t="n">
        <v>4180</v>
      </c>
      <c r="F269" s="14" t="inlineStr">
        <is>
          <t>2026-02-24</t>
        </is>
      </c>
      <c r="G269" s="8" t="n">
        <v>175</v>
      </c>
      <c r="H269" s="22" t="n">
        <v>60.8</v>
      </c>
      <c r="I269" s="22" t="n">
        <v>50.4</v>
      </c>
      <c r="J269" s="22" t="n">
        <v>43.3</v>
      </c>
      <c r="K269" s="23" t="n">
        <v>35.05</v>
      </c>
      <c r="L269" s="23" t="n">
        <v>35</v>
      </c>
      <c r="M269" s="23" t="n">
        <v>67.3</v>
      </c>
      <c r="N269" s="23" t="n">
        <v>25.5</v>
      </c>
      <c r="O269" s="23" t="n">
        <v>51.3</v>
      </c>
      <c r="P269" s="23" t="n">
        <v>51.25</v>
      </c>
      <c r="Q269" s="8">
        <f>K269*G269</f>
        <v/>
      </c>
      <c r="R269" s="24">
        <f>(M269-K269)*G269</f>
        <v/>
      </c>
      <c r="S269" s="25">
        <f>(M269/K269-1)*100</f>
        <v/>
      </c>
      <c r="T269" s="26">
        <f>(N269-K269)*G269</f>
        <v/>
      </c>
      <c r="U269" s="27">
        <f>(N269/K269-1)*100</f>
        <v/>
      </c>
      <c r="V269" s="11">
        <f>(P269-K269)*G269</f>
        <v/>
      </c>
      <c r="W269" s="11" t="n">
        <v>2616.79</v>
      </c>
      <c r="X269" s="10">
        <f>W269/Q269*100</f>
        <v/>
      </c>
      <c r="Y269" s="12" t="n">
        <v>2.32</v>
      </c>
      <c r="Z269" s="14" t="inlineStr">
        <is>
          <t>2026_H1</t>
        </is>
      </c>
    </row>
    <row r="270">
      <c r="A270" s="14" t="inlineStr">
        <is>
          <t>2026-02-12</t>
        </is>
      </c>
      <c r="B270" s="7" t="inlineStr">
        <is>
          <t>M&amp;M</t>
        </is>
      </c>
      <c r="C270" s="14" t="inlineStr">
        <is>
          <t>PE</t>
        </is>
      </c>
      <c r="D270" s="14" t="inlineStr">
        <is>
          <t>large</t>
        </is>
      </c>
      <c r="E270" s="21" t="n">
        <v>3550</v>
      </c>
      <c r="F270" s="14" t="inlineStr">
        <is>
          <t>2026-02-24</t>
        </is>
      </c>
      <c r="G270" s="8" t="n">
        <v>200</v>
      </c>
      <c r="H270" s="22" t="n">
        <v>38.5</v>
      </c>
      <c r="I270" s="22" t="n">
        <v>26.7</v>
      </c>
      <c r="J270" s="22" t="n">
        <v>25.6</v>
      </c>
      <c r="K270" s="23" t="n">
        <v>34.05</v>
      </c>
      <c r="L270" s="23" t="n">
        <v>34</v>
      </c>
      <c r="M270" s="23" t="n">
        <v>50.6</v>
      </c>
      <c r="N270" s="23" t="n">
        <v>31.65</v>
      </c>
      <c r="O270" s="23" t="n">
        <v>47</v>
      </c>
      <c r="P270" s="23" t="n">
        <v>46.95</v>
      </c>
      <c r="Q270" s="8">
        <f>K270*G270</f>
        <v/>
      </c>
      <c r="R270" s="24">
        <f>(M270-K270)*G270</f>
        <v/>
      </c>
      <c r="S270" s="25">
        <f>(M270/K270-1)*100</f>
        <v/>
      </c>
      <c r="T270" s="26">
        <f>(N270-K270)*G270</f>
        <v/>
      </c>
      <c r="U270" s="27">
        <f>(N270/K270-1)*100</f>
        <v/>
      </c>
      <c r="V270" s="11">
        <f>(P270-K270)*G270</f>
        <v/>
      </c>
      <c r="W270" s="11" t="n">
        <v>2349.69</v>
      </c>
      <c r="X270" s="10">
        <f>W270/Q270*100</f>
        <v/>
      </c>
      <c r="Y270" s="12" t="n">
        <v>2.842</v>
      </c>
      <c r="Z270" s="14" t="inlineStr">
        <is>
          <t>2026_H1</t>
        </is>
      </c>
    </row>
    <row r="271">
      <c r="A271" s="14" t="inlineStr">
        <is>
          <t>2026-02-12</t>
        </is>
      </c>
      <c r="B271" s="7" t="inlineStr">
        <is>
          <t>PATANJALI</t>
        </is>
      </c>
      <c r="C271" s="14" t="inlineStr">
        <is>
          <t>PE</t>
        </is>
      </c>
      <c r="D271" s="14" t="inlineStr">
        <is>
          <t>mid</t>
        </is>
      </c>
      <c r="E271" s="21" t="n">
        <v>500</v>
      </c>
      <c r="F271" s="14" t="inlineStr">
        <is>
          <t>2026-02-24</t>
        </is>
      </c>
      <c r="G271" s="8" t="n">
        <v>900</v>
      </c>
      <c r="H271" s="22" t="n">
        <v>60</v>
      </c>
      <c r="I271" s="22" t="n">
        <v>14.9</v>
      </c>
      <c r="J271" s="22" t="n">
        <v>15.2</v>
      </c>
      <c r="K271" s="23" t="n">
        <v>8.550000000000001</v>
      </c>
      <c r="L271" s="23" t="n">
        <v>8.5</v>
      </c>
      <c r="M271" s="23" t="n">
        <v>10</v>
      </c>
      <c r="N271" s="23" t="n">
        <v>4.2</v>
      </c>
      <c r="O271" s="23" t="n">
        <v>5</v>
      </c>
      <c r="P271" s="23" t="n">
        <v>4.95</v>
      </c>
      <c r="Q271" s="8">
        <f>K271*G271</f>
        <v/>
      </c>
      <c r="R271" s="24">
        <f>(M271-K271)*G271</f>
        <v/>
      </c>
      <c r="S271" s="25">
        <f>(M271/K271-1)*100</f>
        <v/>
      </c>
      <c r="T271" s="26">
        <f>(N271-K271)*G271</f>
        <v/>
      </c>
      <c r="U271" s="27">
        <f>(N271/K271-1)*100</f>
        <v/>
      </c>
      <c r="V271" s="11">
        <f>(P271-K271)*G271</f>
        <v/>
      </c>
      <c r="W271" s="11" t="n">
        <v>-3542.21</v>
      </c>
      <c r="X271" s="10">
        <f>W271/Q271*100</f>
        <v/>
      </c>
      <c r="Y271" s="12" t="n">
        <v>-0.635</v>
      </c>
      <c r="Z271" s="14" t="inlineStr">
        <is>
          <t>2026_H1</t>
        </is>
      </c>
    </row>
    <row r="272">
      <c r="A272" s="14" t="inlineStr">
        <is>
          <t>2026-02-13</t>
        </is>
      </c>
      <c r="B272" s="7" t="inlineStr">
        <is>
          <t>BIOCON</t>
        </is>
      </c>
      <c r="C272" s="14" t="inlineStr">
        <is>
          <t>CE</t>
        </is>
      </c>
      <c r="D272" s="14" t="inlineStr">
        <is>
          <t>mid</t>
        </is>
      </c>
      <c r="E272" s="21" t="n">
        <v>405</v>
      </c>
      <c r="F272" s="14" t="inlineStr">
        <is>
          <t>2026-02-24</t>
        </is>
      </c>
      <c r="G272" s="8" t="n">
        <v>2500</v>
      </c>
      <c r="H272" s="22" t="n">
        <v>-163.9</v>
      </c>
      <c r="I272" s="22" t="n">
        <v>-139</v>
      </c>
      <c r="J272" s="22" t="n">
        <v>9.199999999999999</v>
      </c>
      <c r="K272" s="23" t="n">
        <v>2.7</v>
      </c>
      <c r="L272" s="23" t="n">
        <v>2.65</v>
      </c>
      <c r="M272" s="23" t="n">
        <v>4</v>
      </c>
      <c r="N272" s="23" t="n">
        <v>0.8</v>
      </c>
      <c r="O272" s="23" t="n">
        <v>2.4</v>
      </c>
      <c r="P272" s="23" t="n">
        <v>2.35</v>
      </c>
      <c r="Q272" s="8">
        <f>K272*G272</f>
        <v/>
      </c>
      <c r="R272" s="24">
        <f>(M272-K272)*G272</f>
        <v/>
      </c>
      <c r="S272" s="25">
        <f>(M272/K272-1)*100</f>
        <v/>
      </c>
      <c r="T272" s="26">
        <f>(N272-K272)*G272</f>
        <v/>
      </c>
      <c r="U272" s="27">
        <f>(N272/K272-1)*100</f>
        <v/>
      </c>
      <c r="V272" s="11">
        <f>(P272-K272)*G272</f>
        <v/>
      </c>
      <c r="W272" s="11" t="n">
        <v>-1189.03</v>
      </c>
      <c r="X272" s="10">
        <f>W272/Q272*100</f>
        <v/>
      </c>
      <c r="Y272" s="12" t="n">
        <v>1.056</v>
      </c>
      <c r="Z272" s="14" t="inlineStr">
        <is>
          <t>2026_H1</t>
        </is>
      </c>
    </row>
    <row r="273">
      <c r="A273" s="14" t="inlineStr">
        <is>
          <t>2026-02-13</t>
        </is>
      </c>
      <c r="B273" s="7" t="inlineStr">
        <is>
          <t>HAL</t>
        </is>
      </c>
      <c r="C273" s="14" t="inlineStr">
        <is>
          <t>PE</t>
        </is>
      </c>
      <c r="D273" s="14" t="inlineStr">
        <is>
          <t>large</t>
        </is>
      </c>
      <c r="E273" s="21" t="n">
        <v>4000</v>
      </c>
      <c r="F273" s="14" t="inlineStr">
        <is>
          <t>2026-02-24</t>
        </is>
      </c>
      <c r="G273" s="8" t="n">
        <v>150</v>
      </c>
      <c r="H273" s="22" t="n">
        <v>29.6</v>
      </c>
      <c r="I273" s="22" t="n">
        <v>11.8</v>
      </c>
      <c r="J273" s="22" t="n">
        <v>10.7</v>
      </c>
      <c r="K273" s="23" t="n">
        <v>52.05</v>
      </c>
      <c r="L273" s="23" t="n">
        <v>52</v>
      </c>
      <c r="M273" s="23" t="n">
        <v>65.34999999999999</v>
      </c>
      <c r="N273" s="23" t="n">
        <v>29.2</v>
      </c>
      <c r="O273" s="23" t="n">
        <v>40.15</v>
      </c>
      <c r="P273" s="23" t="n">
        <v>40.1</v>
      </c>
      <c r="Q273" s="8">
        <f>K273*G273</f>
        <v/>
      </c>
      <c r="R273" s="24">
        <f>(M273-K273)*G273</f>
        <v/>
      </c>
      <c r="S273" s="25">
        <f>(M273/K273-1)*100</f>
        <v/>
      </c>
      <c r="T273" s="26">
        <f>(N273-K273)*G273</f>
        <v/>
      </c>
      <c r="U273" s="27">
        <f>(N273/K273-1)*100</f>
        <v/>
      </c>
      <c r="V273" s="11">
        <f>(P273-K273)*G273</f>
        <v/>
      </c>
      <c r="W273" s="11" t="n">
        <v>-1992.99</v>
      </c>
      <c r="X273" s="10">
        <f>W273/Q273*100</f>
        <v/>
      </c>
      <c r="Y273" s="12" t="n">
        <v>-0.5590000000000001</v>
      </c>
      <c r="Z273" s="14" t="inlineStr">
        <is>
          <t>2026_H1</t>
        </is>
      </c>
    </row>
    <row r="274">
      <c r="A274" s="14" t="inlineStr">
        <is>
          <t>2026-02-13</t>
        </is>
      </c>
      <c r="B274" s="7" t="inlineStr">
        <is>
          <t>HINDALCO</t>
        </is>
      </c>
      <c r="C274" s="14" t="inlineStr">
        <is>
          <t>CE</t>
        </is>
      </c>
      <c r="D274" s="14" t="inlineStr">
        <is>
          <t>large</t>
        </is>
      </c>
      <c r="E274" s="21" t="n">
        <v>980</v>
      </c>
      <c r="F274" s="14" t="inlineStr">
        <is>
          <t>2026-02-24</t>
        </is>
      </c>
      <c r="G274" s="8" t="n">
        <v>700</v>
      </c>
      <c r="H274" s="22" t="n">
        <v>-45.1</v>
      </c>
      <c r="I274" s="22" t="n">
        <v>-56.8</v>
      </c>
      <c r="J274" s="22" t="n">
        <v>13.9</v>
      </c>
      <c r="K274" s="23" t="n">
        <v>10.1</v>
      </c>
      <c r="L274" s="23" t="n">
        <v>10.05</v>
      </c>
      <c r="M274" s="23" t="n">
        <v>10.3</v>
      </c>
      <c r="N274" s="23" t="n">
        <v>4.2</v>
      </c>
      <c r="O274" s="23" t="n">
        <v>4.65</v>
      </c>
      <c r="P274" s="23" t="n">
        <v>4.6</v>
      </c>
      <c r="Q274" s="8">
        <f>K274*G274</f>
        <v/>
      </c>
      <c r="R274" s="24">
        <f>(M274-K274)*G274</f>
        <v/>
      </c>
      <c r="S274" s="25">
        <f>(M274/K274-1)*100</f>
        <v/>
      </c>
      <c r="T274" s="26">
        <f>(N274-K274)*G274</f>
        <v/>
      </c>
      <c r="U274" s="27">
        <f>(N274/K274-1)*100</f>
        <v/>
      </c>
      <c r="V274" s="11">
        <f>(P274-K274)*G274</f>
        <v/>
      </c>
      <c r="W274" s="11" t="n">
        <v>-4009.46</v>
      </c>
      <c r="X274" s="10">
        <f>W274/Q274*100</f>
        <v/>
      </c>
      <c r="Y274" s="12" t="n">
        <v>-1.575</v>
      </c>
      <c r="Z274" s="14" t="inlineStr">
        <is>
          <t>2026_H1</t>
        </is>
      </c>
    </row>
    <row r="275">
      <c r="A275" s="14" t="inlineStr">
        <is>
          <t>2026-02-13</t>
        </is>
      </c>
      <c r="B275" s="7" t="inlineStr">
        <is>
          <t>HINDUNILVR</t>
        </is>
      </c>
      <c r="C275" s="14" t="inlineStr">
        <is>
          <t>PE</t>
        </is>
      </c>
      <c r="D275" s="14" t="inlineStr">
        <is>
          <t>large</t>
        </is>
      </c>
      <c r="E275" s="21" t="n">
        <v>2360</v>
      </c>
      <c r="F275" s="14" t="inlineStr">
        <is>
          <t>2026-02-24</t>
        </is>
      </c>
      <c r="G275" s="8" t="n">
        <v>300</v>
      </c>
      <c r="H275" s="22" t="n">
        <v>120.9</v>
      </c>
      <c r="I275" s="22" t="n">
        <v>145.1</v>
      </c>
      <c r="J275" s="22" t="n">
        <v>3.9</v>
      </c>
      <c r="K275" s="23" t="n">
        <v>26.05</v>
      </c>
      <c r="L275" s="23" t="n">
        <v>26</v>
      </c>
      <c r="M275" s="23" t="n">
        <v>71</v>
      </c>
      <c r="N275" s="23" t="n">
        <v>26</v>
      </c>
      <c r="O275" s="23" t="n">
        <v>66.55</v>
      </c>
      <c r="P275" s="23" t="n">
        <v>66.5</v>
      </c>
      <c r="Q275" s="8">
        <f>K275*G275</f>
        <v/>
      </c>
      <c r="R275" s="24">
        <f>(M275-K275)*G275</f>
        <v/>
      </c>
      <c r="S275" s="25">
        <f>(M275/K275-1)*100</f>
        <v/>
      </c>
      <c r="T275" s="26">
        <f>(N275-K275)*G275</f>
        <v/>
      </c>
      <c r="U275" s="27">
        <f>(N275/K275-1)*100</f>
        <v/>
      </c>
      <c r="V275" s="11">
        <f>(P275-K275)*G275</f>
        <v/>
      </c>
      <c r="W275" s="11" t="n">
        <v>11768.31</v>
      </c>
      <c r="X275" s="10">
        <f>W275/Q275*100</f>
        <v/>
      </c>
      <c r="Y275" s="12" t="n">
        <v>3.95</v>
      </c>
      <c r="Z275" s="14" t="inlineStr">
        <is>
          <t>2026_H1</t>
        </is>
      </c>
    </row>
    <row r="276">
      <c r="A276" s="14" t="inlineStr">
        <is>
          <t>2026-02-13</t>
        </is>
      </c>
      <c r="B276" s="7" t="inlineStr">
        <is>
          <t>INDHOTEL</t>
        </is>
      </c>
      <c r="C276" s="14" t="inlineStr">
        <is>
          <t>PE</t>
        </is>
      </c>
      <c r="D276" s="14" t="inlineStr">
        <is>
          <t>large</t>
        </is>
      </c>
      <c r="E276" s="21" t="n">
        <v>675</v>
      </c>
      <c r="F276" s="14" t="inlineStr">
        <is>
          <t>2026-02-24</t>
        </is>
      </c>
      <c r="G276" s="8" t="n">
        <v>1000</v>
      </c>
      <c r="H276" s="22" t="n">
        <v>50.9</v>
      </c>
      <c r="I276" s="22" t="n">
        <v>199.8</v>
      </c>
      <c r="J276" s="22" t="n">
        <v>12.2</v>
      </c>
      <c r="K276" s="23" t="n">
        <v>5.45</v>
      </c>
      <c r="L276" s="23" t="n">
        <v>5.4</v>
      </c>
      <c r="M276" s="23" t="n">
        <v>9.85</v>
      </c>
      <c r="N276" s="23" t="n">
        <v>2.35</v>
      </c>
      <c r="O276" s="23" t="n">
        <v>3.65</v>
      </c>
      <c r="P276" s="23" t="n">
        <v>3.6</v>
      </c>
      <c r="Q276" s="8">
        <f>K276*G276</f>
        <v/>
      </c>
      <c r="R276" s="24">
        <f>(M276-K276)*G276</f>
        <v/>
      </c>
      <c r="S276" s="25">
        <f>(M276/K276-1)*100</f>
        <v/>
      </c>
      <c r="T276" s="26">
        <f>(N276-K276)*G276</f>
        <v/>
      </c>
      <c r="U276" s="27">
        <f>(N276/K276-1)*100</f>
        <v/>
      </c>
      <c r="V276" s="11">
        <f>(P276-K276)*G276</f>
        <v/>
      </c>
      <c r="W276" s="11" t="n">
        <v>-1997.07</v>
      </c>
      <c r="X276" s="10">
        <f>W276/Q276*100</f>
        <v/>
      </c>
      <c r="Y276" s="12" t="n">
        <v>1.004</v>
      </c>
      <c r="Z276" s="14" t="inlineStr">
        <is>
          <t>2026_H1</t>
        </is>
      </c>
    </row>
    <row r="277">
      <c r="A277" s="14" t="inlineStr">
        <is>
          <t>2026-02-13</t>
        </is>
      </c>
      <c r="B277" s="7" t="inlineStr">
        <is>
          <t>MUTHOOTFIN</t>
        </is>
      </c>
      <c r="C277" s="14" t="inlineStr">
        <is>
          <t>PE</t>
        </is>
      </c>
      <c r="D277" s="14" t="inlineStr">
        <is>
          <t>large</t>
        </is>
      </c>
      <c r="E277" s="21" t="n">
        <v>3400</v>
      </c>
      <c r="F277" s="14" t="inlineStr">
        <is>
          <t>2026-02-24</t>
        </is>
      </c>
      <c r="G277" s="8" t="n">
        <v>275</v>
      </c>
      <c r="H277" s="22" t="n">
        <v>102.9</v>
      </c>
      <c r="I277" s="22" t="n">
        <v>17.1</v>
      </c>
      <c r="J277" s="22" t="n">
        <v>57.8</v>
      </c>
      <c r="K277" s="23" t="n">
        <v>25.05</v>
      </c>
      <c r="L277" s="23" t="n">
        <v>25</v>
      </c>
      <c r="M277" s="23" t="n">
        <v>72.09999999999999</v>
      </c>
      <c r="N277" s="23" t="n">
        <v>18.25</v>
      </c>
      <c r="O277" s="23" t="n">
        <v>49.55</v>
      </c>
      <c r="P277" s="23" t="n">
        <v>49.5</v>
      </c>
      <c r="Q277" s="8">
        <f>K277*G277</f>
        <v/>
      </c>
      <c r="R277" s="24">
        <f>(M277-K277)*G277</f>
        <v/>
      </c>
      <c r="S277" s="25">
        <f>(M277/K277-1)*100</f>
        <v/>
      </c>
      <c r="T277" s="26">
        <f>(N277-K277)*G277</f>
        <v/>
      </c>
      <c r="U277" s="27">
        <f>(N277/K277-1)*100</f>
        <v/>
      </c>
      <c r="V277" s="11">
        <f>(P277-K277)*G277</f>
        <v/>
      </c>
      <c r="W277" s="11" t="n">
        <v>6442.29</v>
      </c>
      <c r="X277" s="10">
        <f>W277/Q277*100</f>
        <v/>
      </c>
      <c r="Y277" s="12" t="n">
        <v>7.336</v>
      </c>
      <c r="Z277" s="14" t="inlineStr">
        <is>
          <t>2026_H1</t>
        </is>
      </c>
    </row>
    <row r="278">
      <c r="A278" s="14" t="inlineStr">
        <is>
          <t>2026-02-13</t>
        </is>
      </c>
      <c r="B278" s="7" t="inlineStr">
        <is>
          <t>PIIND</t>
        </is>
      </c>
      <c r="C278" s="14" t="inlineStr">
        <is>
          <t>CE</t>
        </is>
      </c>
      <c r="D278" s="14" t="inlineStr">
        <is>
          <t>mid</t>
        </is>
      </c>
      <c r="E278" s="21" t="n">
        <v>3280</v>
      </c>
      <c r="F278" s="14" t="inlineStr">
        <is>
          <t>2026-02-24</t>
        </is>
      </c>
      <c r="G278" s="8" t="n">
        <v>175</v>
      </c>
      <c r="H278" s="22" t="n">
        <v>-16.5</v>
      </c>
      <c r="I278" s="22" t="n">
        <v>-23.9</v>
      </c>
      <c r="J278" s="22" t="n">
        <v>-27.6</v>
      </c>
      <c r="K278" s="23" t="n">
        <v>40</v>
      </c>
      <c r="L278" s="23" t="n">
        <v>39.95</v>
      </c>
      <c r="M278" s="23" t="n">
        <v>48.8</v>
      </c>
      <c r="N278" s="23" t="n">
        <v>18.85</v>
      </c>
      <c r="O278" s="23" t="n">
        <v>21.65</v>
      </c>
      <c r="P278" s="23" t="n">
        <v>21.6</v>
      </c>
      <c r="Q278" s="8">
        <f>K278*G278</f>
        <v/>
      </c>
      <c r="R278" s="24">
        <f>(M278-K278)*G278</f>
        <v/>
      </c>
      <c r="S278" s="25">
        <f>(M278/K278-1)*100</f>
        <v/>
      </c>
      <c r="T278" s="26">
        <f>(N278-K278)*G278</f>
        <v/>
      </c>
      <c r="U278" s="27">
        <f>(N278/K278-1)*100</f>
        <v/>
      </c>
      <c r="V278" s="11">
        <f>(P278-K278)*G278</f>
        <v/>
      </c>
      <c r="W278" s="11" t="n">
        <v>-3493.21</v>
      </c>
      <c r="X278" s="10">
        <f>W278/Q278*100</f>
        <v/>
      </c>
      <c r="Y278" s="12" t="n">
        <v>3.809</v>
      </c>
      <c r="Z278" s="14" t="inlineStr">
        <is>
          <t>2026_H1</t>
        </is>
      </c>
    </row>
    <row r="279">
      <c r="A279" s="14" t="inlineStr">
        <is>
          <t>2026-02-16</t>
        </is>
      </c>
      <c r="B279" s="7" t="inlineStr">
        <is>
          <t>FORTIS</t>
        </is>
      </c>
      <c r="C279" s="14" t="inlineStr">
        <is>
          <t>CE</t>
        </is>
      </c>
      <c r="D279" s="14" t="inlineStr">
        <is>
          <t>mid</t>
        </is>
      </c>
      <c r="E279" s="21" t="n">
        <v>960</v>
      </c>
      <c r="F279" s="14" t="inlineStr">
        <is>
          <t>2026-02-24</t>
        </is>
      </c>
      <c r="G279" s="8" t="n">
        <v>775</v>
      </c>
      <c r="H279" s="22" t="n">
        <v>-22.4</v>
      </c>
      <c r="I279" s="22" t="n">
        <v>-40</v>
      </c>
      <c r="J279" s="22" t="n">
        <v>17.5</v>
      </c>
      <c r="K279" s="23" t="n">
        <v>8.050000000000001</v>
      </c>
      <c r="L279" s="23" t="n">
        <v>8</v>
      </c>
      <c r="M279" s="23" t="n">
        <v>8.449999999999999</v>
      </c>
      <c r="N279" s="23" t="n">
        <v>2.3</v>
      </c>
      <c r="O279" s="23" t="n">
        <v>4.2</v>
      </c>
      <c r="P279" s="23" t="n">
        <v>4.15</v>
      </c>
      <c r="Q279" s="8">
        <f>K279*G279</f>
        <v/>
      </c>
      <c r="R279" s="24">
        <f>(M279-K279)*G279</f>
        <v/>
      </c>
      <c r="S279" s="25">
        <f>(M279/K279-1)*100</f>
        <v/>
      </c>
      <c r="T279" s="26">
        <f>(N279-K279)*G279</f>
        <v/>
      </c>
      <c r="U279" s="27">
        <f>(N279/K279-1)*100</f>
        <v/>
      </c>
      <c r="V279" s="11">
        <f>(P279-K279)*G279</f>
        <v/>
      </c>
      <c r="W279" s="11" t="n">
        <v>-3267.79</v>
      </c>
      <c r="X279" s="10">
        <f>W279/Q279*100</f>
        <v/>
      </c>
      <c r="Y279" s="12" t="n">
        <v>-0.104</v>
      </c>
      <c r="Z279" s="14" t="inlineStr">
        <is>
          <t>2026_H1</t>
        </is>
      </c>
    </row>
    <row r="280">
      <c r="A280" s="14" t="inlineStr">
        <is>
          <t>2026-02-16</t>
        </is>
      </c>
      <c r="B280" s="7" t="inlineStr">
        <is>
          <t>INOXWIND</t>
        </is>
      </c>
      <c r="C280" s="14" t="inlineStr">
        <is>
          <t>PE</t>
        </is>
      </c>
      <c r="D280" s="14" t="inlineStr">
        <is>
          <t>small</t>
        </is>
      </c>
      <c r="E280" s="21" t="n">
        <v>100</v>
      </c>
      <c r="F280" s="14" t="inlineStr">
        <is>
          <t>2026-02-24</t>
        </is>
      </c>
      <c r="G280" s="8" t="n">
        <v>3575</v>
      </c>
      <c r="H280" s="22" t="n">
        <v>13.4</v>
      </c>
      <c r="I280" s="22" t="n">
        <v>5</v>
      </c>
      <c r="J280" s="22" t="n">
        <v>32.5</v>
      </c>
      <c r="K280" s="23" t="n">
        <v>2.03</v>
      </c>
      <c r="L280" s="23" t="n">
        <v>1.98</v>
      </c>
      <c r="M280" s="23" t="n">
        <v>5.05</v>
      </c>
      <c r="N280" s="23" t="n">
        <v>1.13</v>
      </c>
      <c r="O280" s="23" t="n">
        <v>2.49</v>
      </c>
      <c r="P280" s="23" t="n">
        <v>2.44</v>
      </c>
      <c r="Q280" s="8">
        <f>K280*G280</f>
        <v/>
      </c>
      <c r="R280" s="24">
        <f>(M280-K280)*G280</f>
        <v/>
      </c>
      <c r="S280" s="25">
        <f>(M280/K280-1)*100</f>
        <v/>
      </c>
      <c r="T280" s="26">
        <f>(N280-K280)*G280</f>
        <v/>
      </c>
      <c r="U280" s="27">
        <f>(N280/K280-1)*100</f>
        <v/>
      </c>
      <c r="V280" s="11">
        <f>(P280-K280)*G280</f>
        <v/>
      </c>
      <c r="W280" s="11" t="n">
        <v>919.11</v>
      </c>
      <c r="X280" s="10">
        <f>W280/Q280*100</f>
        <v/>
      </c>
      <c r="Y280" s="12" t="n">
        <v>4.798</v>
      </c>
      <c r="Z280" s="14" t="inlineStr">
        <is>
          <t>2026_H1</t>
        </is>
      </c>
    </row>
    <row r="281">
      <c r="A281" s="14" t="inlineStr">
        <is>
          <t>2026-02-16</t>
        </is>
      </c>
      <c r="B281" s="7" t="inlineStr">
        <is>
          <t>TORNTPHARM</t>
        </is>
      </c>
      <c r="C281" s="14" t="inlineStr">
        <is>
          <t>PE</t>
        </is>
      </c>
      <c r="D281" s="14" t="inlineStr">
        <is>
          <t>large</t>
        </is>
      </c>
      <c r="E281" s="21" t="n">
        <v>4020</v>
      </c>
      <c r="F281" s="14" t="inlineStr">
        <is>
          <t>2026-02-24</t>
        </is>
      </c>
      <c r="G281" s="8" t="n">
        <v>250</v>
      </c>
      <c r="H281" s="22" t="n">
        <v>26.2</v>
      </c>
      <c r="I281" s="22" t="n">
        <v>7.4</v>
      </c>
      <c r="J281" s="22" t="n">
        <v>17.6</v>
      </c>
      <c r="K281" s="23" t="n">
        <v>15</v>
      </c>
      <c r="L281" s="23" t="n">
        <v>14.95</v>
      </c>
      <c r="M281" s="23" t="n">
        <v>25.25</v>
      </c>
      <c r="N281" s="23" t="n">
        <v>14.4</v>
      </c>
      <c r="O281" s="23" t="n">
        <v>15.15</v>
      </c>
      <c r="P281" s="23" t="n">
        <v>15.1</v>
      </c>
      <c r="Q281" s="8">
        <f>K281*G281</f>
        <v/>
      </c>
      <c r="R281" s="24">
        <f>(M281-K281)*G281</f>
        <v/>
      </c>
      <c r="S281" s="25">
        <f>(M281/K281-1)*100</f>
        <v/>
      </c>
      <c r="T281" s="26">
        <f>(N281-K281)*G281</f>
        <v/>
      </c>
      <c r="U281" s="27">
        <f>(N281/K281-1)*100</f>
        <v/>
      </c>
      <c r="V281" s="11">
        <f>(P281-K281)*G281</f>
        <v/>
      </c>
      <c r="W281" s="11" t="n">
        <v>-106.37</v>
      </c>
      <c r="X281" s="10">
        <f>W281/Q281*100</f>
        <v/>
      </c>
      <c r="Y281" s="12" t="n">
        <v>-2.828</v>
      </c>
      <c r="Z281" s="14" t="inlineStr">
        <is>
          <t>2026_H1</t>
        </is>
      </c>
    </row>
    <row r="282">
      <c r="A282" s="14" t="inlineStr">
        <is>
          <t>2026-04-10</t>
        </is>
      </c>
      <c r="B282" s="7" t="inlineStr">
        <is>
          <t>TCS</t>
        </is>
      </c>
      <c r="C282" s="14" t="inlineStr">
        <is>
          <t>PE</t>
        </is>
      </c>
      <c r="D282" s="14" t="inlineStr">
        <is>
          <t>large</t>
        </is>
      </c>
      <c r="E282" s="21" t="n">
        <v>2500</v>
      </c>
      <c r="F282" s="14" t="inlineStr">
        <is>
          <t>2026-04-28</t>
        </is>
      </c>
      <c r="G282" s="8" t="n">
        <v>175</v>
      </c>
      <c r="H282" s="22" t="n">
        <v>12.1</v>
      </c>
      <c r="I282" s="22" t="n">
        <v>28.6</v>
      </c>
      <c r="J282" s="22" t="n">
        <v>9.6</v>
      </c>
      <c r="K282" s="23" t="n">
        <v>39.75</v>
      </c>
      <c r="L282" s="23" t="n">
        <v>39.7</v>
      </c>
      <c r="M282" s="23" t="n">
        <v>68.34999999999999</v>
      </c>
      <c r="N282" s="23" t="n">
        <v>37.2</v>
      </c>
      <c r="O282" s="23" t="n">
        <v>51.95</v>
      </c>
      <c r="P282" s="23" t="n">
        <v>51.9</v>
      </c>
      <c r="Q282" s="8">
        <f>K282*G282</f>
        <v/>
      </c>
      <c r="R282" s="24">
        <f>(M282-K282)*G282</f>
        <v/>
      </c>
      <c r="S282" s="25">
        <f>(M282/K282-1)*100</f>
        <v/>
      </c>
      <c r="T282" s="26">
        <f>(N282-K282)*G282</f>
        <v/>
      </c>
      <c r="U282" s="27">
        <f>(N282/K282-1)*100</f>
        <v/>
      </c>
      <c r="V282" s="11">
        <f>(P282-K282)*G282</f>
        <v/>
      </c>
      <c r="W282" s="11" t="n">
        <v>1898.08</v>
      </c>
      <c r="X282" s="10">
        <f>W282/Q282*100</f>
        <v/>
      </c>
      <c r="Y282" s="12" t="n">
        <v>1.617</v>
      </c>
      <c r="Z282" s="14" t="inlineStr">
        <is>
          <t>2026_H1</t>
        </is>
      </c>
    </row>
    <row r="283">
      <c r="A283" s="14" t="inlineStr">
        <is>
          <t>2026-04-20</t>
        </is>
      </c>
      <c r="B283" s="7" t="inlineStr">
        <is>
          <t>HDFCBANK</t>
        </is>
      </c>
      <c r="C283" s="14" t="inlineStr">
        <is>
          <t>PE</t>
        </is>
      </c>
      <c r="D283" s="14" t="inlineStr">
        <is>
          <t>large</t>
        </is>
      </c>
      <c r="E283" s="21" t="n">
        <v>790</v>
      </c>
      <c r="F283" s="14" t="inlineStr">
        <is>
          <t>2026-04-28</t>
        </is>
      </c>
      <c r="G283" s="8" t="n">
        <v>550</v>
      </c>
      <c r="H283" s="22" t="n">
        <v>10.7</v>
      </c>
      <c r="I283" s="22" t="n">
        <v>2.7</v>
      </c>
      <c r="J283" s="22" t="n">
        <v>0.5</v>
      </c>
      <c r="K283" s="23" t="n">
        <v>10.55</v>
      </c>
      <c r="L283" s="23" t="n">
        <v>10.5</v>
      </c>
      <c r="M283" s="23" t="n">
        <v>13.05</v>
      </c>
      <c r="N283" s="23" t="n">
        <v>7.3</v>
      </c>
      <c r="O283" s="23" t="n">
        <v>11.1</v>
      </c>
      <c r="P283" s="23" t="n">
        <v>11.05</v>
      </c>
      <c r="Q283" s="8">
        <f>K283*G283</f>
        <v/>
      </c>
      <c r="R283" s="24">
        <f>(M283-K283)*G283</f>
        <v/>
      </c>
      <c r="S283" s="25">
        <f>(M283/K283-1)*100</f>
        <v/>
      </c>
      <c r="T283" s="26">
        <f>(N283-K283)*G283</f>
        <v/>
      </c>
      <c r="U283" s="27">
        <f>(N283/K283-1)*100</f>
        <v/>
      </c>
      <c r="V283" s="11">
        <f>(P283-K283)*G283</f>
        <v/>
      </c>
      <c r="W283" s="11" t="n">
        <v>94.70999999999999</v>
      </c>
      <c r="X283" s="10">
        <f>W283/Q283*100</f>
        <v/>
      </c>
      <c r="Y283" s="12" t="n">
        <v>0.207</v>
      </c>
      <c r="Z283" s="14" t="inlineStr">
        <is>
          <t>2026_H1</t>
        </is>
      </c>
    </row>
    <row r="284">
      <c r="A284" s="14" t="inlineStr">
        <is>
          <t>2026-04-21</t>
        </is>
      </c>
      <c r="B284" s="7" t="inlineStr">
        <is>
          <t>PNBHOUSING</t>
        </is>
      </c>
      <c r="C284" s="14" t="inlineStr">
        <is>
          <t>PE</t>
        </is>
      </c>
      <c r="D284" s="14" t="inlineStr">
        <is>
          <t>small</t>
        </is>
      </c>
      <c r="E284" s="21" t="n">
        <v>910</v>
      </c>
      <c r="F284" s="14" t="inlineStr">
        <is>
          <t>2026-04-28</t>
        </is>
      </c>
      <c r="G284" s="8" t="n">
        <v>650</v>
      </c>
      <c r="H284" s="22" t="n">
        <v>19.2</v>
      </c>
      <c r="I284" s="22" t="n">
        <v>26</v>
      </c>
      <c r="J284" s="22" t="n">
        <v>7.9</v>
      </c>
      <c r="K284" s="23" t="n">
        <v>8.1</v>
      </c>
      <c r="L284" s="23" t="n">
        <v>8.050000000000001</v>
      </c>
      <c r="M284" s="23" t="n">
        <v>8.050000000000001</v>
      </c>
      <c r="N284" s="23" t="n">
        <v>2.6</v>
      </c>
      <c r="O284" s="23" t="n">
        <v>3.95</v>
      </c>
      <c r="P284" s="23" t="n">
        <v>3.9</v>
      </c>
      <c r="Q284" s="8">
        <f>K284*G284</f>
        <v/>
      </c>
      <c r="R284" s="24">
        <f>(M284-K284)*G284</f>
        <v/>
      </c>
      <c r="S284" s="25">
        <f>(M284/K284-1)*100</f>
        <v/>
      </c>
      <c r="T284" s="26">
        <f>(N284-K284)*G284</f>
        <v/>
      </c>
      <c r="U284" s="27">
        <f>(N284/K284-1)*100</f>
        <v/>
      </c>
      <c r="V284" s="11">
        <f>(P284-K284)*G284</f>
        <v/>
      </c>
      <c r="W284" s="11" t="n">
        <v>-3018.44</v>
      </c>
      <c r="X284" s="10">
        <f>W284/Q284*100</f>
        <v/>
      </c>
      <c r="Y284" s="12" t="n">
        <v>-3.117</v>
      </c>
      <c r="Z284" s="14" t="inlineStr">
        <is>
          <t>2026_H1</t>
        </is>
      </c>
    </row>
    <row r="285">
      <c r="A285" s="14" t="inlineStr">
        <is>
          <t>2026-04-22</t>
        </is>
      </c>
      <c r="B285" s="7" t="inlineStr">
        <is>
          <t>NESTLEIND</t>
        </is>
      </c>
      <c r="C285" s="14" t="inlineStr">
        <is>
          <t>PE</t>
        </is>
      </c>
      <c r="D285" s="14" t="inlineStr">
        <is>
          <t>large</t>
        </is>
      </c>
      <c r="E285" s="21" t="n">
        <v>1360</v>
      </c>
      <c r="F285" s="14" t="inlineStr">
        <is>
          <t>2026-04-28</t>
        </is>
      </c>
      <c r="G285" s="8" t="n">
        <v>500</v>
      </c>
      <c r="H285" s="22" t="n">
        <v>27.2</v>
      </c>
      <c r="I285" s="22" t="n">
        <v>11.3</v>
      </c>
      <c r="J285" s="22" t="n">
        <v>22.6</v>
      </c>
      <c r="K285" s="23" t="n">
        <v>11.2</v>
      </c>
      <c r="L285" s="23" t="n">
        <v>11.15</v>
      </c>
      <c r="M285" s="23" t="n">
        <v>13.55</v>
      </c>
      <c r="N285" s="23" t="n">
        <v>4.55</v>
      </c>
      <c r="O285" s="23" t="n">
        <v>6.05</v>
      </c>
      <c r="P285" s="23" t="n">
        <v>6</v>
      </c>
      <c r="Q285" s="8">
        <f>K285*G285</f>
        <v/>
      </c>
      <c r="R285" s="24">
        <f>(M285-K285)*G285</f>
        <v/>
      </c>
      <c r="S285" s="25">
        <f>(M285/K285-1)*100</f>
        <v/>
      </c>
      <c r="T285" s="26">
        <f>(N285-K285)*G285</f>
        <v/>
      </c>
      <c r="U285" s="27">
        <f>(N285/K285-1)*100</f>
        <v/>
      </c>
      <c r="V285" s="11">
        <f>(P285-K285)*G285</f>
        <v/>
      </c>
      <c r="W285" s="11" t="n">
        <v>-2741.49</v>
      </c>
      <c r="X285" s="10">
        <f>W285/Q285*100</f>
        <v/>
      </c>
      <c r="Y285" s="12" t="n">
        <v>-0.345</v>
      </c>
      <c r="Z285" s="14" t="inlineStr">
        <is>
          <t>2026_H1</t>
        </is>
      </c>
    </row>
    <row r="286">
      <c r="A286" s="14" t="inlineStr">
        <is>
          <t>2026-04-22</t>
        </is>
      </c>
      <c r="B286" s="7" t="inlineStr">
        <is>
          <t>PERSISTENT</t>
        </is>
      </c>
      <c r="C286" s="14" t="inlineStr">
        <is>
          <t>PE</t>
        </is>
      </c>
      <c r="D286" s="14" t="inlineStr">
        <is>
          <t>mid</t>
        </is>
      </c>
      <c r="E286" s="21" t="n">
        <v>5000</v>
      </c>
      <c r="F286" s="14" t="inlineStr">
        <is>
          <t>2026-04-28</t>
        </is>
      </c>
      <c r="G286" s="8" t="n">
        <v>100</v>
      </c>
      <c r="H286" s="22" t="n">
        <v>33.7</v>
      </c>
      <c r="I286" s="22" t="n">
        <v>20.4</v>
      </c>
      <c r="J286" s="22" t="n">
        <v>25.1</v>
      </c>
      <c r="K286" s="23" t="n">
        <v>70.05</v>
      </c>
      <c r="L286" s="23" t="n">
        <v>70</v>
      </c>
      <c r="M286" s="23" t="n">
        <v>95.5</v>
      </c>
      <c r="N286" s="23" t="n">
        <v>59.05</v>
      </c>
      <c r="O286" s="23" t="n">
        <v>72.3</v>
      </c>
      <c r="P286" s="23" t="n">
        <v>72.25</v>
      </c>
      <c r="Q286" s="8">
        <f>K286*G286</f>
        <v/>
      </c>
      <c r="R286" s="24">
        <f>(M286-K286)*G286</f>
        <v/>
      </c>
      <c r="S286" s="25">
        <f>(M286/K286-1)*100</f>
        <v/>
      </c>
      <c r="T286" s="26">
        <f>(N286-K286)*G286</f>
        <v/>
      </c>
      <c r="U286" s="27">
        <f>(N286/K286-1)*100</f>
        <v/>
      </c>
      <c r="V286" s="11">
        <f>(P286-K286)*G286</f>
        <v/>
      </c>
      <c r="W286" s="11" t="n">
        <v>-128.84</v>
      </c>
      <c r="X286" s="10">
        <f>W286/Q286*100</f>
        <v/>
      </c>
      <c r="Y286" s="12" t="n">
        <v>2.769</v>
      </c>
      <c r="Z286" s="14" t="inlineStr">
        <is>
          <t>2026_H1</t>
        </is>
      </c>
    </row>
    <row r="287">
      <c r="A287" s="14" t="inlineStr">
        <is>
          <t>2026-04-22</t>
        </is>
      </c>
      <c r="B287" s="7" t="inlineStr">
        <is>
          <t>TATAELXSI</t>
        </is>
      </c>
      <c r="C287" s="14" t="inlineStr">
        <is>
          <t>PE</t>
        </is>
      </c>
      <c r="D287" s="14" t="inlineStr">
        <is>
          <t>small</t>
        </is>
      </c>
      <c r="E287" s="21" t="n">
        <v>4450</v>
      </c>
      <c r="F287" s="14" t="inlineStr">
        <is>
          <t>2026-04-28</t>
        </is>
      </c>
      <c r="G287" s="8" t="n">
        <v>100</v>
      </c>
      <c r="H287" s="22" t="n">
        <v>27.8</v>
      </c>
      <c r="I287" s="22" t="n">
        <v>102.4</v>
      </c>
      <c r="J287" s="22" t="n">
        <v>9.4</v>
      </c>
      <c r="K287" s="23" t="n">
        <v>65.05</v>
      </c>
      <c r="L287" s="23" t="n">
        <v>65</v>
      </c>
      <c r="M287" s="23" t="n">
        <v>196.75</v>
      </c>
      <c r="N287" s="23" t="n">
        <v>62.1</v>
      </c>
      <c r="O287" s="23" t="n">
        <v>189</v>
      </c>
      <c r="P287" s="23" t="n">
        <v>188.95</v>
      </c>
      <c r="Q287" s="8">
        <f>K287*G287</f>
        <v/>
      </c>
      <c r="R287" s="24">
        <f>(M287-K287)*G287</f>
        <v/>
      </c>
      <c r="S287" s="25">
        <f>(M287/K287-1)*100</f>
        <v/>
      </c>
      <c r="T287" s="26">
        <f>(N287-K287)*G287</f>
        <v/>
      </c>
      <c r="U287" s="27">
        <f>(N287/K287-1)*100</f>
        <v/>
      </c>
      <c r="V287" s="11">
        <f>(P287-K287)*G287</f>
        <v/>
      </c>
      <c r="W287" s="11" t="n">
        <v>11541.58</v>
      </c>
      <c r="X287" s="10">
        <f>W287/Q287*100</f>
        <v/>
      </c>
      <c r="Y287" s="12" t="n">
        <v>4.948</v>
      </c>
      <c r="Z287" s="14" t="inlineStr">
        <is>
          <t>2026_H1</t>
        </is>
      </c>
    </row>
    <row r="288">
      <c r="A288" s="14" t="inlineStr">
        <is>
          <t>2026-04-23</t>
        </is>
      </c>
      <c r="B288" s="7" t="inlineStr">
        <is>
          <t>HAVELLS</t>
        </is>
      </c>
      <c r="C288" s="14" t="inlineStr">
        <is>
          <t>PE</t>
        </is>
      </c>
      <c r="D288" s="14" t="inlineStr">
        <is>
          <t>mid</t>
        </is>
      </c>
      <c r="E288" s="21" t="n">
        <v>1260</v>
      </c>
      <c r="F288" s="14" t="inlineStr">
        <is>
          <t>2026-04-28</t>
        </is>
      </c>
      <c r="G288" s="8" t="n">
        <v>500</v>
      </c>
      <c r="H288" s="22" t="n">
        <v>39.9</v>
      </c>
      <c r="I288" s="22" t="n">
        <v>141.1</v>
      </c>
      <c r="J288" s="22" t="n">
        <v>2.5</v>
      </c>
      <c r="K288" s="23" t="n">
        <v>12.8</v>
      </c>
      <c r="L288" s="23" t="n">
        <v>12.75</v>
      </c>
      <c r="M288" s="23" t="n">
        <v>33.4</v>
      </c>
      <c r="N288" s="23" t="n">
        <v>11.9</v>
      </c>
      <c r="O288" s="23" t="n">
        <v>29.4</v>
      </c>
      <c r="P288" s="23" t="n">
        <v>29.35</v>
      </c>
      <c r="Q288" s="8">
        <f>K288*G288</f>
        <v/>
      </c>
      <c r="R288" s="24">
        <f>(M288-K288)*G288</f>
        <v/>
      </c>
      <c r="S288" s="25">
        <f>(M288/K288-1)*100</f>
        <v/>
      </c>
      <c r="T288" s="26">
        <f>(N288-K288)*G288</f>
        <v/>
      </c>
      <c r="U288" s="27">
        <f>(N288/K288-1)*100</f>
        <v/>
      </c>
      <c r="V288" s="11">
        <f>(P288-K288)*G288</f>
        <v/>
      </c>
      <c r="W288" s="11" t="n">
        <v>7775.25</v>
      </c>
      <c r="X288" s="10">
        <f>W288/Q288*100</f>
        <v/>
      </c>
      <c r="Y288" s="12" t="n">
        <v>2.649</v>
      </c>
      <c r="Z288" s="14" t="inlineStr">
        <is>
          <t>2026_H1</t>
        </is>
      </c>
    </row>
    <row r="289">
      <c r="A289" s="14" t="inlineStr">
        <is>
          <t>2026-04-23</t>
        </is>
      </c>
      <c r="B289" s="7" t="inlineStr">
        <is>
          <t>OFSS</t>
        </is>
      </c>
      <c r="C289" s="14" t="inlineStr">
        <is>
          <t>PE</t>
        </is>
      </c>
      <c r="D289" s="14" t="inlineStr">
        <is>
          <t>mid</t>
        </is>
      </c>
      <c r="E289" s="21" t="n">
        <v>8100</v>
      </c>
      <c r="F289" s="14" t="inlineStr">
        <is>
          <t>2026-04-28</t>
        </is>
      </c>
      <c r="G289" s="8" t="n">
        <v>75</v>
      </c>
      <c r="H289" s="22" t="n">
        <v>30.7</v>
      </c>
      <c r="I289" s="22" t="n">
        <v>38.1</v>
      </c>
      <c r="J289" s="22" t="n">
        <v>20.3</v>
      </c>
      <c r="K289" s="23" t="n">
        <v>80.05</v>
      </c>
      <c r="L289" s="23" t="n">
        <v>80</v>
      </c>
      <c r="M289" s="23" t="n">
        <v>120</v>
      </c>
      <c r="N289" s="23" t="n">
        <v>12.25</v>
      </c>
      <c r="O289" s="23" t="n">
        <v>18.05</v>
      </c>
      <c r="P289" s="23" t="n">
        <v>18</v>
      </c>
      <c r="Q289" s="8">
        <f>K289*G289</f>
        <v/>
      </c>
      <c r="R289" s="24">
        <f>(M289-K289)*G289</f>
        <v/>
      </c>
      <c r="S289" s="25">
        <f>(M289/K289-1)*100</f>
        <v/>
      </c>
      <c r="T289" s="26">
        <f>(N289-K289)*G289</f>
        <v/>
      </c>
      <c r="U289" s="27">
        <f>(N289/K289-1)*100</f>
        <v/>
      </c>
      <c r="V289" s="11">
        <f>(P289-K289)*G289</f>
        <v/>
      </c>
      <c r="W289" s="11" t="n">
        <v>-4853.32</v>
      </c>
      <c r="X289" s="10">
        <f>W289/Q289*100</f>
        <v/>
      </c>
      <c r="Y289" s="12" t="n">
        <v>-4.288</v>
      </c>
      <c r="Z289" s="14" t="inlineStr">
        <is>
          <t>2026_H1</t>
        </is>
      </c>
    </row>
    <row r="290">
      <c r="A290" s="14" t="inlineStr">
        <is>
          <t>2026-04-23</t>
        </is>
      </c>
      <c r="B290" s="7" t="inlineStr">
        <is>
          <t>TECHM</t>
        </is>
      </c>
      <c r="C290" s="14" t="inlineStr">
        <is>
          <t>PE</t>
        </is>
      </c>
      <c r="D290" s="14" t="inlineStr">
        <is>
          <t>large</t>
        </is>
      </c>
      <c r="E290" s="21" t="n">
        <v>1400</v>
      </c>
      <c r="F290" s="14" t="inlineStr">
        <is>
          <t>2026-04-28</t>
        </is>
      </c>
      <c r="G290" s="8" t="n">
        <v>600</v>
      </c>
      <c r="H290" s="22" t="n">
        <v>18.8</v>
      </c>
      <c r="I290" s="22" t="n">
        <v>21.3</v>
      </c>
      <c r="J290" s="22" t="n">
        <v>12.6</v>
      </c>
      <c r="K290" s="23" t="n">
        <v>7.85</v>
      </c>
      <c r="L290" s="23" t="n">
        <v>7.8</v>
      </c>
      <c r="M290" s="23" t="n">
        <v>15.55</v>
      </c>
      <c r="N290" s="23" t="n">
        <v>4.75</v>
      </c>
      <c r="O290" s="23" t="n">
        <v>11.05</v>
      </c>
      <c r="P290" s="23" t="n">
        <v>11</v>
      </c>
      <c r="Q290" s="8">
        <f>K290*G290</f>
        <v/>
      </c>
      <c r="R290" s="24">
        <f>(M290-K290)*G290</f>
        <v/>
      </c>
      <c r="S290" s="25">
        <f>(M290/K290-1)*100</f>
        <v/>
      </c>
      <c r="T290" s="26">
        <f>(N290-K290)*G290</f>
        <v/>
      </c>
      <c r="U290" s="27">
        <f>(N290/K290-1)*100</f>
        <v/>
      </c>
      <c r="V290" s="11">
        <f>(P290-K290)*G290</f>
        <v/>
      </c>
      <c r="W290" s="11" t="n">
        <v>1714.92</v>
      </c>
      <c r="X290" s="10">
        <f>W290/Q290*100</f>
        <v/>
      </c>
      <c r="Y290" s="12" t="n">
        <v>3.312</v>
      </c>
      <c r="Z290" s="14" t="inlineStr">
        <is>
          <t>2026_H1</t>
        </is>
      </c>
    </row>
    <row r="291">
      <c r="A291" s="14" t="inlineStr">
        <is>
          <t>2026-04-24</t>
        </is>
      </c>
      <c r="B291" s="7" t="inlineStr">
        <is>
          <t>INFY</t>
        </is>
      </c>
      <c r="C291" s="14" t="inlineStr">
        <is>
          <t>PE</t>
        </is>
      </c>
      <c r="D291" s="14" t="inlineStr">
        <is>
          <t>large</t>
        </is>
      </c>
      <c r="E291" s="21" t="n">
        <v>1180</v>
      </c>
      <c r="F291" s="14" t="inlineStr">
        <is>
          <t>2026-04-28</t>
        </is>
      </c>
      <c r="G291" s="8" t="n">
        <v>400</v>
      </c>
      <c r="H291" s="22" t="n">
        <v>20.9</v>
      </c>
      <c r="I291" s="22" t="n">
        <v>27.6</v>
      </c>
      <c r="J291" s="22" t="n">
        <v>13.4</v>
      </c>
      <c r="K291" s="23" t="n">
        <v>14.05</v>
      </c>
      <c r="L291" s="23" t="n">
        <v>14</v>
      </c>
      <c r="M291" s="23" t="n">
        <v>32.5</v>
      </c>
      <c r="N291" s="23" t="n">
        <v>3.9</v>
      </c>
      <c r="O291" s="23" t="n">
        <v>27.3</v>
      </c>
      <c r="P291" s="23" t="n">
        <v>27.25</v>
      </c>
      <c r="Q291" s="8">
        <f>K291*G291</f>
        <v/>
      </c>
      <c r="R291" s="24">
        <f>(M291-K291)*G291</f>
        <v/>
      </c>
      <c r="S291" s="25">
        <f>(M291/K291-1)*100</f>
        <v/>
      </c>
      <c r="T291" s="26">
        <f>(N291-K291)*G291</f>
        <v/>
      </c>
      <c r="U291" s="27">
        <f>(N291/K291-1)*100</f>
        <v/>
      </c>
      <c r="V291" s="11">
        <f>(P291-K291)*G291</f>
        <v/>
      </c>
      <c r="W291" s="11" t="n">
        <v>5044.13</v>
      </c>
      <c r="X291" s="10">
        <f>W291/Q291*100</f>
        <v/>
      </c>
      <c r="Y291" s="12" t="n">
        <v>3.783</v>
      </c>
      <c r="Z291" s="14" t="inlineStr">
        <is>
          <t>2026_H1</t>
        </is>
      </c>
    </row>
    <row r="292">
      <c r="A292" s="14" t="inlineStr">
        <is>
          <t>2026-04-24</t>
        </is>
      </c>
      <c r="B292" s="7" t="inlineStr">
        <is>
          <t>LTM</t>
        </is>
      </c>
      <c r="C292" s="14" t="inlineStr">
        <is>
          <t>PE</t>
        </is>
      </c>
      <c r="D292" s="14" t="inlineStr">
        <is>
          <t>large</t>
        </is>
      </c>
      <c r="E292" s="21" t="n">
        <v>4250</v>
      </c>
      <c r="F292" s="14" t="inlineStr">
        <is>
          <t>2026-04-28</t>
        </is>
      </c>
      <c r="G292" s="8" t="n">
        <v>150</v>
      </c>
      <c r="H292" s="22" t="n">
        <v>22.9</v>
      </c>
      <c r="I292" s="22" t="n">
        <v>44.6</v>
      </c>
      <c r="J292" s="22" t="n">
        <v>15.6</v>
      </c>
      <c r="K292" s="23" t="n">
        <v>27.95</v>
      </c>
      <c r="L292" s="23" t="n">
        <v>27.9</v>
      </c>
      <c r="M292" s="23" t="n">
        <v>91.90000000000001</v>
      </c>
      <c r="N292" s="23" t="n">
        <v>14.1</v>
      </c>
      <c r="O292" s="23" t="n">
        <v>46</v>
      </c>
      <c r="P292" s="23" t="n">
        <v>45.95</v>
      </c>
      <c r="Q292" s="8">
        <f>K292*G292</f>
        <v/>
      </c>
      <c r="R292" s="24">
        <f>(M292-K292)*G292</f>
        <v/>
      </c>
      <c r="S292" s="25">
        <f>(M292/K292-1)*100</f>
        <v/>
      </c>
      <c r="T292" s="26">
        <f>(N292-K292)*G292</f>
        <v/>
      </c>
      <c r="U292" s="27">
        <f>(N292/K292-1)*100</f>
        <v/>
      </c>
      <c r="V292" s="11">
        <f>(P292-K292)*G292</f>
        <v/>
      </c>
      <c r="W292" s="11" t="n">
        <v>2526.82</v>
      </c>
      <c r="X292" s="10">
        <f>W292/Q292*100</f>
        <v/>
      </c>
      <c r="Y292" s="12" t="n">
        <v>3.552</v>
      </c>
      <c r="Z292" s="14" t="inlineStr">
        <is>
          <t>2026_H1</t>
        </is>
      </c>
    </row>
    <row r="293">
      <c r="A293" s="14" t="inlineStr">
        <is>
          <t>2026-04-27</t>
        </is>
      </c>
      <c r="B293" s="7" t="inlineStr">
        <is>
          <t>HINDZINC</t>
        </is>
      </c>
      <c r="C293" s="14" t="inlineStr">
        <is>
          <t>PE</t>
        </is>
      </c>
      <c r="D293" s="14" t="inlineStr">
        <is>
          <t>large</t>
        </is>
      </c>
      <c r="E293" s="21" t="n">
        <v>530</v>
      </c>
      <c r="F293" s="14" t="inlineStr">
        <is>
          <t>2026-05-26</t>
        </is>
      </c>
      <c r="G293" s="8" t="n">
        <v>1225</v>
      </c>
      <c r="H293" s="22" t="n">
        <v>67.59999999999999</v>
      </c>
      <c r="I293" s="22" t="n">
        <v>28.5</v>
      </c>
      <c r="J293" s="22" t="n">
        <v>49</v>
      </c>
      <c r="K293" s="23" t="n">
        <v>6.35</v>
      </c>
      <c r="L293" s="23" t="n">
        <v>6.3</v>
      </c>
      <c r="M293" s="23" t="n">
        <v>6.6</v>
      </c>
      <c r="N293" s="23" t="n">
        <v>2.6</v>
      </c>
      <c r="O293" s="23" t="n">
        <v>2.75</v>
      </c>
      <c r="P293" s="23" t="n">
        <v>2.7</v>
      </c>
      <c r="Q293" s="8">
        <f>K293*G293</f>
        <v/>
      </c>
      <c r="R293" s="24">
        <f>(M293-K293)*G293</f>
        <v/>
      </c>
      <c r="S293" s="25">
        <f>(M293/K293-1)*100</f>
        <v/>
      </c>
      <c r="T293" s="26">
        <f>(N293-K293)*G293</f>
        <v/>
      </c>
      <c r="U293" s="27">
        <f>(N293/K293-1)*100</f>
        <v/>
      </c>
      <c r="V293" s="11">
        <f>(P293-K293)*G293</f>
        <v/>
      </c>
      <c r="W293" s="11" t="n">
        <v>-4639.16</v>
      </c>
      <c r="X293" s="10">
        <f>W293/Q293*100</f>
        <v/>
      </c>
      <c r="Y293" s="12" t="n">
        <v>-3.596</v>
      </c>
      <c r="Z293" s="14" t="inlineStr">
        <is>
          <t>2026_H1</t>
        </is>
      </c>
    </row>
    <row r="294">
      <c r="A294" s="14" t="inlineStr">
        <is>
          <t>2026-04-27</t>
        </is>
      </c>
      <c r="B294" s="7" t="inlineStr">
        <is>
          <t>LTF</t>
        </is>
      </c>
      <c r="C294" s="14" t="inlineStr">
        <is>
          <t>PE</t>
        </is>
      </c>
      <c r="D294" s="14" t="inlineStr">
        <is>
          <t>mid</t>
        </is>
      </c>
      <c r="E294" s="21" t="n">
        <v>260</v>
      </c>
      <c r="F294" s="14" t="inlineStr">
        <is>
          <t>2026-05-26</t>
        </is>
      </c>
      <c r="G294" s="8" t="n">
        <v>2250</v>
      </c>
      <c r="H294" s="22" t="n">
        <v>27.3</v>
      </c>
      <c r="I294" s="22" t="n">
        <v>9.6</v>
      </c>
      <c r="J294" s="22" t="n">
        <v>18.6</v>
      </c>
      <c r="K294" s="23" t="n">
        <v>3.55</v>
      </c>
      <c r="L294" s="23" t="n">
        <v>3.5</v>
      </c>
      <c r="M294" s="23" t="n">
        <v>4.11</v>
      </c>
      <c r="N294" s="23" t="n">
        <v>2.1</v>
      </c>
      <c r="O294" s="23" t="n">
        <v>3.59</v>
      </c>
      <c r="P294" s="23" t="n">
        <v>3.54</v>
      </c>
      <c r="Q294" s="8">
        <f>K294*G294</f>
        <v/>
      </c>
      <c r="R294" s="24">
        <f>(M294-K294)*G294</f>
        <v/>
      </c>
      <c r="S294" s="25">
        <f>(M294/K294-1)*100</f>
        <v/>
      </c>
      <c r="T294" s="26">
        <f>(N294-K294)*G294</f>
        <v/>
      </c>
      <c r="U294" s="27">
        <f>(N294/K294-1)*100</f>
        <v/>
      </c>
      <c r="V294" s="11">
        <f>(P294-K294)*G294</f>
        <v/>
      </c>
      <c r="W294" s="11" t="n">
        <v>-407.65</v>
      </c>
      <c r="X294" s="10">
        <f>W294/Q294*100</f>
        <v/>
      </c>
      <c r="Y294" s="12" t="n">
        <v>1.34</v>
      </c>
      <c r="Z294" s="14" t="inlineStr">
        <is>
          <t>2026_H1</t>
        </is>
      </c>
    </row>
    <row r="295">
      <c r="A295" s="14" t="inlineStr">
        <is>
          <t>2026-04-27</t>
        </is>
      </c>
      <c r="B295" s="7" t="inlineStr">
        <is>
          <t>RBLBANK</t>
        </is>
      </c>
      <c r="C295" s="14" t="inlineStr">
        <is>
          <t>PE</t>
        </is>
      </c>
      <c r="D295" s="14" t="inlineStr">
        <is>
          <t>small</t>
        </is>
      </c>
      <c r="E295" s="21" t="n">
        <v>285</v>
      </c>
      <c r="F295" s="14" t="inlineStr">
        <is>
          <t>2026-05-26</t>
        </is>
      </c>
      <c r="G295" s="8" t="n">
        <v>3175</v>
      </c>
      <c r="H295" s="22" t="n">
        <v>181</v>
      </c>
      <c r="I295" s="22" t="n">
        <v>7.2</v>
      </c>
      <c r="J295" s="22" t="n">
        <v>7</v>
      </c>
      <c r="K295" s="23" t="n">
        <v>2.35</v>
      </c>
      <c r="L295" s="23" t="n">
        <v>2.3</v>
      </c>
      <c r="M295" s="23" t="n">
        <v>3.5</v>
      </c>
      <c r="N295" s="23" t="n">
        <v>2.15</v>
      </c>
      <c r="O295" s="23" t="n">
        <v>2.3</v>
      </c>
      <c r="P295" s="23" t="n">
        <v>2.25</v>
      </c>
      <c r="Q295" s="8">
        <f>K295*G295</f>
        <v/>
      </c>
      <c r="R295" s="24">
        <f>(M295-K295)*G295</f>
        <v/>
      </c>
      <c r="S295" s="25">
        <f>(M295/K295-1)*100</f>
        <v/>
      </c>
      <c r="T295" s="26">
        <f>(N295-K295)*G295</f>
        <v/>
      </c>
      <c r="U295" s="27">
        <f>(N295/K295-1)*100</f>
        <v/>
      </c>
      <c r="V295" s="11">
        <f>(P295-K295)*G295</f>
        <v/>
      </c>
      <c r="W295" s="11" t="n">
        <v>-819.9400000000001</v>
      </c>
      <c r="X295" s="10">
        <f>W295/Q295*100</f>
        <v/>
      </c>
      <c r="Y295" s="12" t="n">
        <v>1.635</v>
      </c>
      <c r="Z295" s="14" t="inlineStr">
        <is>
          <t>2026_H1</t>
        </is>
      </c>
    </row>
    <row r="296">
      <c r="A296" s="14" t="inlineStr">
        <is>
          <t>2026-04-28</t>
        </is>
      </c>
      <c r="B296" s="7" t="inlineStr">
        <is>
          <t>AUBANK</t>
        </is>
      </c>
      <c r="C296" s="14" t="inlineStr">
        <is>
          <t>PE</t>
        </is>
      </c>
      <c r="D296" s="14" t="inlineStr">
        <is>
          <t>mid</t>
        </is>
      </c>
      <c r="E296" s="21" t="n">
        <v>930</v>
      </c>
      <c r="F296" s="14" t="inlineStr">
        <is>
          <t>2026-05-26</t>
        </is>
      </c>
      <c r="G296" s="8" t="n">
        <v>1000</v>
      </c>
      <c r="H296" s="22" t="n">
        <v>65.2</v>
      </c>
      <c r="I296" s="22" t="n">
        <v>24.6</v>
      </c>
      <c r="J296" s="22" t="n">
        <v>17.5</v>
      </c>
      <c r="K296" s="23" t="n">
        <v>7.7</v>
      </c>
      <c r="L296" s="23" t="n">
        <v>7.65</v>
      </c>
      <c r="M296" s="23" t="n">
        <v>7.65</v>
      </c>
      <c r="N296" s="23" t="n">
        <v>5.3</v>
      </c>
      <c r="O296" s="23" t="n">
        <v>6.3</v>
      </c>
      <c r="P296" s="23" t="n">
        <v>6.25</v>
      </c>
      <c r="Q296" s="8">
        <f>K296*G296</f>
        <v/>
      </c>
      <c r="R296" s="24">
        <f>(M296-K296)*G296</f>
        <v/>
      </c>
      <c r="S296" s="25">
        <f>(M296/K296-1)*100</f>
        <v/>
      </c>
      <c r="T296" s="26">
        <f>(N296-K296)*G296</f>
        <v/>
      </c>
      <c r="U296" s="27">
        <f>(N296/K296-1)*100</f>
        <v/>
      </c>
      <c r="V296" s="11">
        <f>(P296-K296)*G296</f>
        <v/>
      </c>
      <c r="W296" s="11" t="n">
        <v>-1791.68</v>
      </c>
      <c r="X296" s="10">
        <f>W296/Q296*100</f>
        <v/>
      </c>
      <c r="Y296" s="12" t="n">
        <v>3.773</v>
      </c>
      <c r="Z296" s="14" t="inlineStr">
        <is>
          <t>2026_H1</t>
        </is>
      </c>
    </row>
    <row r="297">
      <c r="A297" s="14" t="inlineStr">
        <is>
          <t>2026-04-28</t>
        </is>
      </c>
      <c r="B297" s="7" t="inlineStr">
        <is>
          <t>PHOENIXLTD</t>
        </is>
      </c>
      <c r="C297" s="14" t="inlineStr">
        <is>
          <t>PE</t>
        </is>
      </c>
      <c r="D297" s="14" t="inlineStr">
        <is>
          <t>mid</t>
        </is>
      </c>
      <c r="E297" s="21" t="n">
        <v>1680</v>
      </c>
      <c r="F297" s="14" t="inlineStr">
        <is>
          <t>2026-05-26</t>
        </is>
      </c>
      <c r="G297" s="8" t="n">
        <v>350</v>
      </c>
      <c r="H297" s="22" t="n">
        <v>39.6</v>
      </c>
      <c r="I297" s="22" t="n">
        <v>32.6</v>
      </c>
      <c r="J297" s="22" t="n">
        <v>21.3</v>
      </c>
      <c r="K297" s="23" t="n">
        <v>16.05</v>
      </c>
      <c r="L297" s="23" t="n">
        <v>16</v>
      </c>
      <c r="M297" s="23" t="n">
        <v>37.5</v>
      </c>
      <c r="N297" s="23" t="n">
        <v>16</v>
      </c>
      <c r="O297" s="23" t="n">
        <v>28.9</v>
      </c>
      <c r="P297" s="23" t="n">
        <v>28.85</v>
      </c>
      <c r="Q297" s="8">
        <f>K297*G297</f>
        <v/>
      </c>
      <c r="R297" s="24">
        <f>(M297-K297)*G297</f>
        <v/>
      </c>
      <c r="S297" s="25">
        <f>(M297/K297-1)*100</f>
        <v/>
      </c>
      <c r="T297" s="26">
        <f>(N297-K297)*G297</f>
        <v/>
      </c>
      <c r="U297" s="27">
        <f>(N297/K297-1)*100</f>
        <v/>
      </c>
      <c r="V297" s="11">
        <f>(P297-K297)*G297</f>
        <v/>
      </c>
      <c r="W297" s="11" t="n">
        <v>4096.56</v>
      </c>
      <c r="X297" s="10">
        <f>W297/Q297*100</f>
        <v/>
      </c>
      <c r="Y297" s="12" t="n">
        <v>3.192</v>
      </c>
      <c r="Z297" s="14" t="inlineStr">
        <is>
          <t>2026_H1</t>
        </is>
      </c>
    </row>
    <row r="298">
      <c r="A298" s="14" t="inlineStr">
        <is>
          <t>2026-04-28</t>
        </is>
      </c>
      <c r="B298" s="7" t="inlineStr">
        <is>
          <t>SBICARD</t>
        </is>
      </c>
      <c r="C298" s="14" t="inlineStr">
        <is>
          <t>PE</t>
        </is>
      </c>
      <c r="D298" s="14" t="inlineStr">
        <is>
          <t>mid</t>
        </is>
      </c>
      <c r="E298" s="21" t="n">
        <v>610</v>
      </c>
      <c r="F298" s="14" t="inlineStr">
        <is>
          <t>2026-05-26</t>
        </is>
      </c>
      <c r="G298" s="8" t="n">
        <v>800</v>
      </c>
      <c r="H298" s="22" t="n">
        <v>14.1</v>
      </c>
      <c r="I298" s="22" t="n">
        <v>9.5</v>
      </c>
      <c r="J298" s="22" t="n">
        <v>5.6</v>
      </c>
      <c r="K298" s="23" t="n">
        <v>9.5</v>
      </c>
      <c r="L298" s="23" t="n">
        <v>9.449999999999999</v>
      </c>
      <c r="M298" s="23" t="n">
        <v>9.65</v>
      </c>
      <c r="N298" s="23" t="n">
        <v>5.7</v>
      </c>
      <c r="O298" s="23" t="n">
        <v>7.65</v>
      </c>
      <c r="P298" s="23" t="n">
        <v>7.6</v>
      </c>
      <c r="Q298" s="8">
        <f>K298*G298</f>
        <v/>
      </c>
      <c r="R298" s="24">
        <f>(M298-K298)*G298</f>
        <v/>
      </c>
      <c r="S298" s="25">
        <f>(M298/K298-1)*100</f>
        <v/>
      </c>
      <c r="T298" s="26">
        <f>(N298-K298)*G298</f>
        <v/>
      </c>
      <c r="U298" s="27">
        <f>(N298/K298-1)*100</f>
        <v/>
      </c>
      <c r="V298" s="11">
        <f>(P298-K298)*G298</f>
        <v/>
      </c>
      <c r="W298" s="11" t="n">
        <v>-1855.91</v>
      </c>
      <c r="X298" s="10">
        <f>W298/Q298*100</f>
        <v/>
      </c>
      <c r="Y298" s="12" t="n">
        <v>0.865</v>
      </c>
      <c r="Z298" s="14" t="inlineStr">
        <is>
          <t>2026_H1</t>
        </is>
      </c>
    </row>
    <row r="299">
      <c r="A299" s="14" t="inlineStr">
        <is>
          <t>2026-04-28</t>
        </is>
      </c>
      <c r="B299" s="7" t="inlineStr">
        <is>
          <t>SUPREMEIND</t>
        </is>
      </c>
      <c r="C299" s="14" t="inlineStr">
        <is>
          <t>PE</t>
        </is>
      </c>
      <c r="D299" s="14" t="inlineStr">
        <is>
          <t>mid</t>
        </is>
      </c>
      <c r="E299" s="21" t="n">
        <v>3400</v>
      </c>
      <c r="F299" s="14" t="inlineStr">
        <is>
          <t>2026-05-26</t>
        </is>
      </c>
      <c r="G299" s="8" t="n">
        <v>175</v>
      </c>
      <c r="H299" s="22" t="n">
        <v>47.5</v>
      </c>
      <c r="I299" s="22" t="n">
        <v>182.7</v>
      </c>
      <c r="J299" s="22" t="n">
        <v>16.5</v>
      </c>
      <c r="K299" s="23" t="n">
        <v>40.05</v>
      </c>
      <c r="L299" s="23" t="n">
        <v>40</v>
      </c>
      <c r="M299" s="23" t="n">
        <v>48.55</v>
      </c>
      <c r="N299" s="23" t="n">
        <v>28.5</v>
      </c>
      <c r="O299" s="23" t="n">
        <v>44.75</v>
      </c>
      <c r="P299" s="23" t="n">
        <v>44.7</v>
      </c>
      <c r="Q299" s="8">
        <f>K299*G299</f>
        <v/>
      </c>
      <c r="R299" s="24">
        <f>(M299-K299)*G299</f>
        <v/>
      </c>
      <c r="S299" s="25">
        <f>(M299/K299-1)*100</f>
        <v/>
      </c>
      <c r="T299" s="26">
        <f>(N299-K299)*G299</f>
        <v/>
      </c>
      <c r="U299" s="27">
        <f>(N299/K299-1)*100</f>
        <v/>
      </c>
      <c r="V299" s="11">
        <f>(P299-K299)*G299</f>
        <v/>
      </c>
      <c r="W299" s="11" t="n">
        <v>451.75</v>
      </c>
      <c r="X299" s="10">
        <f>W299/Q299*100</f>
        <v/>
      </c>
      <c r="Y299" s="12" t="n">
        <v>1.851</v>
      </c>
      <c r="Z299" s="14" t="inlineStr">
        <is>
          <t>2026_H1</t>
        </is>
      </c>
    </row>
    <row r="300">
      <c r="A300" s="14" t="inlineStr">
        <is>
          <t>2026-04-28</t>
        </is>
      </c>
      <c r="B300" s="7" t="inlineStr">
        <is>
          <t>ULTRACEMCO</t>
        </is>
      </c>
      <c r="C300" s="14" t="inlineStr">
        <is>
          <t>PE</t>
        </is>
      </c>
      <c r="D300" s="14" t="inlineStr">
        <is>
          <t>large</t>
        </is>
      </c>
      <c r="E300" s="21" t="n">
        <v>11500</v>
      </c>
      <c r="F300" s="14" t="inlineStr">
        <is>
          <t>2026-05-26</t>
        </is>
      </c>
      <c r="G300" s="8" t="n">
        <v>50</v>
      </c>
      <c r="H300" s="22" t="n">
        <v>21.2</v>
      </c>
      <c r="I300" s="22" t="n">
        <v>73.5</v>
      </c>
      <c r="J300" s="22" t="n">
        <v>11.9</v>
      </c>
      <c r="K300" s="23" t="n">
        <v>160</v>
      </c>
      <c r="L300" s="23" t="n">
        <v>159.95</v>
      </c>
      <c r="M300" s="23" t="n">
        <v>236.35</v>
      </c>
      <c r="N300" s="23" t="n">
        <v>159.95</v>
      </c>
      <c r="O300" s="23" t="n">
        <v>223.3</v>
      </c>
      <c r="P300" s="23" t="n">
        <v>223.25</v>
      </c>
      <c r="Q300" s="8">
        <f>K300*G300</f>
        <v/>
      </c>
      <c r="R300" s="24">
        <f>(M300-K300)*G300</f>
        <v/>
      </c>
      <c r="S300" s="25">
        <f>(M300/K300-1)*100</f>
        <v/>
      </c>
      <c r="T300" s="26">
        <f>(N300-K300)*G300</f>
        <v/>
      </c>
      <c r="U300" s="27">
        <f>(N300/K300-1)*100</f>
        <v/>
      </c>
      <c r="V300" s="11">
        <f>(P300-K300)*G300</f>
        <v/>
      </c>
      <c r="W300" s="11" t="n">
        <v>2898.64</v>
      </c>
      <c r="X300" s="10">
        <f>W300/Q300*100</f>
        <v/>
      </c>
      <c r="Y300" s="12" t="n">
        <v>3.786</v>
      </c>
      <c r="Z300" s="14" t="inlineStr">
        <is>
          <t>2026_H1</t>
        </is>
      </c>
    </row>
    <row r="301">
      <c r="A301" s="14" t="inlineStr">
        <is>
          <t>2026-04-28</t>
        </is>
      </c>
      <c r="B301" s="7" t="inlineStr">
        <is>
          <t>VBL</t>
        </is>
      </c>
      <c r="C301" s="14" t="inlineStr">
        <is>
          <t>PE</t>
        </is>
      </c>
      <c r="D301" s="14" t="inlineStr">
        <is>
          <t>large</t>
        </is>
      </c>
      <c r="E301" s="21" t="n">
        <v>485</v>
      </c>
      <c r="F301" s="14" t="inlineStr">
        <is>
          <t>2026-05-26</t>
        </is>
      </c>
      <c r="G301" s="8" t="n">
        <v>1125</v>
      </c>
      <c r="H301" s="22" t="n">
        <v>20.1</v>
      </c>
      <c r="I301" s="22" t="n">
        <v>238</v>
      </c>
      <c r="J301" s="22" t="n">
        <v>18.3</v>
      </c>
      <c r="K301" s="23" t="n">
        <v>6.95</v>
      </c>
      <c r="L301" s="23" t="n">
        <v>6.9</v>
      </c>
      <c r="M301" s="23" t="n">
        <v>7.55</v>
      </c>
      <c r="N301" s="23" t="n">
        <v>5.45</v>
      </c>
      <c r="O301" s="23" t="n">
        <v>6.1</v>
      </c>
      <c r="P301" s="23" t="n">
        <v>6.05</v>
      </c>
      <c r="Q301" s="8">
        <f>K301*G301</f>
        <v/>
      </c>
      <c r="R301" s="24">
        <f>(M301-K301)*G301</f>
        <v/>
      </c>
      <c r="S301" s="25">
        <f>(M301/K301-1)*100</f>
        <v/>
      </c>
      <c r="T301" s="26">
        <f>(N301-K301)*G301</f>
        <v/>
      </c>
      <c r="U301" s="27">
        <f>(N301/K301-1)*100</f>
        <v/>
      </c>
      <c r="V301" s="11">
        <f>(P301-K301)*G301</f>
        <v/>
      </c>
      <c r="W301" s="11" t="n">
        <v>-1222.55</v>
      </c>
      <c r="X301" s="10">
        <f>W301/Q301*100</f>
        <v/>
      </c>
      <c r="Y301" s="12" t="n">
        <v>0.5659999999999999</v>
      </c>
      <c r="Z301" s="14" t="inlineStr">
        <is>
          <t>2026_H1</t>
        </is>
      </c>
    </row>
    <row r="302">
      <c r="A302" s="14" t="inlineStr">
        <is>
          <t>2026-04-30</t>
        </is>
      </c>
      <c r="B302" s="7" t="inlineStr">
        <is>
          <t>BAJFINANCE</t>
        </is>
      </c>
      <c r="C302" s="14" t="inlineStr">
        <is>
          <t>PE</t>
        </is>
      </c>
      <c r="D302" s="14" t="inlineStr">
        <is>
          <t>large</t>
        </is>
      </c>
      <c r="E302" s="21" t="n">
        <v>890</v>
      </c>
      <c r="F302" s="14" t="inlineStr">
        <is>
          <t>2026-05-26</t>
        </is>
      </c>
      <c r="G302" s="8" t="n">
        <v>750</v>
      </c>
      <c r="H302" s="22" t="n">
        <v>22.2</v>
      </c>
      <c r="I302" s="22" t="n">
        <v>36.6</v>
      </c>
      <c r="J302" s="22" t="n">
        <v>17.1</v>
      </c>
      <c r="K302" s="23" t="n">
        <v>10</v>
      </c>
      <c r="L302" s="23" t="n">
        <v>9.949999999999999</v>
      </c>
      <c r="M302" s="23" t="n">
        <v>12.6</v>
      </c>
      <c r="N302" s="23" t="n">
        <v>5.65</v>
      </c>
      <c r="O302" s="23" t="n">
        <v>11.9</v>
      </c>
      <c r="P302" s="23" t="n">
        <v>11.85</v>
      </c>
      <c r="Q302" s="8">
        <f>K302*G302</f>
        <v/>
      </c>
      <c r="R302" s="24">
        <f>(M302-K302)*G302</f>
        <v/>
      </c>
      <c r="S302" s="25">
        <f>(M302/K302-1)*100</f>
        <v/>
      </c>
      <c r="T302" s="26">
        <f>(N302-K302)*G302</f>
        <v/>
      </c>
      <c r="U302" s="27">
        <f>(N302/K302-1)*100</f>
        <v/>
      </c>
      <c r="V302" s="11">
        <f>(P302-K302)*G302</f>
        <v/>
      </c>
      <c r="W302" s="11" t="n">
        <v>1155.97</v>
      </c>
      <c r="X302" s="10">
        <f>W302/Q302*100</f>
        <v/>
      </c>
      <c r="Y302" s="12" t="n">
        <v>0.847</v>
      </c>
      <c r="Z302" s="14" t="inlineStr">
        <is>
          <t>2026_H1</t>
        </is>
      </c>
    </row>
    <row r="303">
      <c r="A303" s="14" t="inlineStr">
        <is>
          <t>2026-04-30</t>
        </is>
      </c>
      <c r="B303" s="7" t="inlineStr">
        <is>
          <t>FEDERALBNK</t>
        </is>
      </c>
      <c r="C303" s="14" t="inlineStr">
        <is>
          <t>PE</t>
        </is>
      </c>
      <c r="D303" s="14" t="inlineStr">
        <is>
          <t>mid</t>
        </is>
      </c>
      <c r="E303" s="21" t="n">
        <v>267.5</v>
      </c>
      <c r="F303" s="14" t="inlineStr">
        <is>
          <t>2026-05-26</t>
        </is>
      </c>
      <c r="G303" s="8" t="n">
        <v>2500</v>
      </c>
      <c r="H303" s="22" t="n">
        <v>22.9</v>
      </c>
      <c r="I303" s="22" t="n">
        <v>22.6</v>
      </c>
      <c r="J303" s="22" t="n">
        <v>11.8</v>
      </c>
      <c r="K303" s="23" t="n">
        <v>2.9</v>
      </c>
      <c r="L303" s="23" t="n">
        <v>2.85</v>
      </c>
      <c r="M303" s="23" t="n">
        <v>3.8</v>
      </c>
      <c r="N303" s="23" t="n">
        <v>2.35</v>
      </c>
      <c r="O303" s="23" t="n">
        <v>2.5</v>
      </c>
      <c r="P303" s="23" t="n">
        <v>2.45</v>
      </c>
      <c r="Q303" s="8">
        <f>K303*G303</f>
        <v/>
      </c>
      <c r="R303" s="24">
        <f>(M303-K303)*G303</f>
        <v/>
      </c>
      <c r="S303" s="25">
        <f>(M303/K303-1)*100</f>
        <v/>
      </c>
      <c r="T303" s="26">
        <f>(N303-K303)*G303</f>
        <v/>
      </c>
      <c r="U303" s="27">
        <f>(N303/K303-1)*100</f>
        <v/>
      </c>
      <c r="V303" s="11">
        <f>(P303-K303)*G303</f>
        <v/>
      </c>
      <c r="W303" s="11" t="n">
        <v>-1454.74</v>
      </c>
      <c r="X303" s="10">
        <f>W303/Q303*100</f>
        <v/>
      </c>
      <c r="Y303" s="12" t="n">
        <v>-0.79</v>
      </c>
      <c r="Z303" s="14" t="inlineStr">
        <is>
          <t>2026_H1</t>
        </is>
      </c>
    </row>
    <row r="304">
      <c r="A304" s="14" t="inlineStr">
        <is>
          <t>2026-04-30</t>
        </is>
      </c>
      <c r="B304" s="7" t="inlineStr">
        <is>
          <t>FORCEMOT</t>
        </is>
      </c>
      <c r="C304" s="14" t="inlineStr">
        <is>
          <t>CE</t>
        </is>
      </c>
      <c r="D304" s="14" t="inlineStr">
        <is>
          <t>small</t>
        </is>
      </c>
      <c r="E304" s="21" t="n">
        <v>24500</v>
      </c>
      <c r="F304" s="14" t="inlineStr">
        <is>
          <t>2026-05-26</t>
        </is>
      </c>
      <c r="G304" s="8" t="n">
        <v>25</v>
      </c>
      <c r="H304" s="22" t="n">
        <v>-35.9</v>
      </c>
      <c r="I304" s="22" t="n">
        <v>-31.4</v>
      </c>
      <c r="J304" s="22" t="n">
        <v>8.199999999999999</v>
      </c>
      <c r="K304" s="23" t="n">
        <v>256.2</v>
      </c>
      <c r="L304" s="23" t="n">
        <v>256.15</v>
      </c>
      <c r="M304" s="23" t="n">
        <v>256.15</v>
      </c>
      <c r="N304" s="23" t="n">
        <v>87.55</v>
      </c>
      <c r="O304" s="23" t="n">
        <v>125.4</v>
      </c>
      <c r="P304" s="23" t="n">
        <v>125.35</v>
      </c>
      <c r="Q304" s="8">
        <f>K304*G304</f>
        <v/>
      </c>
      <c r="R304" s="24">
        <f>(M304-K304)*G304</f>
        <v/>
      </c>
      <c r="S304" s="25">
        <f>(M304/K304-1)*100</f>
        <v/>
      </c>
      <c r="T304" s="26">
        <f>(N304-K304)*G304</f>
        <v/>
      </c>
      <c r="U304" s="27">
        <f>(N304/K304-1)*100</f>
        <v/>
      </c>
      <c r="V304" s="11">
        <f>(P304-K304)*G304</f>
        <v/>
      </c>
      <c r="W304" s="11" t="n">
        <v>-3613.51</v>
      </c>
      <c r="X304" s="10">
        <f>W304/Q304*100</f>
        <v/>
      </c>
      <c r="Y304" s="12" t="n">
        <v>-3.613</v>
      </c>
      <c r="Z304" s="14" t="inlineStr">
        <is>
          <t>2026_H1</t>
        </is>
      </c>
    </row>
    <row r="305">
      <c r="A305" s="14" t="inlineStr">
        <is>
          <t>2026-04-30</t>
        </is>
      </c>
      <c r="B305" s="7" t="inlineStr">
        <is>
          <t>MPHASIS</t>
        </is>
      </c>
      <c r="C305" s="14" t="inlineStr">
        <is>
          <t>PE</t>
        </is>
      </c>
      <c r="D305" s="14" t="inlineStr">
        <is>
          <t>mid</t>
        </is>
      </c>
      <c r="E305" s="21" t="n">
        <v>2100</v>
      </c>
      <c r="F305" s="14" t="inlineStr">
        <is>
          <t>2026-05-26</t>
        </is>
      </c>
      <c r="G305" s="8" t="n">
        <v>275</v>
      </c>
      <c r="H305" s="22" t="n">
        <v>14.1</v>
      </c>
      <c r="I305" s="22" t="n">
        <v>15.3</v>
      </c>
      <c r="J305" s="22" t="n">
        <v>14.4</v>
      </c>
      <c r="K305" s="23" t="n">
        <v>28.05</v>
      </c>
      <c r="L305" s="23" t="n">
        <v>28</v>
      </c>
      <c r="M305" s="23" t="n">
        <v>38.25</v>
      </c>
      <c r="N305" s="23" t="n">
        <v>17.95</v>
      </c>
      <c r="O305" s="23" t="n">
        <v>25.5</v>
      </c>
      <c r="P305" s="23" t="n">
        <v>25.45</v>
      </c>
      <c r="Q305" s="8">
        <f>K305*G305</f>
        <v/>
      </c>
      <c r="R305" s="24">
        <f>(M305-K305)*G305</f>
        <v/>
      </c>
      <c r="S305" s="25">
        <f>(M305/K305-1)*100</f>
        <v/>
      </c>
      <c r="T305" s="26">
        <f>(N305-K305)*G305</f>
        <v/>
      </c>
      <c r="U305" s="27">
        <f>(N305/K305-1)*100</f>
        <v/>
      </c>
      <c r="V305" s="11">
        <f>(P305-K305)*G305</f>
        <v/>
      </c>
      <c r="W305" s="11" t="n">
        <v>-1073.37</v>
      </c>
      <c r="X305" s="10">
        <f>W305/Q305*100</f>
        <v/>
      </c>
      <c r="Y305" s="12" t="n">
        <v>1.633</v>
      </c>
      <c r="Z305" s="14" t="inlineStr">
        <is>
          <t>2026_H1</t>
        </is>
      </c>
    </row>
    <row r="306">
      <c r="A306" s="14" t="inlineStr">
        <is>
          <t>2026-05-04</t>
        </is>
      </c>
      <c r="B306" s="7" t="inlineStr">
        <is>
          <t>APLAPOLLO</t>
        </is>
      </c>
      <c r="C306" s="14" t="inlineStr">
        <is>
          <t>PE</t>
        </is>
      </c>
      <c r="D306" s="14" t="inlineStr">
        <is>
          <t>mid</t>
        </is>
      </c>
      <c r="E306" s="21" t="n">
        <v>1800</v>
      </c>
      <c r="F306" s="14" t="inlineStr">
        <is>
          <t>2026-05-26</t>
        </is>
      </c>
      <c r="G306" s="8" t="n">
        <v>350</v>
      </c>
      <c r="H306" s="22" t="n">
        <v>20.9</v>
      </c>
      <c r="I306" s="22" t="n">
        <v>14.3</v>
      </c>
      <c r="J306" s="22" t="n">
        <v>13.8</v>
      </c>
      <c r="K306" s="23" t="n">
        <v>18.05</v>
      </c>
      <c r="L306" s="23" t="n">
        <v>18</v>
      </c>
      <c r="M306" s="23" t="n">
        <v>40.7</v>
      </c>
      <c r="N306" s="23" t="n">
        <v>15.8</v>
      </c>
      <c r="O306" s="23" t="n">
        <v>24.75</v>
      </c>
      <c r="P306" s="23" t="n">
        <v>24.7</v>
      </c>
      <c r="Q306" s="8">
        <f>K306*G306</f>
        <v/>
      </c>
      <c r="R306" s="24">
        <f>(M306-K306)*G306</f>
        <v/>
      </c>
      <c r="S306" s="25">
        <f>(M306/K306-1)*100</f>
        <v/>
      </c>
      <c r="T306" s="26">
        <f>(N306-K306)*G306</f>
        <v/>
      </c>
      <c r="U306" s="27">
        <f>(N306/K306-1)*100</f>
        <v/>
      </c>
      <c r="V306" s="11">
        <f>(P306-K306)*G306</f>
        <v/>
      </c>
      <c r="W306" s="11" t="n">
        <v>1961.6</v>
      </c>
      <c r="X306" s="10">
        <f>W306/Q306*100</f>
        <v/>
      </c>
      <c r="Y306" s="12" t="n">
        <v>1.942</v>
      </c>
      <c r="Z306" s="14" t="inlineStr">
        <is>
          <t>2026_H1</t>
        </is>
      </c>
    </row>
    <row r="307">
      <c r="A307" s="14" t="inlineStr">
        <is>
          <t>2026-05-04</t>
        </is>
      </c>
      <c r="B307" s="7" t="inlineStr">
        <is>
          <t>CDSL</t>
        </is>
      </c>
      <c r="C307" s="14" t="inlineStr">
        <is>
          <t>CE</t>
        </is>
      </c>
      <c r="D307" s="14" t="inlineStr">
        <is>
          <t>small</t>
        </is>
      </c>
      <c r="E307" s="21" t="n">
        <v>1360</v>
      </c>
      <c r="F307" s="14" t="inlineStr">
        <is>
          <t>2026-05-26</t>
        </is>
      </c>
      <c r="G307" s="8" t="n">
        <v>475</v>
      </c>
      <c r="H307" s="22" t="n">
        <v>-20.5</v>
      </c>
      <c r="I307" s="22" t="n">
        <v>-40</v>
      </c>
      <c r="J307" s="22" t="n">
        <v>17.1</v>
      </c>
      <c r="K307" s="23" t="n">
        <v>13</v>
      </c>
      <c r="L307" s="23" t="n">
        <v>12.95</v>
      </c>
      <c r="M307" s="23" t="n">
        <v>13.45</v>
      </c>
      <c r="N307" s="23" t="n">
        <v>8.25</v>
      </c>
      <c r="O307" s="23" t="n">
        <v>9.699999999999999</v>
      </c>
      <c r="P307" s="23" t="n">
        <v>9.65</v>
      </c>
      <c r="Q307" s="8">
        <f>K307*G307</f>
        <v/>
      </c>
      <c r="R307" s="24">
        <f>(M307-K307)*G307</f>
        <v/>
      </c>
      <c r="S307" s="25">
        <f>(M307/K307-1)*100</f>
        <v/>
      </c>
      <c r="T307" s="26">
        <f>(N307-K307)*G307</f>
        <v/>
      </c>
      <c r="U307" s="27">
        <f>(N307/K307-1)*100</f>
        <v/>
      </c>
      <c r="V307" s="11">
        <f>(P307-K307)*G307</f>
        <v/>
      </c>
      <c r="W307" s="11" t="n">
        <v>-1972.8</v>
      </c>
      <c r="X307" s="10">
        <f>W307/Q307*100</f>
        <v/>
      </c>
      <c r="Y307" s="12" t="n">
        <v>-1.425</v>
      </c>
      <c r="Z307" s="14" t="inlineStr">
        <is>
          <t>2026_H1</t>
        </is>
      </c>
    </row>
    <row r="308">
      <c r="A308" s="14" t="inlineStr">
        <is>
          <t>2026-05-04</t>
        </is>
      </c>
      <c r="B308" s="7" t="inlineStr">
        <is>
          <t>CHOLAFIN</t>
        </is>
      </c>
      <c r="C308" s="14" t="inlineStr">
        <is>
          <t>PE</t>
        </is>
      </c>
      <c r="D308" s="14" t="inlineStr">
        <is>
          <t>large</t>
        </is>
      </c>
      <c r="E308" s="21" t="n">
        <v>1460</v>
      </c>
      <c r="F308" s="14" t="inlineStr">
        <is>
          <t>2026-05-26</t>
        </is>
      </c>
      <c r="G308" s="8" t="n">
        <v>625</v>
      </c>
      <c r="H308" s="22" t="n">
        <v>30.6</v>
      </c>
      <c r="I308" s="22" t="n">
        <v>27.5</v>
      </c>
      <c r="J308" s="22" t="n">
        <v>19.5</v>
      </c>
      <c r="K308" s="23" t="n">
        <v>12.5</v>
      </c>
      <c r="L308" s="23" t="n">
        <v>12.45</v>
      </c>
      <c r="M308" s="23" t="n">
        <v>12.45</v>
      </c>
      <c r="N308" s="23" t="n">
        <v>6.1</v>
      </c>
      <c r="O308" s="23" t="n">
        <v>6.95</v>
      </c>
      <c r="P308" s="23" t="n">
        <v>6.9</v>
      </c>
      <c r="Q308" s="8">
        <f>K308*G308</f>
        <v/>
      </c>
      <c r="R308" s="24">
        <f>(M308-K308)*G308</f>
        <v/>
      </c>
      <c r="S308" s="25">
        <f>(M308/K308-1)*100</f>
        <v/>
      </c>
      <c r="T308" s="26">
        <f>(N308-K308)*G308</f>
        <v/>
      </c>
      <c r="U308" s="27">
        <f>(N308/K308-1)*100</f>
        <v/>
      </c>
      <c r="V308" s="11">
        <f>(P308-K308)*G308</f>
        <v/>
      </c>
      <c r="W308" s="11" t="n">
        <v>-3680.25</v>
      </c>
      <c r="X308" s="10">
        <f>W308/Q308*100</f>
        <v/>
      </c>
      <c r="Y308" s="12" t="n">
        <v>-4.774</v>
      </c>
      <c r="Z308" s="14" t="inlineStr">
        <is>
          <t>2026_H1</t>
        </is>
      </c>
    </row>
    <row r="309">
      <c r="A309" s="14" t="inlineStr">
        <is>
          <t>2026-05-04</t>
        </is>
      </c>
      <c r="B309" s="7" t="inlineStr">
        <is>
          <t>LAURUSLABS</t>
        </is>
      </c>
      <c r="C309" s="14" t="inlineStr">
        <is>
          <t>PE</t>
        </is>
      </c>
      <c r="D309" s="14" t="inlineStr">
        <is>
          <t>mid</t>
        </is>
      </c>
      <c r="E309" s="21" t="n">
        <v>1020</v>
      </c>
      <c r="F309" s="14" t="inlineStr">
        <is>
          <t>2026-05-26</t>
        </is>
      </c>
      <c r="G309" s="8" t="n">
        <v>850</v>
      </c>
      <c r="H309" s="22" t="n">
        <v>21.2</v>
      </c>
      <c r="I309" s="22" t="n">
        <v>12</v>
      </c>
      <c r="J309" s="22" t="n">
        <v>5.3</v>
      </c>
      <c r="K309" s="23" t="n">
        <v>6.35</v>
      </c>
      <c r="L309" s="23" t="n">
        <v>6.3</v>
      </c>
      <c r="M309" s="23" t="n">
        <v>7.5</v>
      </c>
      <c r="N309" s="23" t="n">
        <v>3.3</v>
      </c>
      <c r="O309" s="23" t="n">
        <v>3.6</v>
      </c>
      <c r="P309" s="23" t="n">
        <v>3.55</v>
      </c>
      <c r="Q309" s="8">
        <f>K309*G309</f>
        <v/>
      </c>
      <c r="R309" s="24">
        <f>(M309-K309)*G309</f>
        <v/>
      </c>
      <c r="S309" s="25">
        <f>(M309/K309-1)*100</f>
        <v/>
      </c>
      <c r="T309" s="26">
        <f>(N309-K309)*G309</f>
        <v/>
      </c>
      <c r="U309" s="27">
        <f>(N309/K309-1)*100</f>
        <v/>
      </c>
      <c r="V309" s="11">
        <f>(P309-K309)*G309</f>
        <v/>
      </c>
      <c r="W309" s="11" t="n">
        <v>-2603.73</v>
      </c>
      <c r="X309" s="10">
        <f>W309/Q309*100</f>
        <v/>
      </c>
      <c r="Y309" s="12" t="n">
        <v>-5.825</v>
      </c>
      <c r="Z309" s="14" t="inlineStr">
        <is>
          <t>2026_H1</t>
        </is>
      </c>
    </row>
    <row r="310">
      <c r="A310" s="14" t="inlineStr">
        <is>
          <t>2026-05-04</t>
        </is>
      </c>
      <c r="B310" s="7" t="inlineStr">
        <is>
          <t>SONACOMS</t>
        </is>
      </c>
      <c r="C310" s="14" t="inlineStr">
        <is>
          <t>PE</t>
        </is>
      </c>
      <c r="D310" s="14" t="inlineStr">
        <is>
          <t>small</t>
        </is>
      </c>
      <c r="E310" s="21" t="n">
        <v>550</v>
      </c>
      <c r="F310" s="14" t="inlineStr">
        <is>
          <t>2026-05-26</t>
        </is>
      </c>
      <c r="G310" s="8" t="n">
        <v>1225</v>
      </c>
      <c r="H310" s="22" t="n">
        <v>14.2</v>
      </c>
      <c r="I310" s="22" t="n">
        <v>24.4</v>
      </c>
      <c r="J310" s="22" t="n">
        <v>46.5</v>
      </c>
      <c r="K310" s="23" t="n">
        <v>6.05</v>
      </c>
      <c r="L310" s="23" t="n">
        <v>6</v>
      </c>
      <c r="M310" s="23" t="n">
        <v>12.8</v>
      </c>
      <c r="N310" s="23" t="n">
        <v>5.95</v>
      </c>
      <c r="O310" s="23" t="n">
        <v>10.15</v>
      </c>
      <c r="P310" s="23" t="n">
        <v>10.1</v>
      </c>
      <c r="Q310" s="8">
        <f>K310*G310</f>
        <v/>
      </c>
      <c r="R310" s="24">
        <f>(M310-K310)*G310</f>
        <v/>
      </c>
      <c r="S310" s="25">
        <f>(M310/K310-1)*100</f>
        <v/>
      </c>
      <c r="T310" s="26">
        <f>(N310-K310)*G310</f>
        <v/>
      </c>
      <c r="U310" s="27">
        <f>(N310/K310-1)*100</f>
        <v/>
      </c>
      <c r="V310" s="11">
        <f>(P310-K310)*G310</f>
        <v/>
      </c>
      <c r="W310" s="11" t="n">
        <v>4293.44</v>
      </c>
      <c r="X310" s="10">
        <f>W310/Q310*100</f>
        <v/>
      </c>
      <c r="Y310" s="12" t="n">
        <v>6.279</v>
      </c>
      <c r="Z310" s="14" t="inlineStr">
        <is>
          <t>2026_H1</t>
        </is>
      </c>
    </row>
    <row r="311">
      <c r="A311" s="14" t="inlineStr">
        <is>
          <t>2026-05-05</t>
        </is>
      </c>
      <c r="B311" s="7" t="inlineStr">
        <is>
          <t>CAMS</t>
        </is>
      </c>
      <c r="C311" s="14" t="inlineStr">
        <is>
          <t>PE</t>
        </is>
      </c>
      <c r="D311" s="14" t="inlineStr">
        <is>
          <t>small</t>
        </is>
      </c>
      <c r="E311" s="21" t="n">
        <v>690</v>
      </c>
      <c r="F311" s="14" t="inlineStr">
        <is>
          <t>2026-05-26</t>
        </is>
      </c>
      <c r="G311" s="8" t="n">
        <v>750</v>
      </c>
      <c r="H311" s="22" t="n">
        <v>11.2</v>
      </c>
      <c r="I311" s="22" t="n">
        <v>0.7</v>
      </c>
      <c r="J311" s="22" t="n">
        <v>11</v>
      </c>
      <c r="K311" s="23" t="n">
        <v>9.300000000000001</v>
      </c>
      <c r="L311" s="23" t="n">
        <v>9.25</v>
      </c>
      <c r="M311" s="23" t="n">
        <v>9.25</v>
      </c>
      <c r="N311" s="23" t="n">
        <v>1.6</v>
      </c>
      <c r="O311" s="23" t="n">
        <v>1.9</v>
      </c>
      <c r="P311" s="23" t="n">
        <v>1.85</v>
      </c>
      <c r="Q311" s="8">
        <f>K311*G311</f>
        <v/>
      </c>
      <c r="R311" s="24">
        <f>(M311-K311)*G311</f>
        <v/>
      </c>
      <c r="S311" s="25">
        <f>(M311/K311-1)*100</f>
        <v/>
      </c>
      <c r="T311" s="26">
        <f>(N311-K311)*G311</f>
        <v/>
      </c>
      <c r="U311" s="27">
        <f>(N311/K311-1)*100</f>
        <v/>
      </c>
      <c r="V311" s="11">
        <f>(P311-K311)*G311</f>
        <v/>
      </c>
      <c r="W311" s="11" t="n">
        <v>-5891.39</v>
      </c>
      <c r="X311" s="10">
        <f>W311/Q311*100</f>
        <v/>
      </c>
      <c r="Y311" s="12" t="n">
        <v>-8.048999999999999</v>
      </c>
      <c r="Z311" s="14" t="inlineStr">
        <is>
          <t>2026_H1</t>
        </is>
      </c>
    </row>
    <row r="312">
      <c r="A312" s="14" t="inlineStr">
        <is>
          <t>2026-05-05</t>
        </is>
      </c>
      <c r="B312" s="7" t="inlineStr">
        <is>
          <t>GODREJPROP</t>
        </is>
      </c>
      <c r="C312" s="14" t="inlineStr">
        <is>
          <t>PE</t>
        </is>
      </c>
      <c r="D312" s="14" t="inlineStr">
        <is>
          <t>mid</t>
        </is>
      </c>
      <c r="E312" s="21" t="n">
        <v>1800</v>
      </c>
      <c r="F312" s="14" t="inlineStr">
        <is>
          <t>2026-05-26</t>
        </is>
      </c>
      <c r="G312" s="8" t="n">
        <v>275</v>
      </c>
      <c r="H312" s="22" t="n">
        <v>70.59999999999999</v>
      </c>
      <c r="I312" s="22" t="n">
        <v>232.9</v>
      </c>
      <c r="J312" s="22" t="n">
        <v>63</v>
      </c>
      <c r="K312" s="23" t="n">
        <v>25.05</v>
      </c>
      <c r="L312" s="23" t="n">
        <v>25</v>
      </c>
      <c r="M312" s="23" t="n">
        <v>64.3</v>
      </c>
      <c r="N312" s="23" t="n">
        <v>25</v>
      </c>
      <c r="O312" s="23" t="n">
        <v>56.9</v>
      </c>
      <c r="P312" s="23" t="n">
        <v>56.85</v>
      </c>
      <c r="Q312" s="8">
        <f>K312*G312</f>
        <v/>
      </c>
      <c r="R312" s="24">
        <f>(M312-K312)*G312</f>
        <v/>
      </c>
      <c r="S312" s="25">
        <f>(M312/K312-1)*100</f>
        <v/>
      </c>
      <c r="T312" s="26">
        <f>(N312-K312)*G312</f>
        <v/>
      </c>
      <c r="U312" s="27">
        <f>(N312/K312-1)*100</f>
        <v/>
      </c>
      <c r="V312" s="11">
        <f>(P312-K312)*G312</f>
        <v/>
      </c>
      <c r="W312" s="11" t="n">
        <v>8214.219999999999</v>
      </c>
      <c r="X312" s="10">
        <f>W312/Q312*100</f>
        <v/>
      </c>
      <c r="Y312" s="12" t="n">
        <v>5.755</v>
      </c>
      <c r="Z312" s="14" t="inlineStr">
        <is>
          <t>2026_H1</t>
        </is>
      </c>
    </row>
    <row r="313">
      <c r="A313" s="14" t="inlineStr">
        <is>
          <t>2026-05-06</t>
        </is>
      </c>
      <c r="B313" s="7" t="inlineStr">
        <is>
          <t>COFORGE</t>
        </is>
      </c>
      <c r="C313" s="14" t="inlineStr">
        <is>
          <t>PE</t>
        </is>
      </c>
      <c r="D313" s="14" t="inlineStr">
        <is>
          <t>mid</t>
        </is>
      </c>
      <c r="E313" s="21" t="n">
        <v>1160</v>
      </c>
      <c r="F313" s="14" t="inlineStr">
        <is>
          <t>2026-05-26</t>
        </is>
      </c>
      <c r="G313" s="8" t="n">
        <v>375</v>
      </c>
      <c r="H313" s="22" t="n">
        <v>116.8</v>
      </c>
      <c r="I313" s="22" t="n">
        <v>124.5</v>
      </c>
      <c r="J313" s="22" t="n">
        <v>30.5</v>
      </c>
      <c r="K313" s="23" t="n">
        <v>16.2</v>
      </c>
      <c r="L313" s="23" t="n">
        <v>16.15</v>
      </c>
      <c r="M313" s="23" t="n">
        <v>16.2</v>
      </c>
      <c r="N313" s="23" t="n">
        <v>4.3</v>
      </c>
      <c r="O313" s="23" t="n">
        <v>4.8</v>
      </c>
      <c r="P313" s="23" t="n">
        <v>4.75</v>
      </c>
      <c r="Q313" s="8">
        <f>K313*G313</f>
        <v/>
      </c>
      <c r="R313" s="24">
        <f>(M313-K313)*G313</f>
        <v/>
      </c>
      <c r="S313" s="25">
        <f>(M313/K313-1)*100</f>
        <v/>
      </c>
      <c r="T313" s="26">
        <f>(N313-K313)*G313</f>
        <v/>
      </c>
      <c r="U313" s="27">
        <f>(N313/K313-1)*100</f>
        <v/>
      </c>
      <c r="V313" s="11">
        <f>(P313-K313)*G313</f>
        <v/>
      </c>
      <c r="W313" s="11" t="n">
        <v>-4504.23</v>
      </c>
      <c r="X313" s="10">
        <f>W313/Q313*100</f>
        <v/>
      </c>
      <c r="Y313" s="12" t="n">
        <v>-1.522</v>
      </c>
      <c r="Z313" s="14" t="inlineStr">
        <is>
          <t>2026_H1</t>
        </is>
      </c>
    </row>
    <row r="314">
      <c r="A314" s="14" t="inlineStr">
        <is>
          <t>2026-05-06</t>
        </is>
      </c>
      <c r="B314" s="7" t="inlineStr">
        <is>
          <t>M&amp;M</t>
        </is>
      </c>
      <c r="C314" s="14" t="inlineStr">
        <is>
          <t>PE</t>
        </is>
      </c>
      <c r="D314" s="14" t="inlineStr">
        <is>
          <t>large</t>
        </is>
      </c>
      <c r="E314" s="21" t="n">
        <v>3140</v>
      </c>
      <c r="F314" s="14" t="inlineStr">
        <is>
          <t>2026-05-26</t>
        </is>
      </c>
      <c r="G314" s="8" t="n">
        <v>200</v>
      </c>
      <c r="H314" s="22" t="n">
        <v>48.5</v>
      </c>
      <c r="I314" s="22" t="n">
        <v>4.7</v>
      </c>
      <c r="J314" s="22" t="n">
        <v>29.1</v>
      </c>
      <c r="K314" s="23" t="n">
        <v>34.6</v>
      </c>
      <c r="L314" s="23" t="n">
        <v>34.55</v>
      </c>
      <c r="M314" s="23" t="n">
        <v>44.65</v>
      </c>
      <c r="N314" s="23" t="n">
        <v>27.85</v>
      </c>
      <c r="O314" s="23" t="n">
        <v>28.55</v>
      </c>
      <c r="P314" s="23" t="n">
        <v>28.5</v>
      </c>
      <c r="Q314" s="8">
        <f>K314*G314</f>
        <v/>
      </c>
      <c r="R314" s="24">
        <f>(M314-K314)*G314</f>
        <v/>
      </c>
      <c r="S314" s="25">
        <f>(M314/K314-1)*100</f>
        <v/>
      </c>
      <c r="T314" s="26">
        <f>(N314-K314)*G314</f>
        <v/>
      </c>
      <c r="U314" s="27">
        <f>(N314/K314-1)*100</f>
        <v/>
      </c>
      <c r="V314" s="11">
        <f>(P314-K314)*G314</f>
        <v/>
      </c>
      <c r="W314" s="11" t="n">
        <v>-1407.48</v>
      </c>
      <c r="X314" s="10">
        <f>W314/Q314*100</f>
        <v/>
      </c>
      <c r="Y314" s="12" t="n">
        <v>-1.72</v>
      </c>
      <c r="Z314" s="14" t="inlineStr">
        <is>
          <t>2026_H1</t>
        </is>
      </c>
    </row>
    <row r="315">
      <c r="A315" s="14" t="inlineStr">
        <is>
          <t>2026-05-06</t>
        </is>
      </c>
      <c r="B315" s="7" t="inlineStr">
        <is>
          <t>SRF</t>
        </is>
      </c>
      <c r="C315" s="14" t="inlineStr">
        <is>
          <t>PE</t>
        </is>
      </c>
      <c r="D315" s="14" t="inlineStr">
        <is>
          <t>mid</t>
        </is>
      </c>
      <c r="E315" s="21" t="n">
        <v>2500</v>
      </c>
      <c r="F315" s="14" t="inlineStr">
        <is>
          <t>2026-05-26</t>
        </is>
      </c>
      <c r="G315" s="8" t="n">
        <v>200</v>
      </c>
      <c r="H315" s="22" t="n">
        <v>10.6</v>
      </c>
      <c r="I315" s="22" t="n">
        <v>34.5</v>
      </c>
      <c r="J315" s="22" t="n">
        <v>7</v>
      </c>
      <c r="K315" s="23" t="n">
        <v>28.3</v>
      </c>
      <c r="L315" s="23" t="n">
        <v>28.25</v>
      </c>
      <c r="M315" s="23" t="n">
        <v>42.4</v>
      </c>
      <c r="N315" s="23" t="n">
        <v>10</v>
      </c>
      <c r="O315" s="23" t="n">
        <v>11.2</v>
      </c>
      <c r="P315" s="23" t="n">
        <v>11.15</v>
      </c>
      <c r="Q315" s="8">
        <f>K315*G315</f>
        <v/>
      </c>
      <c r="R315" s="24">
        <f>(M315-K315)*G315</f>
        <v/>
      </c>
      <c r="S315" s="25">
        <f>(M315/K315-1)*100</f>
        <v/>
      </c>
      <c r="T315" s="26">
        <f>(N315-K315)*G315</f>
        <v/>
      </c>
      <c r="U315" s="27">
        <f>(N315/K315-1)*100</f>
        <v/>
      </c>
      <c r="V315" s="11">
        <f>(P315-K315)*G315</f>
        <v/>
      </c>
      <c r="W315" s="11" t="n">
        <v>-3641.83</v>
      </c>
      <c r="X315" s="10">
        <f>W315/Q315*100</f>
        <v/>
      </c>
      <c r="Y315" s="12" t="n">
        <v>-4.399</v>
      </c>
      <c r="Z315" s="14" t="inlineStr">
        <is>
          <t>2026_H1</t>
        </is>
      </c>
    </row>
    <row r="316">
      <c r="A316" s="14" t="inlineStr">
        <is>
          <t>2026-05-07</t>
        </is>
      </c>
      <c r="B316" s="7" t="inlineStr">
        <is>
          <t>BAJAJ-AUTO</t>
        </is>
      </c>
      <c r="C316" s="14" t="inlineStr">
        <is>
          <t>PE</t>
        </is>
      </c>
      <c r="D316" s="14" t="inlineStr">
        <is>
          <t>large</t>
        </is>
      </c>
      <c r="E316" s="21" t="n">
        <v>10000</v>
      </c>
      <c r="F316" s="14" t="inlineStr">
        <is>
          <t>2026-05-26</t>
        </is>
      </c>
      <c r="G316" s="8" t="n">
        <v>75</v>
      </c>
      <c r="H316" s="22" t="n">
        <v>93.8</v>
      </c>
      <c r="I316" s="22" t="n">
        <v>27</v>
      </c>
      <c r="J316" s="22" t="n">
        <v>41</v>
      </c>
      <c r="K316" s="23" t="n">
        <v>102.05</v>
      </c>
      <c r="L316" s="23" t="n">
        <v>102</v>
      </c>
      <c r="M316" s="23" t="n">
        <v>158.2</v>
      </c>
      <c r="N316" s="23" t="n">
        <v>46.65</v>
      </c>
      <c r="O316" s="23" t="n">
        <v>49.15</v>
      </c>
      <c r="P316" s="23" t="n">
        <v>49.1</v>
      </c>
      <c r="Q316" s="8">
        <f>K316*G316</f>
        <v/>
      </c>
      <c r="R316" s="24">
        <f>(M316-K316)*G316</f>
        <v/>
      </c>
      <c r="S316" s="25">
        <f>(M316/K316-1)*100</f>
        <v/>
      </c>
      <c r="T316" s="26">
        <f>(N316-K316)*G316</f>
        <v/>
      </c>
      <c r="U316" s="27">
        <f>(N316/K316-1)*100</f>
        <v/>
      </c>
      <c r="V316" s="11">
        <f>(P316-K316)*G316</f>
        <v/>
      </c>
      <c r="W316" s="11" t="n">
        <v>-4142.33</v>
      </c>
      <c r="X316" s="10">
        <f>W316/Q316*100</f>
        <v/>
      </c>
      <c r="Y316" s="12" t="n">
        <v>-0.217</v>
      </c>
      <c r="Z316" s="14" t="inlineStr">
        <is>
          <t>2026_H1</t>
        </is>
      </c>
    </row>
    <row r="317">
      <c r="A317" s="14" t="inlineStr">
        <is>
          <t>2026-05-07</t>
        </is>
      </c>
      <c r="B317" s="7" t="inlineStr">
        <is>
          <t>BLUESTARCO</t>
        </is>
      </c>
      <c r="C317" s="14" t="inlineStr">
        <is>
          <t>PE</t>
        </is>
      </c>
      <c r="D317" s="14" t="inlineStr">
        <is>
          <t>mid</t>
        </is>
      </c>
      <c r="E317" s="21" t="n">
        <v>1660</v>
      </c>
      <c r="F317" s="14" t="inlineStr">
        <is>
          <t>2026-05-26</t>
        </is>
      </c>
      <c r="G317" s="8" t="n">
        <v>325</v>
      </c>
      <c r="H317" s="22" t="n">
        <v>17.1</v>
      </c>
      <c r="I317" s="22" t="n">
        <v>182</v>
      </c>
      <c r="J317" s="22" t="n">
        <v>1.3</v>
      </c>
      <c r="K317" s="23" t="n">
        <v>22.55</v>
      </c>
      <c r="L317" s="23" t="n">
        <v>22.5</v>
      </c>
      <c r="M317" s="23" t="n">
        <v>32.5</v>
      </c>
      <c r="N317" s="23" t="n">
        <v>17.5</v>
      </c>
      <c r="O317" s="23" t="n">
        <v>29.4</v>
      </c>
      <c r="P317" s="23" t="n">
        <v>29.35</v>
      </c>
      <c r="Q317" s="8">
        <f>K317*G317</f>
        <v/>
      </c>
      <c r="R317" s="24">
        <f>(M317-K317)*G317</f>
        <v/>
      </c>
      <c r="S317" s="25">
        <f>(M317/K317-1)*100</f>
        <v/>
      </c>
      <c r="T317" s="26">
        <f>(N317-K317)*G317</f>
        <v/>
      </c>
      <c r="U317" s="27">
        <f>(N317/K317-1)*100</f>
        <v/>
      </c>
      <c r="V317" s="11">
        <f>(P317-K317)*G317</f>
        <v/>
      </c>
      <c r="W317" s="11" t="n">
        <v>1803.83</v>
      </c>
      <c r="X317" s="10">
        <f>W317/Q317*100</f>
        <v/>
      </c>
      <c r="Y317" s="12" t="n">
        <v>4.113</v>
      </c>
      <c r="Z317" s="14" t="inlineStr">
        <is>
          <t>2026_H1</t>
        </is>
      </c>
    </row>
    <row r="318">
      <c r="A318" s="14" t="inlineStr">
        <is>
          <t>2026-05-07</t>
        </is>
      </c>
      <c r="B318" s="7" t="inlineStr">
        <is>
          <t>POLICYBZR</t>
        </is>
      </c>
      <c r="C318" s="14" t="inlineStr">
        <is>
          <t>PE</t>
        </is>
      </c>
      <c r="D318" s="14" t="inlineStr">
        <is>
          <t>mid</t>
        </is>
      </c>
      <c r="E318" s="21" t="n">
        <v>1600</v>
      </c>
      <c r="F318" s="14" t="inlineStr">
        <is>
          <t>2026-05-26</t>
        </is>
      </c>
      <c r="G318" s="8" t="n">
        <v>350</v>
      </c>
      <c r="H318" s="22" t="n">
        <v>53</v>
      </c>
      <c r="I318" s="22" t="n">
        <v>37.9</v>
      </c>
      <c r="J318" s="22" t="n">
        <v>36.7</v>
      </c>
      <c r="K318" s="23" t="n">
        <v>20.1</v>
      </c>
      <c r="L318" s="23" t="n">
        <v>20.05</v>
      </c>
      <c r="M318" s="23" t="n">
        <v>53.35</v>
      </c>
      <c r="N318" s="23" t="n">
        <v>17</v>
      </c>
      <c r="O318" s="23" t="n">
        <v>24.75</v>
      </c>
      <c r="P318" s="23" t="n">
        <v>24.7</v>
      </c>
      <c r="Q318" s="8">
        <f>K318*G318</f>
        <v/>
      </c>
      <c r="R318" s="24">
        <f>(M318-K318)*G318</f>
        <v/>
      </c>
      <c r="S318" s="25">
        <f>(M318/K318-1)*100</f>
        <v/>
      </c>
      <c r="T318" s="26">
        <f>(N318-K318)*G318</f>
        <v/>
      </c>
      <c r="U318" s="27">
        <f>(N318/K318-1)*100</f>
        <v/>
      </c>
      <c r="V318" s="11">
        <f>(P318-K318)*G318</f>
        <v/>
      </c>
      <c r="W318" s="11" t="n">
        <v>1229.43</v>
      </c>
      <c r="X318" s="10">
        <f>W318/Q318*100</f>
        <v/>
      </c>
      <c r="Y318" s="12" t="n">
        <v>1.859</v>
      </c>
      <c r="Z318" s="14" t="inlineStr">
        <is>
          <t>2026_H1</t>
        </is>
      </c>
    </row>
    <row r="319">
      <c r="A319" s="14" t="inlineStr">
        <is>
          <t>2026-05-08</t>
        </is>
      </c>
      <c r="B319" s="7" t="inlineStr">
        <is>
          <t>BHARATFORG</t>
        </is>
      </c>
      <c r="C319" s="14" t="inlineStr">
        <is>
          <t>CE</t>
        </is>
      </c>
      <c r="D319" s="14" t="inlineStr">
        <is>
          <t>mid</t>
        </is>
      </c>
      <c r="E319" s="21" t="n">
        <v>2180</v>
      </c>
      <c r="F319" s="14" t="inlineStr">
        <is>
          <t>2026-05-26</t>
        </is>
      </c>
      <c r="G319" s="8" t="n">
        <v>500</v>
      </c>
      <c r="H319" s="22" t="n">
        <v>-17.4</v>
      </c>
      <c r="I319" s="22" t="n">
        <v>-14.4</v>
      </c>
      <c r="J319" s="22" t="n">
        <v>17.5</v>
      </c>
      <c r="K319" s="23" t="n">
        <v>13.2</v>
      </c>
      <c r="L319" s="23" t="n">
        <v>13.15</v>
      </c>
      <c r="M319" s="23" t="n">
        <v>17.4</v>
      </c>
      <c r="N319" s="23" t="n">
        <v>7.7</v>
      </c>
      <c r="O319" s="23" t="n">
        <v>8.800000000000001</v>
      </c>
      <c r="P319" s="23" t="n">
        <v>8.75</v>
      </c>
      <c r="Q319" s="8">
        <f>K319*G319</f>
        <v/>
      </c>
      <c r="R319" s="24">
        <f>(M319-K319)*G319</f>
        <v/>
      </c>
      <c r="S319" s="25">
        <f>(M319/K319-1)*100</f>
        <v/>
      </c>
      <c r="T319" s="26">
        <f>(N319-K319)*G319</f>
        <v/>
      </c>
      <c r="U319" s="27">
        <f>(N319/K319-1)*100</f>
        <v/>
      </c>
      <c r="V319" s="11">
        <f>(P319-K319)*G319</f>
        <v/>
      </c>
      <c r="W319" s="11" t="n">
        <v>-2503.06</v>
      </c>
      <c r="X319" s="10">
        <f>W319/Q319*100</f>
        <v/>
      </c>
      <c r="Y319" s="12" t="n">
        <v>-0.98</v>
      </c>
      <c r="Z319" s="14" t="inlineStr">
        <is>
          <t>2026_H1</t>
        </is>
      </c>
    </row>
    <row r="320">
      <c r="A320" s="14" t="inlineStr">
        <is>
          <t>2026-05-08</t>
        </is>
      </c>
      <c r="B320" s="7" t="inlineStr">
        <is>
          <t>BSE</t>
        </is>
      </c>
      <c r="C320" s="14" t="inlineStr">
        <is>
          <t>PE</t>
        </is>
      </c>
      <c r="D320" s="14" t="inlineStr">
        <is>
          <t>mid</t>
        </is>
      </c>
      <c r="E320" s="21" t="n">
        <v>3450</v>
      </c>
      <c r="F320" s="14" t="inlineStr">
        <is>
          <t>2026-05-26</t>
        </is>
      </c>
      <c r="G320" s="8" t="n">
        <v>375</v>
      </c>
      <c r="H320" s="22" t="n">
        <v>61.1</v>
      </c>
      <c r="I320" s="22" t="n">
        <v>33.3</v>
      </c>
      <c r="J320" s="22" t="n">
        <v>84.7</v>
      </c>
      <c r="K320" s="23" t="n">
        <v>20.05</v>
      </c>
      <c r="L320" s="23" t="n">
        <v>20</v>
      </c>
      <c r="M320" s="23" t="n">
        <v>27.05</v>
      </c>
      <c r="N320" s="23" t="n">
        <v>13</v>
      </c>
      <c r="O320" s="23" t="n">
        <v>14.65</v>
      </c>
      <c r="P320" s="23" t="n">
        <v>14.6</v>
      </c>
      <c r="Q320" s="8">
        <f>K320*G320</f>
        <v/>
      </c>
      <c r="R320" s="24">
        <f>(M320-K320)*G320</f>
        <v/>
      </c>
      <c r="S320" s="25">
        <f>(M320/K320-1)*100</f>
        <v/>
      </c>
      <c r="T320" s="26">
        <f>(N320-K320)*G320</f>
        <v/>
      </c>
      <c r="U320" s="27">
        <f>(N320/K320-1)*100</f>
        <v/>
      </c>
      <c r="V320" s="11">
        <f>(P320-K320)*G320</f>
        <v/>
      </c>
      <c r="W320" s="11" t="n">
        <v>-2364.74</v>
      </c>
      <c r="X320" s="10">
        <f>W320/Q320*100</f>
        <v/>
      </c>
      <c r="Y320" s="12" t="n">
        <v>1.418</v>
      </c>
      <c r="Z320" s="14" t="inlineStr">
        <is>
          <t>2026_H1</t>
        </is>
      </c>
    </row>
    <row r="321">
      <c r="A321" s="14" t="inlineStr">
        <is>
          <t>2026-05-08</t>
        </is>
      </c>
      <c r="B321" s="7" t="inlineStr">
        <is>
          <t>LUPIN</t>
        </is>
      </c>
      <c r="C321" s="14" t="inlineStr">
        <is>
          <t>PE</t>
        </is>
      </c>
      <c r="D321" s="14" t="inlineStr">
        <is>
          <t>mid</t>
        </is>
      </c>
      <c r="E321" s="21" t="n">
        <v>2300</v>
      </c>
      <c r="F321" s="14" t="inlineStr">
        <is>
          <t>2026-05-26</t>
        </is>
      </c>
      <c r="G321" s="8" t="n">
        <v>425</v>
      </c>
      <c r="H321" s="22" t="n">
        <v>87.7</v>
      </c>
      <c r="I321" s="22" t="n">
        <v>24.4</v>
      </c>
      <c r="J321" s="22" t="n">
        <v>31.9</v>
      </c>
      <c r="K321" s="23" t="n">
        <v>15</v>
      </c>
      <c r="L321" s="23" t="n">
        <v>14.95</v>
      </c>
      <c r="M321" s="23" t="n">
        <v>34.5</v>
      </c>
      <c r="N321" s="23" t="n">
        <v>10.1</v>
      </c>
      <c r="O321" s="23" t="n">
        <v>23.9</v>
      </c>
      <c r="P321" s="23" t="n">
        <v>23.85</v>
      </c>
      <c r="Q321" s="8">
        <f>K321*G321</f>
        <v/>
      </c>
      <c r="R321" s="24">
        <f>(M321-K321)*G321</f>
        <v/>
      </c>
      <c r="S321" s="25">
        <f>(M321/K321-1)*100</f>
        <v/>
      </c>
      <c r="T321" s="26">
        <f>(N321-K321)*G321</f>
        <v/>
      </c>
      <c r="U321" s="27">
        <f>(N321/K321-1)*100</f>
        <v/>
      </c>
      <c r="V321" s="11">
        <f>(P321-K321)*G321</f>
        <v/>
      </c>
      <c r="W321" s="11" t="n">
        <v>3361.49</v>
      </c>
      <c r="X321" s="10">
        <f>W321/Q321*100</f>
        <v/>
      </c>
      <c r="Y321" s="12" t="n">
        <v>1.876</v>
      </c>
      <c r="Z321" s="14" t="inlineStr">
        <is>
          <t>2026_H1</t>
        </is>
      </c>
    </row>
    <row r="322">
      <c r="A322" s="14" t="inlineStr">
        <is>
          <t>2026-05-11</t>
        </is>
      </c>
      <c r="B322" s="7" t="inlineStr">
        <is>
          <t>OBEROIRLTY</t>
        </is>
      </c>
      <c r="C322" s="14" t="inlineStr">
        <is>
          <t>PE</t>
        </is>
      </c>
      <c r="D322" s="14" t="inlineStr">
        <is>
          <t>mid</t>
        </is>
      </c>
      <c r="E322" s="21" t="n">
        <v>1600</v>
      </c>
      <c r="F322" s="14" t="inlineStr">
        <is>
          <t>2026-05-26</t>
        </is>
      </c>
      <c r="G322" s="8" t="n">
        <v>350</v>
      </c>
      <c r="H322" s="22" t="n">
        <v>62.4</v>
      </c>
      <c r="I322" s="22" t="n">
        <v>13</v>
      </c>
      <c r="J322" s="22" t="n">
        <v>52.1</v>
      </c>
      <c r="K322" s="23" t="n">
        <v>12.05</v>
      </c>
      <c r="L322" s="23" t="n">
        <v>12</v>
      </c>
      <c r="M322" s="23" t="n">
        <v>28.95</v>
      </c>
      <c r="N322" s="23" t="n">
        <v>12</v>
      </c>
      <c r="O322" s="23" t="n">
        <v>27.95</v>
      </c>
      <c r="P322" s="23" t="n">
        <v>27.9</v>
      </c>
      <c r="Q322" s="8">
        <f>K322*G322</f>
        <v/>
      </c>
      <c r="R322" s="24">
        <f>(M322-K322)*G322</f>
        <v/>
      </c>
      <c r="S322" s="25">
        <f>(M322/K322-1)*100</f>
        <v/>
      </c>
      <c r="T322" s="26">
        <f>(N322-K322)*G322</f>
        <v/>
      </c>
      <c r="U322" s="27">
        <f>(N322/K322-1)*100</f>
        <v/>
      </c>
      <c r="V322" s="11">
        <f>(P322-K322)*G322</f>
        <v/>
      </c>
      <c r="W322" s="11" t="n">
        <v>5199.99</v>
      </c>
      <c r="X322" s="10">
        <f>W322/Q322*100</f>
        <v/>
      </c>
      <c r="Y322" s="12" t="n">
        <v>4.56</v>
      </c>
      <c r="Z322" s="14" t="inlineStr">
        <is>
          <t>2026_H1</t>
        </is>
      </c>
    </row>
    <row r="323">
      <c r="A323" s="14" t="inlineStr">
        <is>
          <t>2026-05-11</t>
        </is>
      </c>
      <c r="B323" s="7" t="inlineStr">
        <is>
          <t>TATACONSUM</t>
        </is>
      </c>
      <c r="C323" s="14" t="inlineStr">
        <is>
          <t>PE</t>
        </is>
      </c>
      <c r="D323" s="14" t="inlineStr">
        <is>
          <t>large</t>
        </is>
      </c>
      <c r="E323" s="21" t="n">
        <v>1170</v>
      </c>
      <c r="F323" s="14" t="inlineStr">
        <is>
          <t>2026-05-26</t>
        </is>
      </c>
      <c r="G323" s="8" t="n">
        <v>550</v>
      </c>
      <c r="H323" s="22" t="n">
        <v>21.6</v>
      </c>
      <c r="I323" s="22" t="n">
        <v>10.3</v>
      </c>
      <c r="J323" s="22" t="n">
        <v>17.9</v>
      </c>
      <c r="K323" s="23" t="n">
        <v>14.15</v>
      </c>
      <c r="L323" s="23" t="n">
        <v>14.1</v>
      </c>
      <c r="M323" s="23" t="n">
        <v>14.85</v>
      </c>
      <c r="N323" s="23" t="n">
        <v>4</v>
      </c>
      <c r="O323" s="23" t="n">
        <v>4.45</v>
      </c>
      <c r="P323" s="23" t="n">
        <v>4.4</v>
      </c>
      <c r="Q323" s="8">
        <f>K323*G323</f>
        <v/>
      </c>
      <c r="R323" s="24">
        <f>(M323-K323)*G323</f>
        <v/>
      </c>
      <c r="S323" s="25">
        <f>(M323/K323-1)*100</f>
        <v/>
      </c>
      <c r="T323" s="26">
        <f>(N323-K323)*G323</f>
        <v/>
      </c>
      <c r="U323" s="27">
        <f>(N323/K323-1)*100</f>
        <v/>
      </c>
      <c r="V323" s="11">
        <f>(P323-K323)*G323</f>
        <v/>
      </c>
      <c r="W323" s="11" t="n">
        <v>-5519.88</v>
      </c>
      <c r="X323" s="10">
        <f>W323/Q323*100</f>
        <v/>
      </c>
      <c r="Y323" s="12" t="n">
        <v>-5.723</v>
      </c>
      <c r="Z323" s="14" t="inlineStr">
        <is>
          <t>2026_H1</t>
        </is>
      </c>
    </row>
    <row r="324">
      <c r="A324" s="14" t="inlineStr">
        <is>
          <t>2026-05-12</t>
        </is>
      </c>
      <c r="B324" s="7" t="inlineStr">
        <is>
          <t>JSWENERGY</t>
        </is>
      </c>
      <c r="C324" s="14" t="inlineStr">
        <is>
          <t>PE</t>
        </is>
      </c>
      <c r="D324" s="14" t="inlineStr">
        <is>
          <t>mid</t>
        </is>
      </c>
      <c r="E324" s="21" t="n">
        <v>500</v>
      </c>
      <c r="F324" s="14" t="inlineStr">
        <is>
          <t>2026-05-26</t>
        </is>
      </c>
      <c r="G324" s="8" t="n">
        <v>1000</v>
      </c>
      <c r="H324" s="22" t="n">
        <v>38.4</v>
      </c>
      <c r="I324" s="22" t="n">
        <v>8.5</v>
      </c>
      <c r="J324" s="22" t="n">
        <v>41</v>
      </c>
      <c r="K324" s="23" t="n">
        <v>7.55</v>
      </c>
      <c r="L324" s="23" t="n">
        <v>7.5</v>
      </c>
      <c r="M324" s="23" t="n">
        <v>13.25</v>
      </c>
      <c r="N324" s="23" t="n">
        <v>5.85</v>
      </c>
      <c r="O324" s="23" t="n">
        <v>8.15</v>
      </c>
      <c r="P324" s="23" t="n">
        <v>8.1</v>
      </c>
      <c r="Q324" s="8">
        <f>K324*G324</f>
        <v/>
      </c>
      <c r="R324" s="24">
        <f>(M324-K324)*G324</f>
        <v/>
      </c>
      <c r="S324" s="25">
        <f>(M324/K324-1)*100</f>
        <v/>
      </c>
      <c r="T324" s="26">
        <f>(N324-K324)*G324</f>
        <v/>
      </c>
      <c r="U324" s="27">
        <f>(N324/K324-1)*100</f>
        <v/>
      </c>
      <c r="V324" s="11">
        <f>(P324-K324)*G324</f>
        <v/>
      </c>
      <c r="W324" s="11" t="n">
        <v>170.84</v>
      </c>
      <c r="X324" s="10">
        <f>W324/Q324*100</f>
        <v/>
      </c>
      <c r="Y324" s="12" t="n">
        <v>4.039</v>
      </c>
      <c r="Z324" s="14" t="inlineStr">
        <is>
          <t>2026_H1</t>
        </is>
      </c>
    </row>
    <row r="325">
      <c r="A325" s="14" t="inlineStr">
        <is>
          <t>2026-05-13</t>
        </is>
      </c>
      <c r="B325" s="7" t="inlineStr">
        <is>
          <t>DIXON</t>
        </is>
      </c>
      <c r="C325" s="14" t="inlineStr">
        <is>
          <t>CE</t>
        </is>
      </c>
      <c r="D325" s="14" t="inlineStr">
        <is>
          <t>mid</t>
        </is>
      </c>
      <c r="E325" s="21" t="n">
        <v>11200</v>
      </c>
      <c r="F325" s="14" t="inlineStr">
        <is>
          <t>2026-05-26</t>
        </is>
      </c>
      <c r="G325" s="8" t="n">
        <v>50</v>
      </c>
      <c r="H325" s="22" t="n">
        <v>-35.9</v>
      </c>
      <c r="I325" s="22" t="n">
        <v>-7</v>
      </c>
      <c r="J325" s="22" t="n">
        <v>2.1</v>
      </c>
      <c r="K325" s="23" t="n">
        <v>120.05</v>
      </c>
      <c r="L325" s="23" t="n">
        <v>120</v>
      </c>
      <c r="M325" s="23" t="n">
        <v>469</v>
      </c>
      <c r="N325" s="23" t="n">
        <v>109.55</v>
      </c>
      <c r="O325" s="23" t="n">
        <v>398.45</v>
      </c>
      <c r="P325" s="23" t="n">
        <v>398.4</v>
      </c>
      <c r="Q325" s="8">
        <f>K325*G325</f>
        <v/>
      </c>
      <c r="R325" s="24">
        <f>(M325-K325)*G325</f>
        <v/>
      </c>
      <c r="S325" s="25">
        <f>(M325/K325-1)*100</f>
        <v/>
      </c>
      <c r="T325" s="26">
        <f>(N325-K325)*G325</f>
        <v/>
      </c>
      <c r="U325" s="27">
        <f>(N325/K325-1)*100</f>
        <v/>
      </c>
      <c r="V325" s="11">
        <f>(P325-K325)*G325</f>
        <v/>
      </c>
      <c r="W325" s="11" t="n">
        <v>13310.89</v>
      </c>
      <c r="X325" s="10">
        <f>W325/Q325*100</f>
        <v/>
      </c>
      <c r="Y325" s="12" t="n">
        <v>8.474</v>
      </c>
      <c r="Z325" s="14" t="inlineStr">
        <is>
          <t>2026_H1</t>
        </is>
      </c>
    </row>
    <row r="326">
      <c r="A326" s="14" t="inlineStr">
        <is>
          <t>2026-05-13</t>
        </is>
      </c>
      <c r="B326" s="7" t="inlineStr">
        <is>
          <t>DRREDDY</t>
        </is>
      </c>
      <c r="C326" s="14" t="inlineStr">
        <is>
          <t>CE</t>
        </is>
      </c>
      <c r="D326" s="14" t="inlineStr">
        <is>
          <t>large</t>
        </is>
      </c>
      <c r="E326" s="21" t="n">
        <v>1300</v>
      </c>
      <c r="F326" s="14" t="inlineStr">
        <is>
          <t>2026-05-26</t>
        </is>
      </c>
      <c r="G326" s="8" t="n">
        <v>625</v>
      </c>
      <c r="H326" s="22" t="n">
        <v>-86.09999999999999</v>
      </c>
      <c r="I326" s="22" t="n">
        <v>-81.40000000000001</v>
      </c>
      <c r="J326" s="22" t="n">
        <v>-11.5</v>
      </c>
      <c r="K326" s="23" t="n">
        <v>9.050000000000001</v>
      </c>
      <c r="L326" s="23" t="n">
        <v>9</v>
      </c>
      <c r="M326" s="23" t="n">
        <v>33.45</v>
      </c>
      <c r="N326" s="23" t="n">
        <v>4.6</v>
      </c>
      <c r="O326" s="23" t="n">
        <v>13.55</v>
      </c>
      <c r="P326" s="23" t="n">
        <v>13.5</v>
      </c>
      <c r="Q326" s="8">
        <f>K326*G326</f>
        <v/>
      </c>
      <c r="R326" s="24">
        <f>(M326-K326)*G326</f>
        <v/>
      </c>
      <c r="S326" s="25">
        <f>(M326/K326-1)*100</f>
        <v/>
      </c>
      <c r="T326" s="26">
        <f>(N326-K326)*G326</f>
        <v/>
      </c>
      <c r="U326" s="27">
        <f>(N326/K326-1)*100</f>
        <v/>
      </c>
      <c r="V326" s="11">
        <f>(P326-K326)*G326</f>
        <v/>
      </c>
      <c r="W326" s="11" t="n">
        <v>2574.35</v>
      </c>
      <c r="X326" s="10">
        <f>W326/Q326*100</f>
        <v/>
      </c>
      <c r="Y326" s="12" t="n">
        <v>1.582</v>
      </c>
      <c r="Z326" s="14" t="inlineStr">
        <is>
          <t>2026_H1</t>
        </is>
      </c>
    </row>
    <row r="327">
      <c r="A327" s="14" t="inlineStr">
        <is>
          <t>2026-05-14</t>
        </is>
      </c>
      <c r="B327" s="7" t="inlineStr">
        <is>
          <t>CIPLA</t>
        </is>
      </c>
      <c r="C327" s="14" t="inlineStr">
        <is>
          <t>CE</t>
        </is>
      </c>
      <c r="D327" s="14" t="inlineStr">
        <is>
          <t>large</t>
        </is>
      </c>
      <c r="E327" s="21" t="n">
        <v>1390</v>
      </c>
      <c r="F327" s="14" t="inlineStr">
        <is>
          <t>2026-05-26</t>
        </is>
      </c>
      <c r="G327" s="8" t="n">
        <v>375</v>
      </c>
      <c r="H327" s="22" t="n">
        <v>-55.3</v>
      </c>
      <c r="I327" s="22" t="n">
        <v>-19.5</v>
      </c>
      <c r="J327" s="22" t="n">
        <v>-2.8</v>
      </c>
      <c r="K327" s="23" t="n">
        <v>19.05</v>
      </c>
      <c r="L327" s="23" t="n">
        <v>19</v>
      </c>
      <c r="M327" s="23" t="n">
        <v>60.25</v>
      </c>
      <c r="N327" s="23" t="n">
        <v>19</v>
      </c>
      <c r="O327" s="23" t="n">
        <v>54</v>
      </c>
      <c r="P327" s="23" t="n">
        <v>53.95</v>
      </c>
      <c r="Q327" s="8">
        <f>K327*G327</f>
        <v/>
      </c>
      <c r="R327" s="24">
        <f>(M327-K327)*G327</f>
        <v/>
      </c>
      <c r="S327" s="25">
        <f>(M327/K327-1)*100</f>
        <v/>
      </c>
      <c r="T327" s="26">
        <f>(N327-K327)*G327</f>
        <v/>
      </c>
      <c r="U327" s="27">
        <f>(N327/K327-1)*100</f>
        <v/>
      </c>
      <c r="V327" s="11">
        <f>(P327-K327)*G327</f>
        <v/>
      </c>
      <c r="W327" s="11" t="n">
        <v>12724.47</v>
      </c>
      <c r="X327" s="10">
        <f>W327/Q327*100</f>
        <v/>
      </c>
      <c r="Y327" s="12" t="n">
        <v>5.469</v>
      </c>
      <c r="Z327" s="14" t="inlineStr">
        <is>
          <t>2026_H1</t>
        </is>
      </c>
    </row>
    <row r="328">
      <c r="A328" s="14" t="inlineStr">
        <is>
          <t>2026-05-14</t>
        </is>
      </c>
      <c r="B328" s="7" t="inlineStr">
        <is>
          <t>OIL</t>
        </is>
      </c>
      <c r="C328" s="14" t="inlineStr">
        <is>
          <t>PE</t>
        </is>
      </c>
      <c r="D328" s="14" t="inlineStr">
        <is>
          <t>mid</t>
        </is>
      </c>
      <c r="E328" s="21" t="n">
        <v>505</v>
      </c>
      <c r="F328" s="14" t="inlineStr">
        <is>
          <t>2026-05-26</t>
        </is>
      </c>
      <c r="G328" s="8" t="n">
        <v>1400</v>
      </c>
      <c r="H328" s="22" t="n">
        <v>62</v>
      </c>
      <c r="I328" s="22" t="n">
        <v>68.8</v>
      </c>
      <c r="J328" s="22" t="n">
        <v>4.4</v>
      </c>
      <c r="K328" s="23" t="n">
        <v>5.05</v>
      </c>
      <c r="L328" s="23" t="n">
        <v>5</v>
      </c>
      <c r="M328" s="23" t="n">
        <v>8.550000000000001</v>
      </c>
      <c r="N328" s="23" t="n">
        <v>5</v>
      </c>
      <c r="O328" s="23" t="n">
        <v>6.2</v>
      </c>
      <c r="P328" s="23" t="n">
        <v>6.15</v>
      </c>
      <c r="Q328" s="8">
        <f>K328*G328</f>
        <v/>
      </c>
      <c r="R328" s="24">
        <f>(M328-K328)*G328</f>
        <v/>
      </c>
      <c r="S328" s="25">
        <f>(M328/K328-1)*100</f>
        <v/>
      </c>
      <c r="T328" s="26">
        <f>(N328-K328)*G328</f>
        <v/>
      </c>
      <c r="U328" s="27">
        <f>(N328/K328-1)*100</f>
        <v/>
      </c>
      <c r="V328" s="11">
        <f>(P328-K328)*G328</f>
        <v/>
      </c>
      <c r="W328" s="11" t="n">
        <v>1159.48</v>
      </c>
      <c r="X328" s="10">
        <f>W328/Q328*100</f>
        <v/>
      </c>
      <c r="Y328" s="12" t="n">
        <v>1.494</v>
      </c>
      <c r="Z328" s="14" t="inlineStr">
        <is>
          <t>2026_H1</t>
        </is>
      </c>
    </row>
    <row r="329">
      <c r="A329" s="14" t="inlineStr">
        <is>
          <t>2026-05-15</t>
        </is>
      </c>
      <c r="B329" s="7" t="inlineStr">
        <is>
          <t>UNITDSPR</t>
        </is>
      </c>
      <c r="C329" s="14" t="inlineStr">
        <is>
          <t>PE</t>
        </is>
      </c>
      <c r="D329" s="14" t="inlineStr">
        <is>
          <t>mid</t>
        </is>
      </c>
      <c r="E329" s="21" t="n">
        <v>1270</v>
      </c>
      <c r="F329" s="14" t="inlineStr">
        <is>
          <t>2026-05-26</t>
        </is>
      </c>
      <c r="G329" s="8" t="n">
        <v>400</v>
      </c>
      <c r="H329" s="22" t="n">
        <v>28</v>
      </c>
      <c r="I329" s="22" t="n">
        <v>29</v>
      </c>
      <c r="J329" s="22" t="n">
        <v>3.3</v>
      </c>
      <c r="K329" s="23" t="n">
        <v>13.6</v>
      </c>
      <c r="L329" s="23" t="n">
        <v>13.55</v>
      </c>
      <c r="M329" s="23" t="n">
        <v>18</v>
      </c>
      <c r="N329" s="23" t="n">
        <v>4.9</v>
      </c>
      <c r="O329" s="23" t="n">
        <v>6.9</v>
      </c>
      <c r="P329" s="23" t="n">
        <v>6.85</v>
      </c>
      <c r="Q329" s="8">
        <f>K329*G329</f>
        <v/>
      </c>
      <c r="R329" s="24">
        <f>(M329-K329)*G329</f>
        <v/>
      </c>
      <c r="S329" s="25">
        <f>(M329/K329-1)*100</f>
        <v/>
      </c>
      <c r="T329" s="26">
        <f>(N329-K329)*G329</f>
        <v/>
      </c>
      <c r="U329" s="27">
        <f>(N329/K329-1)*100</f>
        <v/>
      </c>
      <c r="V329" s="11">
        <f>(P329-K329)*G329</f>
        <v/>
      </c>
      <c r="W329" s="11" t="n">
        <v>-2918.51</v>
      </c>
      <c r="X329" s="10">
        <f>W329/Q329*100</f>
        <v/>
      </c>
      <c r="Y329" s="12" t="n">
        <v>-2.459</v>
      </c>
      <c r="Z329" s="14" t="inlineStr">
        <is>
          <t>2026_H1</t>
        </is>
      </c>
    </row>
    <row r="330">
      <c r="A330" s="14" t="inlineStr">
        <is>
          <t>2026-05-18</t>
        </is>
      </c>
      <c r="B330" s="7" t="inlineStr">
        <is>
          <t>GODFRYPHLP</t>
        </is>
      </c>
      <c r="C330" s="14" t="inlineStr">
        <is>
          <t>PE</t>
        </is>
      </c>
      <c r="D330" s="14" t="inlineStr">
        <is>
          <t>mid</t>
        </is>
      </c>
      <c r="E330" s="21" t="n">
        <v>2200</v>
      </c>
      <c r="F330" s="14" t="inlineStr">
        <is>
          <t>2026-05-26</t>
        </is>
      </c>
      <c r="G330" s="8" t="n">
        <v>275</v>
      </c>
      <c r="H330" s="22" t="n">
        <v>86.5</v>
      </c>
      <c r="I330" s="22" t="n">
        <v>51.9</v>
      </c>
      <c r="J330" s="22" t="n">
        <v>84.59999999999999</v>
      </c>
      <c r="K330" s="23" t="n">
        <v>27.65</v>
      </c>
      <c r="L330" s="23" t="n">
        <v>27.6</v>
      </c>
      <c r="M330" s="23" t="n">
        <v>69</v>
      </c>
      <c r="N330" s="23" t="n">
        <v>16</v>
      </c>
      <c r="O330" s="23" t="n">
        <v>40.7</v>
      </c>
      <c r="P330" s="23" t="n">
        <v>40.65</v>
      </c>
      <c r="Q330" s="8">
        <f>K330*G330</f>
        <v/>
      </c>
      <c r="R330" s="24">
        <f>(M330-K330)*G330</f>
        <v/>
      </c>
      <c r="S330" s="25">
        <f>(M330/K330-1)*100</f>
        <v/>
      </c>
      <c r="T330" s="26">
        <f>(N330-K330)*G330</f>
        <v/>
      </c>
      <c r="U330" s="27">
        <f>(N330/K330-1)*100</f>
        <v/>
      </c>
      <c r="V330" s="11">
        <f>(P330-K330)*G330</f>
        <v/>
      </c>
      <c r="W330" s="11" t="n">
        <v>3127.25</v>
      </c>
      <c r="X330" s="10">
        <f>W330/Q330*100</f>
        <v/>
      </c>
      <c r="Y330" s="12" t="n">
        <v>5.088</v>
      </c>
      <c r="Z330" s="14" t="inlineStr">
        <is>
          <t>2026_H1</t>
        </is>
      </c>
    </row>
    <row r="331">
      <c r="A331" s="14" t="inlineStr">
        <is>
          <t>2026-05-18</t>
        </is>
      </c>
      <c r="B331" s="7" t="inlineStr">
        <is>
          <t>PREMIERENE</t>
        </is>
      </c>
      <c r="C331" s="14" t="inlineStr">
        <is>
          <t>PE</t>
        </is>
      </c>
      <c r="D331" s="14" t="inlineStr">
        <is>
          <t>mid</t>
        </is>
      </c>
      <c r="E331" s="21" t="n">
        <v>950</v>
      </c>
      <c r="F331" s="14" t="inlineStr">
        <is>
          <t>2026-05-26</t>
        </is>
      </c>
      <c r="G331" s="8" t="n">
        <v>575</v>
      </c>
      <c r="H331" s="22" t="n">
        <v>64.40000000000001</v>
      </c>
      <c r="I331" s="22" t="n">
        <v>16.7</v>
      </c>
      <c r="J331" s="22" t="n">
        <v>37.6</v>
      </c>
      <c r="K331" s="23" t="n">
        <v>13.6</v>
      </c>
      <c r="L331" s="23" t="n">
        <v>13.55</v>
      </c>
      <c r="M331" s="23" t="n">
        <v>17.8</v>
      </c>
      <c r="N331" s="23" t="n">
        <v>6</v>
      </c>
      <c r="O331" s="23" t="n">
        <v>7.65</v>
      </c>
      <c r="P331" s="23" t="n">
        <v>7.6</v>
      </c>
      <c r="Q331" s="8">
        <f>K331*G331</f>
        <v/>
      </c>
      <c r="R331" s="24">
        <f>(M331-K331)*G331</f>
        <v/>
      </c>
      <c r="S331" s="25">
        <f>(M331/K331-1)*100</f>
        <v/>
      </c>
      <c r="T331" s="26">
        <f>(N331-K331)*G331</f>
        <v/>
      </c>
      <c r="U331" s="27">
        <f>(N331/K331-1)*100</f>
        <v/>
      </c>
      <c r="V331" s="11">
        <f>(P331-K331)*G331</f>
        <v/>
      </c>
      <c r="W331" s="11" t="n">
        <v>-3752.9</v>
      </c>
      <c r="X331" s="10">
        <f>W331/Q331*100</f>
        <v/>
      </c>
      <c r="Y331" s="12" t="n">
        <v>1.122</v>
      </c>
      <c r="Z331" s="14" t="inlineStr">
        <is>
          <t>2026_H1</t>
        </is>
      </c>
    </row>
    <row r="332">
      <c r="A332" s="14" t="inlineStr">
        <is>
          <t>2026-05-18</t>
        </is>
      </c>
      <c r="B332" s="7" t="inlineStr">
        <is>
          <t>TATASTEEL</t>
        </is>
      </c>
      <c r="C332" s="14" t="inlineStr">
        <is>
          <t>PE</t>
        </is>
      </c>
      <c r="D332" s="14" t="inlineStr">
        <is>
          <t>large</t>
        </is>
      </c>
      <c r="E332" s="21" t="n">
        <v>210</v>
      </c>
      <c r="F332" s="14" t="inlineStr">
        <is>
          <t>2026-05-26</t>
        </is>
      </c>
      <c r="G332" s="8" t="n">
        <v>2750</v>
      </c>
      <c r="H332" s="22" t="n">
        <v>146.9</v>
      </c>
      <c r="I332" s="22" t="n">
        <v>8.6</v>
      </c>
      <c r="J332" s="22" t="n">
        <v>12.5</v>
      </c>
      <c r="K332" s="23" t="n">
        <v>2.82</v>
      </c>
      <c r="L332" s="23" t="n">
        <v>2.77</v>
      </c>
      <c r="M332" s="23" t="n">
        <v>7.28</v>
      </c>
      <c r="N332" s="23" t="n">
        <v>2.67</v>
      </c>
      <c r="O332" s="23" t="n">
        <v>3.12</v>
      </c>
      <c r="P332" s="23" t="n">
        <v>3.07</v>
      </c>
      <c r="Q332" s="8">
        <f>K332*G332</f>
        <v/>
      </c>
      <c r="R332" s="24">
        <f>(M332-K332)*G332</f>
        <v/>
      </c>
      <c r="S332" s="25">
        <f>(M332/K332-1)*100</f>
        <v/>
      </c>
      <c r="T332" s="26">
        <f>(N332-K332)*G332</f>
        <v/>
      </c>
      <c r="U332" s="27">
        <f>(N332/K332-1)*100</f>
        <v/>
      </c>
      <c r="V332" s="11">
        <f>(P332-K332)*G332</f>
        <v/>
      </c>
      <c r="W332" s="11" t="n">
        <v>458.62</v>
      </c>
      <c r="X332" s="10">
        <f>W332/Q332*100</f>
        <v/>
      </c>
      <c r="Y332" s="12" t="n">
        <v>0.611</v>
      </c>
      <c r="Z332" s="14" t="inlineStr">
        <is>
          <t>2026_H1</t>
        </is>
      </c>
    </row>
    <row r="333">
      <c r="A333" s="14" t="inlineStr">
        <is>
          <t>2026-05-19</t>
        </is>
      </c>
      <c r="B333" s="7" t="inlineStr">
        <is>
          <t>ASTRAL</t>
        </is>
      </c>
      <c r="C333" s="14" t="inlineStr">
        <is>
          <t>PE</t>
        </is>
      </c>
      <c r="D333" s="14" t="inlineStr">
        <is>
          <t>mid</t>
        </is>
      </c>
      <c r="E333" s="21" t="n">
        <v>1460</v>
      </c>
      <c r="F333" s="14" t="inlineStr">
        <is>
          <t>2026-05-26</t>
        </is>
      </c>
      <c r="G333" s="8" t="n">
        <v>425</v>
      </c>
      <c r="H333" s="22" t="n">
        <v>19.6</v>
      </c>
      <c r="I333" s="22" t="n">
        <v>97.8</v>
      </c>
      <c r="J333" s="22" t="n">
        <v>24.2</v>
      </c>
      <c r="K333" s="23" t="n">
        <v>10.05</v>
      </c>
      <c r="L333" s="23" t="n">
        <v>10</v>
      </c>
      <c r="M333" s="23" t="n">
        <v>45.3</v>
      </c>
      <c r="N333" s="23" t="n">
        <v>10</v>
      </c>
      <c r="O333" s="23" t="n">
        <v>37.7</v>
      </c>
      <c r="P333" s="23" t="n">
        <v>37.65</v>
      </c>
      <c r="Q333" s="8">
        <f>K333*G333</f>
        <v/>
      </c>
      <c r="R333" s="24">
        <f>(M333-K333)*G333</f>
        <v/>
      </c>
      <c r="S333" s="25">
        <f>(M333/K333-1)*100</f>
        <v/>
      </c>
      <c r="T333" s="26">
        <f>(N333-K333)*G333</f>
        <v/>
      </c>
      <c r="U333" s="27">
        <f>(N333/K333-1)*100</f>
        <v/>
      </c>
      <c r="V333" s="11">
        <f>(P333-K333)*G333</f>
        <v/>
      </c>
      <c r="W333" s="11" t="n">
        <v>11244.69</v>
      </c>
      <c r="X333" s="10">
        <f>W333/Q333*100</f>
        <v/>
      </c>
      <c r="Y333" s="12" t="n">
        <v>6.22</v>
      </c>
      <c r="Z333" s="14" t="inlineStr">
        <is>
          <t>2026_H1</t>
        </is>
      </c>
    </row>
    <row r="334">
      <c r="A334" s="14" t="inlineStr">
        <is>
          <t>2026-05-20</t>
        </is>
      </c>
      <c r="B334" s="7" t="inlineStr">
        <is>
          <t>MANKIND</t>
        </is>
      </c>
      <c r="C334" s="14" t="inlineStr">
        <is>
          <t>PE</t>
        </is>
      </c>
      <c r="D334" s="14" t="inlineStr">
        <is>
          <t>mid</t>
        </is>
      </c>
      <c r="E334" s="21" t="n">
        <v>2420</v>
      </c>
      <c r="F334" s="14" t="inlineStr">
        <is>
          <t>2026-05-26</t>
        </is>
      </c>
      <c r="G334" s="8" t="n">
        <v>225</v>
      </c>
      <c r="H334" s="22" t="n">
        <v>31.7</v>
      </c>
      <c r="I334" s="22" t="n">
        <v>35.2</v>
      </c>
      <c r="J334" s="22" t="n">
        <v>11.8</v>
      </c>
      <c r="K334" s="23" t="n">
        <v>30.05</v>
      </c>
      <c r="L334" s="23" t="n">
        <v>30</v>
      </c>
      <c r="M334" s="23" t="n">
        <v>34.2</v>
      </c>
      <c r="N334" s="23" t="n">
        <v>3.1</v>
      </c>
      <c r="O334" s="23" t="n">
        <v>3.65</v>
      </c>
      <c r="P334" s="23" t="n">
        <v>3.6</v>
      </c>
      <c r="Q334" s="8">
        <f>K334*G334</f>
        <v/>
      </c>
      <c r="R334" s="24">
        <f>(M334-K334)*G334</f>
        <v/>
      </c>
      <c r="S334" s="25">
        <f>(M334/K334-1)*100</f>
        <v/>
      </c>
      <c r="T334" s="26">
        <f>(N334-K334)*G334</f>
        <v/>
      </c>
      <c r="U334" s="27">
        <f>(N334/K334-1)*100</f>
        <v/>
      </c>
      <c r="V334" s="11">
        <f>(P334-K334)*G334</f>
        <v/>
      </c>
      <c r="W334" s="11" t="n">
        <v>-6154.48</v>
      </c>
      <c r="X334" s="10">
        <f>W334/Q334*100</f>
        <v/>
      </c>
      <c r="Y334" s="12" t="n">
        <v>-3.315</v>
      </c>
      <c r="Z334" s="14" t="inlineStr">
        <is>
          <t>2026_H1</t>
        </is>
      </c>
    </row>
    <row r="335">
      <c r="A335" s="14" t="inlineStr">
        <is>
          <t>2026-05-20</t>
        </is>
      </c>
      <c r="B335" s="7" t="inlineStr">
        <is>
          <t>PIIND</t>
        </is>
      </c>
      <c r="C335" s="14" t="inlineStr">
        <is>
          <t>CE</t>
        </is>
      </c>
      <c r="D335" s="14" t="inlineStr">
        <is>
          <t>mid</t>
        </is>
      </c>
      <c r="E335" s="21" t="n">
        <v>3120</v>
      </c>
      <c r="F335" s="14" t="inlineStr">
        <is>
          <t>2026-05-26</t>
        </is>
      </c>
      <c r="G335" s="8" t="n">
        <v>175</v>
      </c>
      <c r="H335" s="22" t="n">
        <v>-39.4</v>
      </c>
      <c r="I335" s="22" t="n">
        <v>-35.7</v>
      </c>
      <c r="J335" s="22" t="n">
        <v>-12.4</v>
      </c>
      <c r="K335" s="23" t="n">
        <v>15.85</v>
      </c>
      <c r="L335" s="23" t="n">
        <v>15.8</v>
      </c>
      <c r="M335" s="23" t="n">
        <v>15.85</v>
      </c>
      <c r="N335" s="23" t="n">
        <v>4.45</v>
      </c>
      <c r="O335" s="23" t="n">
        <v>5.05</v>
      </c>
      <c r="P335" s="23" t="n">
        <v>5</v>
      </c>
      <c r="Q335" s="8">
        <f>K335*G335</f>
        <v/>
      </c>
      <c r="R335" s="24">
        <f>(M335-K335)*G335</f>
        <v/>
      </c>
      <c r="S335" s="25">
        <f>(M335/K335-1)*100</f>
        <v/>
      </c>
      <c r="T335" s="26">
        <f>(N335-K335)*G335</f>
        <v/>
      </c>
      <c r="U335" s="27">
        <f>(N335/K335-1)*100</f>
        <v/>
      </c>
      <c r="V335" s="11">
        <f>(P335-K335)*G335</f>
        <v/>
      </c>
      <c r="W335" s="11" t="n">
        <v>-2021.86</v>
      </c>
      <c r="X335" s="10">
        <f>W335/Q335*100</f>
        <v/>
      </c>
      <c r="Y335" s="12" t="n">
        <v>-1.654</v>
      </c>
      <c r="Z335" s="14" t="inlineStr">
        <is>
          <t>2026_H1</t>
        </is>
      </c>
    </row>
    <row r="336">
      <c r="A336" s="14" t="inlineStr">
        <is>
          <t>2026-05-21</t>
        </is>
      </c>
      <c r="B336" s="7" t="inlineStr">
        <is>
          <t>APOLLOHOSP</t>
        </is>
      </c>
      <c r="C336" s="14" t="inlineStr">
        <is>
          <t>PE</t>
        </is>
      </c>
      <c r="D336" s="14" t="inlineStr">
        <is>
          <t>large</t>
        </is>
      </c>
      <c r="E336" s="21" t="n">
        <v>7900</v>
      </c>
      <c r="F336" s="14" t="inlineStr">
        <is>
          <t>2026-05-26</t>
        </is>
      </c>
      <c r="G336" s="8" t="n">
        <v>125</v>
      </c>
      <c r="H336" s="22" t="n">
        <v>33</v>
      </c>
      <c r="I336" s="22" t="n">
        <v>6.8</v>
      </c>
      <c r="J336" s="22" t="n">
        <v>18.1</v>
      </c>
      <c r="K336" s="23" t="n">
        <v>50.05</v>
      </c>
      <c r="L336" s="23" t="n">
        <v>50</v>
      </c>
      <c r="M336" s="23" t="n">
        <v>89.25</v>
      </c>
      <c r="N336" s="23" t="n">
        <v>14.5</v>
      </c>
      <c r="O336" s="23" t="n">
        <v>16.45</v>
      </c>
      <c r="P336" s="23" t="n">
        <v>16.4</v>
      </c>
      <c r="Q336" s="8">
        <f>K336*G336</f>
        <v/>
      </c>
      <c r="R336" s="24">
        <f>(M336-K336)*G336</f>
        <v/>
      </c>
      <c r="S336" s="25">
        <f>(M336/K336-1)*100</f>
        <v/>
      </c>
      <c r="T336" s="26">
        <f>(N336-K336)*G336</f>
        <v/>
      </c>
      <c r="U336" s="27">
        <f>(N336/K336-1)*100</f>
        <v/>
      </c>
      <c r="V336" s="11">
        <f>(P336-K336)*G336</f>
        <v/>
      </c>
      <c r="W336" s="11" t="n">
        <v>-4343.27</v>
      </c>
      <c r="X336" s="10">
        <f>W336/Q336*100</f>
        <v/>
      </c>
      <c r="Y336" s="12" t="n">
        <v>-1.342</v>
      </c>
      <c r="Z336" s="14" t="inlineStr">
        <is>
          <t>2026_H1</t>
        </is>
      </c>
    </row>
    <row r="337">
      <c r="A337" s="14" t="inlineStr">
        <is>
          <t>2026-05-21</t>
        </is>
      </c>
      <c r="B337" s="7" t="inlineStr">
        <is>
          <t>GRASIM</t>
        </is>
      </c>
      <c r="C337" s="14" t="inlineStr">
        <is>
          <t>PE</t>
        </is>
      </c>
      <c r="D337" s="14" t="inlineStr">
        <is>
          <t>large</t>
        </is>
      </c>
      <c r="E337" s="21" t="n">
        <v>2980</v>
      </c>
      <c r="F337" s="14" t="inlineStr">
        <is>
          <t>2026-05-26</t>
        </is>
      </c>
      <c r="G337" s="8" t="n">
        <v>250</v>
      </c>
      <c r="H337" s="22" t="n">
        <v>27.9</v>
      </c>
      <c r="I337" s="22" t="n">
        <v>70.3</v>
      </c>
      <c r="J337" s="22" t="n">
        <v>15.4</v>
      </c>
      <c r="K337" s="23" t="n">
        <v>5.05</v>
      </c>
      <c r="L337" s="23" t="n">
        <v>5</v>
      </c>
      <c r="M337" s="23" t="n">
        <v>16.6</v>
      </c>
      <c r="N337" s="23" t="n">
        <v>2.95</v>
      </c>
      <c r="O337" s="23" t="n">
        <v>3.25</v>
      </c>
      <c r="P337" s="23" t="n">
        <v>3.2</v>
      </c>
      <c r="Q337" s="8">
        <f>K337*G337</f>
        <v/>
      </c>
      <c r="R337" s="24">
        <f>(M337-K337)*G337</f>
        <v/>
      </c>
      <c r="S337" s="25">
        <f>(M337/K337-1)*100</f>
        <v/>
      </c>
      <c r="T337" s="26">
        <f>(N337-K337)*G337</f>
        <v/>
      </c>
      <c r="U337" s="27">
        <f>(N337/K337-1)*100</f>
        <v/>
      </c>
      <c r="V337" s="11">
        <f>(P337-K337)*G337</f>
        <v/>
      </c>
      <c r="W337" s="11" t="n">
        <v>-532.42</v>
      </c>
      <c r="X337" s="10">
        <f>W337/Q337*100</f>
        <v/>
      </c>
      <c r="Y337" s="12" t="n">
        <v>-3.065</v>
      </c>
      <c r="Z337" s="14" t="inlineStr">
        <is>
          <t>2026_H1</t>
        </is>
      </c>
    </row>
    <row r="338">
      <c r="A338" s="14" t="inlineStr">
        <is>
          <t>2026-05-21</t>
        </is>
      </c>
      <c r="B338" s="7" t="inlineStr">
        <is>
          <t>JUBLFOOD</t>
        </is>
      </c>
      <c r="C338" s="14" t="inlineStr">
        <is>
          <t>PE</t>
        </is>
      </c>
      <c r="D338" s="14" t="inlineStr">
        <is>
          <t>mid</t>
        </is>
      </c>
      <c r="E338" s="21" t="n">
        <v>435</v>
      </c>
      <c r="F338" s="14" t="inlineStr">
        <is>
          <t>2026-05-26</t>
        </is>
      </c>
      <c r="G338" s="8" t="n">
        <v>1250</v>
      </c>
      <c r="H338" s="22" t="n">
        <v>67.09999999999999</v>
      </c>
      <c r="I338" s="22" t="n">
        <v>13.1</v>
      </c>
      <c r="J338" s="22" t="n">
        <v>18.8</v>
      </c>
      <c r="K338" s="23" t="n">
        <v>5.55</v>
      </c>
      <c r="L338" s="23" t="n">
        <v>5.5</v>
      </c>
      <c r="M338" s="23" t="n">
        <v>10.45</v>
      </c>
      <c r="N338" s="23" t="n">
        <v>4.6</v>
      </c>
      <c r="O338" s="23" t="n">
        <v>7.25</v>
      </c>
      <c r="P338" s="23" t="n">
        <v>7.2</v>
      </c>
      <c r="Q338" s="8">
        <f>K338*G338</f>
        <v/>
      </c>
      <c r="R338" s="24">
        <f>(M338-K338)*G338</f>
        <v/>
      </c>
      <c r="S338" s="25">
        <f>(M338/K338-1)*100</f>
        <v/>
      </c>
      <c r="T338" s="26">
        <f>(N338-K338)*G338</f>
        <v/>
      </c>
      <c r="U338" s="27">
        <f>(N338/K338-1)*100</f>
        <v/>
      </c>
      <c r="V338" s="11">
        <f>(P338-K338)*G338</f>
        <v/>
      </c>
      <c r="W338" s="11" t="n">
        <v>1676.14</v>
      </c>
      <c r="X338" s="10">
        <f>W338/Q338*100</f>
        <v/>
      </c>
      <c r="Y338" s="12" t="n">
        <v>3.038</v>
      </c>
      <c r="Z338" s="14" t="inlineStr">
        <is>
          <t>2026_H1</t>
        </is>
      </c>
    </row>
    <row r="339">
      <c r="A339" s="14" t="inlineStr">
        <is>
          <t>2026-05-22</t>
        </is>
      </c>
      <c r="B339" s="7" t="inlineStr">
        <is>
          <t>PRESTIGE</t>
        </is>
      </c>
      <c r="C339" s="14" t="inlineStr">
        <is>
          <t>PE</t>
        </is>
      </c>
      <c r="D339" s="14" t="inlineStr">
        <is>
          <t>mid</t>
        </is>
      </c>
      <c r="E339" s="21" t="n">
        <v>1340</v>
      </c>
      <c r="F339" s="14" t="inlineStr">
        <is>
          <t>2026-05-26</t>
        </is>
      </c>
      <c r="G339" s="8" t="n">
        <v>450</v>
      </c>
      <c r="H339" s="22" t="n">
        <v>577</v>
      </c>
      <c r="I339" s="22" t="n">
        <v>19.2</v>
      </c>
      <c r="J339" s="22" t="n">
        <v>166.5</v>
      </c>
      <c r="K339" s="23" t="n">
        <v>8.050000000000001</v>
      </c>
      <c r="L339" s="23" t="n">
        <v>8</v>
      </c>
      <c r="M339" s="23" t="n">
        <v>25.7</v>
      </c>
      <c r="N339" s="23" t="n">
        <v>2.7</v>
      </c>
      <c r="O339" s="23" t="n">
        <v>3.35</v>
      </c>
      <c r="P339" s="23" t="n">
        <v>3.3</v>
      </c>
      <c r="Q339" s="8">
        <f>K339*G339</f>
        <v/>
      </c>
      <c r="R339" s="24">
        <f>(M339-K339)*G339</f>
        <v/>
      </c>
      <c r="S339" s="25">
        <f>(M339/K339-1)*100</f>
        <v/>
      </c>
      <c r="T339" s="26">
        <f>(N339-K339)*G339</f>
        <v/>
      </c>
      <c r="U339" s="27">
        <f>(N339/K339-1)*100</f>
        <v/>
      </c>
      <c r="V339" s="11">
        <f>(P339-K339)*G339</f>
        <v/>
      </c>
      <c r="W339" s="11" t="n">
        <v>-2291.34</v>
      </c>
      <c r="X339" s="10">
        <f>W339/Q339*100</f>
        <v/>
      </c>
      <c r="Y339" s="12" t="n">
        <v>1.42</v>
      </c>
      <c r="Z339" s="14" t="inlineStr">
        <is>
          <t>2026_H1</t>
        </is>
      </c>
    </row>
    <row r="340">
      <c r="A340" s="14" t="inlineStr">
        <is>
          <t>2026-05-25</t>
        </is>
      </c>
      <c r="B340" s="7" t="inlineStr">
        <is>
          <t>DIVISLAB</t>
        </is>
      </c>
      <c r="C340" s="14" t="inlineStr">
        <is>
          <t>PE</t>
        </is>
      </c>
      <c r="D340" s="14" t="inlineStr">
        <is>
          <t>large</t>
        </is>
      </c>
      <c r="E340" s="21" t="n">
        <v>6300</v>
      </c>
      <c r="F340" s="14" t="inlineStr">
        <is>
          <t>2026-06-30</t>
        </is>
      </c>
      <c r="G340" s="8" t="n">
        <v>100</v>
      </c>
      <c r="H340" s="22" t="n">
        <v>13.4</v>
      </c>
      <c r="I340" s="22" t="n">
        <v>28.8</v>
      </c>
      <c r="J340" s="22" t="n">
        <v>9.5</v>
      </c>
      <c r="K340" s="23" t="n">
        <v>50.05</v>
      </c>
      <c r="L340" s="23" t="n">
        <v>50</v>
      </c>
      <c r="M340" s="23" t="n">
        <v>50.6</v>
      </c>
      <c r="N340" s="23" t="n">
        <v>25.05</v>
      </c>
      <c r="O340" s="23" t="n">
        <v>33.5</v>
      </c>
      <c r="P340" s="23" t="n">
        <v>33.45</v>
      </c>
      <c r="Q340" s="8">
        <f>K340*G340</f>
        <v/>
      </c>
      <c r="R340" s="24">
        <f>(M340-K340)*G340</f>
        <v/>
      </c>
      <c r="S340" s="25">
        <f>(M340/K340-1)*100</f>
        <v/>
      </c>
      <c r="T340" s="26">
        <f>(N340-K340)*G340</f>
        <v/>
      </c>
      <c r="U340" s="27">
        <f>(N340/K340-1)*100</f>
        <v/>
      </c>
      <c r="V340" s="11">
        <f>(P340-K340)*G340</f>
        <v/>
      </c>
      <c r="W340" s="11" t="n">
        <v>-1799.38</v>
      </c>
      <c r="X340" s="10">
        <f>W340/Q340*100</f>
        <v/>
      </c>
      <c r="Y340" s="12" t="n">
        <v>-0.096</v>
      </c>
      <c r="Z340" s="14" t="inlineStr">
        <is>
          <t>2026_H1</t>
        </is>
      </c>
    </row>
    <row r="341">
      <c r="A341" s="14" t="inlineStr">
        <is>
          <t>2026-05-25</t>
        </is>
      </c>
      <c r="B341" s="7" t="inlineStr">
        <is>
          <t>EICHERMOT</t>
        </is>
      </c>
      <c r="C341" s="14" t="inlineStr">
        <is>
          <t>PE</t>
        </is>
      </c>
      <c r="D341" s="14" t="inlineStr">
        <is>
          <t>large</t>
        </is>
      </c>
      <c r="E341" s="21" t="n">
        <v>6800</v>
      </c>
      <c r="F341" s="14" t="inlineStr">
        <is>
          <t>2026-06-30</t>
        </is>
      </c>
      <c r="G341" s="8" t="n">
        <v>100</v>
      </c>
      <c r="H341" s="22" t="n">
        <v>11.6</v>
      </c>
      <c r="I341" s="22" t="n">
        <v>7</v>
      </c>
      <c r="J341" s="22" t="n">
        <v>16</v>
      </c>
      <c r="K341" s="23" t="n">
        <v>75</v>
      </c>
      <c r="L341" s="23" t="n">
        <v>74.95</v>
      </c>
      <c r="M341" s="23" t="n">
        <v>74.95</v>
      </c>
      <c r="N341" s="23" t="n">
        <v>39.5</v>
      </c>
      <c r="O341" s="23" t="n">
        <v>42.35</v>
      </c>
      <c r="P341" s="23" t="n">
        <v>42.3</v>
      </c>
      <c r="Q341" s="8">
        <f>K341*G341</f>
        <v/>
      </c>
      <c r="R341" s="24">
        <f>(M341-K341)*G341</f>
        <v/>
      </c>
      <c r="S341" s="25">
        <f>(M341/K341-1)*100</f>
        <v/>
      </c>
      <c r="T341" s="26">
        <f>(N341-K341)*G341</f>
        <v/>
      </c>
      <c r="U341" s="27">
        <f>(N341/K341-1)*100</f>
        <v/>
      </c>
      <c r="V341" s="11">
        <f>(P341-K341)*G341</f>
        <v/>
      </c>
      <c r="W341" s="11" t="n">
        <v>-3445.99</v>
      </c>
      <c r="X341" s="10">
        <f>W341/Q341*100</f>
        <v/>
      </c>
      <c r="Y341" s="12" t="n">
        <v>-2.446</v>
      </c>
      <c r="Z341" s="14" t="inlineStr">
        <is>
          <t>2026_H1</t>
        </is>
      </c>
    </row>
    <row r="342">
      <c r="A342" s="14" t="inlineStr">
        <is>
          <t>2026-05-25</t>
        </is>
      </c>
      <c r="B342" s="7" t="inlineStr">
        <is>
          <t>FORTIS</t>
        </is>
      </c>
      <c r="C342" s="14" t="inlineStr">
        <is>
          <t>PE</t>
        </is>
      </c>
      <c r="D342" s="14" t="inlineStr">
        <is>
          <t>mid</t>
        </is>
      </c>
      <c r="E342" s="21" t="n">
        <v>900</v>
      </c>
      <c r="F342" s="14" t="inlineStr">
        <is>
          <t>2026-06-30</t>
        </is>
      </c>
      <c r="G342" s="8" t="n">
        <v>775</v>
      </c>
      <c r="H342" s="22" t="n">
        <v>44.2</v>
      </c>
      <c r="I342" s="22" t="n">
        <v>37.4</v>
      </c>
      <c r="J342" s="22" t="n">
        <v>17.8</v>
      </c>
      <c r="K342" s="23" t="n">
        <v>10.05</v>
      </c>
      <c r="L342" s="23" t="n">
        <v>10</v>
      </c>
      <c r="M342" s="23" t="n">
        <v>10.45</v>
      </c>
      <c r="N342" s="23" t="n">
        <v>7.05</v>
      </c>
      <c r="O342" s="23" t="n">
        <v>8.5</v>
      </c>
      <c r="P342" s="23" t="n">
        <v>8.449999999999999</v>
      </c>
      <c r="Q342" s="8">
        <f>K342*G342</f>
        <v/>
      </c>
      <c r="R342" s="24">
        <f>(M342-K342)*G342</f>
        <v/>
      </c>
      <c r="S342" s="25">
        <f>(M342/K342-1)*100</f>
        <v/>
      </c>
      <c r="T342" s="26">
        <f>(N342-K342)*G342</f>
        <v/>
      </c>
      <c r="U342" s="27">
        <f>(N342/K342-1)*100</f>
        <v/>
      </c>
      <c r="V342" s="11">
        <f>(P342-K342)*G342</f>
        <v/>
      </c>
      <c r="W342" s="11" t="n">
        <v>-1590.04</v>
      </c>
      <c r="X342" s="10">
        <f>W342/Q342*100</f>
        <v/>
      </c>
      <c r="Y342" s="12" t="n">
        <v>-0.139</v>
      </c>
      <c r="Z342" s="14" t="inlineStr">
        <is>
          <t>2026_H1</t>
        </is>
      </c>
    </row>
    <row r="343">
      <c r="A343" s="14" t="inlineStr">
        <is>
          <t>2026-05-25</t>
        </is>
      </c>
      <c r="B343" s="7" t="inlineStr">
        <is>
          <t>NAUKRI</t>
        </is>
      </c>
      <c r="C343" s="14" t="inlineStr">
        <is>
          <t>PE</t>
        </is>
      </c>
      <c r="D343" s="14" t="inlineStr">
        <is>
          <t>mid</t>
        </is>
      </c>
      <c r="E343" s="21" t="n">
        <v>880</v>
      </c>
      <c r="F343" s="14" t="inlineStr">
        <is>
          <t>2026-06-30</t>
        </is>
      </c>
      <c r="G343" s="8" t="n">
        <v>375</v>
      </c>
      <c r="H343" s="22" t="n">
        <v>11.5</v>
      </c>
      <c r="I343" s="22" t="n">
        <v>138.6</v>
      </c>
      <c r="J343" s="22" t="n">
        <v>15.9</v>
      </c>
      <c r="K343" s="23" t="n">
        <v>15.05</v>
      </c>
      <c r="L343" s="23" t="n">
        <v>15</v>
      </c>
      <c r="M343" s="23" t="n">
        <v>23.9</v>
      </c>
      <c r="N343" s="23" t="n">
        <v>14.6</v>
      </c>
      <c r="O343" s="23" t="n">
        <v>16.05</v>
      </c>
      <c r="P343" s="23" t="n">
        <v>16</v>
      </c>
      <c r="Q343" s="8">
        <f>K343*G343</f>
        <v/>
      </c>
      <c r="R343" s="24">
        <f>(M343-K343)*G343</f>
        <v/>
      </c>
      <c r="S343" s="25">
        <f>(M343/K343-1)*100</f>
        <v/>
      </c>
      <c r="T343" s="26">
        <f>(N343-K343)*G343</f>
        <v/>
      </c>
      <c r="U343" s="27">
        <f>(N343/K343-1)*100</f>
        <v/>
      </c>
      <c r="V343" s="11">
        <f>(P343-K343)*G343</f>
        <v/>
      </c>
      <c r="W343" s="11" t="n">
        <v>62.1</v>
      </c>
      <c r="X343" s="10">
        <f>W343/Q343*100</f>
        <v/>
      </c>
      <c r="Y343" s="12" t="n">
        <v>2.691</v>
      </c>
      <c r="Z343" s="14" t="inlineStr">
        <is>
          <t>2026_H1</t>
        </is>
      </c>
    </row>
    <row r="344">
      <c r="A344" s="14" t="inlineStr">
        <is>
          <t>2026-05-25</t>
        </is>
      </c>
      <c r="B344" s="7" t="inlineStr">
        <is>
          <t>TORNTPHARM</t>
        </is>
      </c>
      <c r="C344" s="14" t="inlineStr">
        <is>
          <t>CE</t>
        </is>
      </c>
      <c r="D344" s="14" t="inlineStr">
        <is>
          <t>large</t>
        </is>
      </c>
      <c r="E344" s="21" t="n">
        <v>5000</v>
      </c>
      <c r="F344" s="14" t="inlineStr">
        <is>
          <t>2026-06-30</t>
        </is>
      </c>
      <c r="G344" s="8" t="n">
        <v>125</v>
      </c>
      <c r="H344" s="22" t="n">
        <v>-26.9</v>
      </c>
      <c r="I344" s="22" t="n">
        <v>-42.7</v>
      </c>
      <c r="J344" s="22" t="n">
        <v>41.8</v>
      </c>
      <c r="K344" s="23" t="n">
        <v>36.4</v>
      </c>
      <c r="L344" s="23" t="n">
        <v>36.35</v>
      </c>
      <c r="M344" s="23" t="n">
        <v>55</v>
      </c>
      <c r="N344" s="23" t="n">
        <v>27.05</v>
      </c>
      <c r="O344" s="23" t="n">
        <v>29.6</v>
      </c>
      <c r="P344" s="23" t="n">
        <v>29.55</v>
      </c>
      <c r="Q344" s="8">
        <f>K344*G344</f>
        <v/>
      </c>
      <c r="R344" s="24">
        <f>(M344-K344)*G344</f>
        <v/>
      </c>
      <c r="S344" s="25">
        <f>(M344/K344-1)*100</f>
        <v/>
      </c>
      <c r="T344" s="26">
        <f>(N344-K344)*G344</f>
        <v/>
      </c>
      <c r="U344" s="27">
        <f>(N344/K344-1)*100</f>
        <v/>
      </c>
      <c r="V344" s="11">
        <f>(P344-K344)*G344</f>
        <v/>
      </c>
      <c r="W344" s="11" t="n">
        <v>-995.03</v>
      </c>
      <c r="X344" s="10">
        <f>W344/Q344*100</f>
        <v/>
      </c>
      <c r="Y344" s="12" t="n">
        <v>1.052</v>
      </c>
      <c r="Z344" s="14" t="inlineStr">
        <is>
          <t>2026_H1</t>
        </is>
      </c>
    </row>
    <row r="345">
      <c r="A345" s="14" t="inlineStr">
        <is>
          <t>2026-05-26</t>
        </is>
      </c>
      <c r="B345" s="7" t="inlineStr">
        <is>
          <t>POWERINDIA</t>
        </is>
      </c>
      <c r="C345" s="14" t="inlineStr">
        <is>
          <t>PE</t>
        </is>
      </c>
      <c r="D345" s="14" t="inlineStr">
        <is>
          <t>mid</t>
        </is>
      </c>
      <c r="E345" s="21" t="n">
        <v>29000</v>
      </c>
      <c r="F345" s="14" t="inlineStr">
        <is>
          <t>2026-06-30</t>
        </is>
      </c>
      <c r="G345" s="8" t="n">
        <v>25</v>
      </c>
      <c r="H345" s="22" t="n">
        <v>79.7</v>
      </c>
      <c r="I345" s="22" t="n">
        <v>26.4</v>
      </c>
      <c r="J345" s="22" t="n">
        <v>46.2</v>
      </c>
      <c r="K345" s="23" t="n">
        <v>285</v>
      </c>
      <c r="L345" s="23" t="n">
        <v>284.95</v>
      </c>
      <c r="M345" s="23" t="n">
        <v>320.95</v>
      </c>
      <c r="N345" s="23" t="n">
        <v>68.84999999999999</v>
      </c>
      <c r="O345" s="23" t="n">
        <v>94.15000000000001</v>
      </c>
      <c r="P345" s="23" t="n">
        <v>94.09999999999999</v>
      </c>
      <c r="Q345" s="8">
        <f>K345*G345</f>
        <v/>
      </c>
      <c r="R345" s="24">
        <f>(M345-K345)*G345</f>
        <v/>
      </c>
      <c r="S345" s="25">
        <f>(M345/K345-1)*100</f>
        <v/>
      </c>
      <c r="T345" s="26">
        <f>(N345-K345)*G345</f>
        <v/>
      </c>
      <c r="U345" s="27">
        <f>(N345/K345-1)*100</f>
        <v/>
      </c>
      <c r="V345" s="11">
        <f>(P345-K345)*G345</f>
        <v/>
      </c>
      <c r="W345" s="11" t="n">
        <v>-5016.98</v>
      </c>
      <c r="X345" s="10">
        <f>W345/Q345*100</f>
        <v/>
      </c>
      <c r="Y345" s="12" t="n">
        <v>-1.681</v>
      </c>
      <c r="Z345" s="14" t="inlineStr">
        <is>
          <t>2026_H1</t>
        </is>
      </c>
    </row>
    <row r="346">
      <c r="A346" s="14" t="inlineStr">
        <is>
          <t>2026-05-26</t>
        </is>
      </c>
      <c r="B346" s="7" t="inlineStr">
        <is>
          <t>RVNL</t>
        </is>
      </c>
      <c r="C346" s="14" t="inlineStr">
        <is>
          <t>CE</t>
        </is>
      </c>
      <c r="D346" s="14" t="inlineStr">
        <is>
          <t>mid</t>
        </is>
      </c>
      <c r="E346" s="21" t="n">
        <v>285</v>
      </c>
      <c r="F346" s="14" t="inlineStr">
        <is>
          <t>2026-06-30</t>
        </is>
      </c>
      <c r="G346" s="8" t="n">
        <v>1525</v>
      </c>
      <c r="H346" s="22" t="n">
        <v>-60.4</v>
      </c>
      <c r="I346" s="22" t="n">
        <v>-44</v>
      </c>
      <c r="J346" s="22" t="n">
        <v>4.2</v>
      </c>
      <c r="K346" s="23" t="n">
        <v>4.85</v>
      </c>
      <c r="L346" s="23" t="n">
        <v>4.8</v>
      </c>
      <c r="M346" s="23" t="n">
        <v>4.8</v>
      </c>
      <c r="N346" s="23" t="n">
        <v>3.3</v>
      </c>
      <c r="O346" s="23" t="n">
        <v>3.45</v>
      </c>
      <c r="P346" s="23" t="n">
        <v>3.4</v>
      </c>
      <c r="Q346" s="8">
        <f>K346*G346</f>
        <v/>
      </c>
      <c r="R346" s="24">
        <f>(M346-K346)*G346</f>
        <v/>
      </c>
      <c r="S346" s="25">
        <f>(M346/K346-1)*100</f>
        <v/>
      </c>
      <c r="T346" s="26">
        <f>(N346-K346)*G346</f>
        <v/>
      </c>
      <c r="U346" s="27">
        <f>(N346/K346-1)*100</f>
        <v/>
      </c>
      <c r="V346" s="11">
        <f>(P346-K346)*G346</f>
        <v/>
      </c>
      <c r="W346" s="11" t="n">
        <v>-2523.36</v>
      </c>
      <c r="X346" s="10">
        <f>W346/Q346*100</f>
        <v/>
      </c>
      <c r="Y346" s="12" t="n">
        <v>-1.591</v>
      </c>
      <c r="Z346" s="14" t="inlineStr">
        <is>
          <t>2026_H1</t>
        </is>
      </c>
    </row>
    <row r="347">
      <c r="A347" s="14" t="inlineStr">
        <is>
          <t>2026-05-27</t>
        </is>
      </c>
      <c r="B347" s="7" t="inlineStr">
        <is>
          <t>ONGC</t>
        </is>
      </c>
      <c r="C347" s="14" t="inlineStr">
        <is>
          <t>PE</t>
        </is>
      </c>
      <c r="D347" s="14" t="inlineStr">
        <is>
          <t>large</t>
        </is>
      </c>
      <c r="E347" s="21" t="n">
        <v>270</v>
      </c>
      <c r="F347" s="14" t="inlineStr">
        <is>
          <t>2026-06-30</t>
        </is>
      </c>
      <c r="G347" s="8" t="n">
        <v>2250</v>
      </c>
      <c r="H347" s="22" t="n">
        <v>54.4</v>
      </c>
      <c r="I347" s="22" t="n">
        <v>14.5</v>
      </c>
      <c r="J347" s="22" t="n">
        <v>1.8</v>
      </c>
      <c r="K347" s="23" t="n">
        <v>3.55</v>
      </c>
      <c r="L347" s="23" t="n">
        <v>3.5</v>
      </c>
      <c r="M347" s="23" t="n">
        <v>5.75</v>
      </c>
      <c r="N347" s="23" t="n">
        <v>3.5</v>
      </c>
      <c r="O347" s="23" t="n">
        <v>5.3</v>
      </c>
      <c r="P347" s="23" t="n">
        <v>5.25</v>
      </c>
      <c r="Q347" s="8">
        <f>K347*G347</f>
        <v/>
      </c>
      <c r="R347" s="24">
        <f>(M347-K347)*G347</f>
        <v/>
      </c>
      <c r="S347" s="25">
        <f>(M347/K347-1)*100</f>
        <v/>
      </c>
      <c r="T347" s="26">
        <f>(N347-K347)*G347</f>
        <v/>
      </c>
      <c r="U347" s="27">
        <f>(N347/K347-1)*100</f>
        <v/>
      </c>
      <c r="V347" s="11">
        <f>(P347-K347)*G347</f>
        <v/>
      </c>
      <c r="W347" s="11" t="n">
        <v>3553.51</v>
      </c>
      <c r="X347" s="10">
        <f>W347/Q347*100</f>
        <v/>
      </c>
      <c r="Y347" s="12" t="n">
        <v>3.571</v>
      </c>
      <c r="Z347" s="14" t="inlineStr">
        <is>
          <t>2026_H1</t>
        </is>
      </c>
    </row>
    <row r="348">
      <c r="A348" s="14" t="inlineStr">
        <is>
          <t>2026-05-29</t>
        </is>
      </c>
      <c r="B348" s="7" t="inlineStr">
        <is>
          <t>CUMMINSIND</t>
        </is>
      </c>
      <c r="C348" s="14" t="inlineStr">
        <is>
          <t>PE</t>
        </is>
      </c>
      <c r="D348" s="14" t="inlineStr">
        <is>
          <t>large</t>
        </is>
      </c>
      <c r="E348" s="21" t="n">
        <v>5450</v>
      </c>
      <c r="F348" s="14" t="inlineStr">
        <is>
          <t>2026-06-30</t>
        </is>
      </c>
      <c r="G348" s="8" t="n">
        <v>200</v>
      </c>
      <c r="H348" s="22" t="n">
        <v>22.7</v>
      </c>
      <c r="I348" s="22" t="n">
        <v>33.6</v>
      </c>
      <c r="J348" s="22" t="n">
        <v>21.9</v>
      </c>
      <c r="K348" s="23" t="n">
        <v>33</v>
      </c>
      <c r="L348" s="23" t="n">
        <v>32.95</v>
      </c>
      <c r="M348" s="23" t="n">
        <v>52.15</v>
      </c>
      <c r="N348" s="23" t="n">
        <v>25.85</v>
      </c>
      <c r="O348" s="23" t="n">
        <v>37.7</v>
      </c>
      <c r="P348" s="23" t="n">
        <v>37.65</v>
      </c>
      <c r="Q348" s="8">
        <f>K348*G348</f>
        <v/>
      </c>
      <c r="R348" s="24">
        <f>(M348-K348)*G348</f>
        <v/>
      </c>
      <c r="S348" s="25">
        <f>(M348/K348-1)*100</f>
        <v/>
      </c>
      <c r="T348" s="26">
        <f>(N348-K348)*G348</f>
        <v/>
      </c>
      <c r="U348" s="27">
        <f>(N348/K348-1)*100</f>
        <v/>
      </c>
      <c r="V348" s="11">
        <f>(P348-K348)*G348</f>
        <v/>
      </c>
      <c r="W348" s="11" t="n">
        <v>724.0700000000001</v>
      </c>
      <c r="X348" s="10">
        <f>W348/Q348*100</f>
        <v/>
      </c>
      <c r="Y348" s="12" t="n">
        <v>3.59</v>
      </c>
      <c r="Z348" s="14" t="inlineStr">
        <is>
          <t>2026_H1</t>
        </is>
      </c>
    </row>
    <row r="349">
      <c r="A349" s="14" t="inlineStr">
        <is>
          <t>2026-06-01</t>
        </is>
      </c>
      <c r="B349" s="7" t="inlineStr">
        <is>
          <t>ASIANPAINT</t>
        </is>
      </c>
      <c r="C349" s="14" t="inlineStr">
        <is>
          <t>PE</t>
        </is>
      </c>
      <c r="D349" s="14" t="inlineStr">
        <is>
          <t>large</t>
        </is>
      </c>
      <c r="E349" s="21" t="n">
        <v>2620</v>
      </c>
      <c r="F349" s="14" t="inlineStr">
        <is>
          <t>2026-06-30</t>
        </is>
      </c>
      <c r="G349" s="8" t="n">
        <v>250</v>
      </c>
      <c r="H349" s="22" t="n">
        <v>69.2</v>
      </c>
      <c r="I349" s="22" t="n">
        <v>10.4</v>
      </c>
      <c r="J349" s="22" t="n">
        <v>10.6</v>
      </c>
      <c r="K349" s="23" t="n">
        <v>30.4</v>
      </c>
      <c r="L349" s="23" t="n">
        <v>30.35</v>
      </c>
      <c r="M349" s="23" t="n">
        <v>68</v>
      </c>
      <c r="N349" s="23" t="n">
        <v>27.5</v>
      </c>
      <c r="O349" s="23" t="n">
        <v>65.15000000000001</v>
      </c>
      <c r="P349" s="23" t="n">
        <v>65.09999999999999</v>
      </c>
      <c r="Q349" s="8">
        <f>K349*G349</f>
        <v/>
      </c>
      <c r="R349" s="24">
        <f>(M349-K349)*G349</f>
        <v/>
      </c>
      <c r="S349" s="25">
        <f>(M349/K349-1)*100</f>
        <v/>
      </c>
      <c r="T349" s="26">
        <f>(N349-K349)*G349</f>
        <v/>
      </c>
      <c r="U349" s="27">
        <f>(N349/K349-1)*100</f>
        <v/>
      </c>
      <c r="V349" s="11">
        <f>(P349-K349)*G349</f>
        <v/>
      </c>
      <c r="W349" s="11" t="n">
        <v>8354.370000000001</v>
      </c>
      <c r="X349" s="10">
        <f>W349/Q349*100</f>
        <v/>
      </c>
      <c r="Y349" s="12" t="n">
        <v>3.667</v>
      </c>
      <c r="Z349" s="14" t="inlineStr">
        <is>
          <t>2026_H1</t>
        </is>
      </c>
    </row>
    <row r="350">
      <c r="A350" s="14" t="inlineStr">
        <is>
          <t>2026-06-01</t>
        </is>
      </c>
      <c r="B350" s="7" t="inlineStr">
        <is>
          <t>INDIGO</t>
        </is>
      </c>
      <c r="C350" s="14" t="inlineStr">
        <is>
          <t>CE</t>
        </is>
      </c>
      <c r="D350" s="14" t="inlineStr">
        <is>
          <t>large</t>
        </is>
      </c>
      <c r="E350" s="21" t="n">
        <v>4900</v>
      </c>
      <c r="F350" s="14" t="inlineStr">
        <is>
          <t>2026-06-30</t>
        </is>
      </c>
      <c r="G350" s="8" t="n">
        <v>150</v>
      </c>
      <c r="H350" s="22" t="n">
        <v>-182.7</v>
      </c>
      <c r="I350" s="22" t="n">
        <v>-562</v>
      </c>
      <c r="J350" s="22" t="n">
        <v>1.3</v>
      </c>
      <c r="K350" s="23" t="n">
        <v>50.55</v>
      </c>
      <c r="L350" s="23" t="n">
        <v>50.5</v>
      </c>
      <c r="M350" s="23" t="n">
        <v>60.75</v>
      </c>
      <c r="N350" s="23" t="n">
        <v>20.15</v>
      </c>
      <c r="O350" s="23" t="n">
        <v>21.2</v>
      </c>
      <c r="P350" s="23" t="n">
        <v>21.15</v>
      </c>
      <c r="Q350" s="8">
        <f>K350*G350</f>
        <v/>
      </c>
      <c r="R350" s="24">
        <f>(M350-K350)*G350</f>
        <v/>
      </c>
      <c r="S350" s="25">
        <f>(M350/K350-1)*100</f>
        <v/>
      </c>
      <c r="T350" s="26">
        <f>(N350-K350)*G350</f>
        <v/>
      </c>
      <c r="U350" s="27">
        <f>(N350/K350-1)*100</f>
        <v/>
      </c>
      <c r="V350" s="11">
        <f>(P350-K350)*G350</f>
        <v/>
      </c>
      <c r="W350" s="11" t="n">
        <v>-4574.26</v>
      </c>
      <c r="X350" s="10">
        <f>W350/Q350*100</f>
        <v/>
      </c>
      <c r="Y350" s="12" t="n">
        <v>-1.585</v>
      </c>
      <c r="Z350" s="14" t="inlineStr">
        <is>
          <t>2026_H1</t>
        </is>
      </c>
    </row>
    <row r="351">
      <c r="A351" s="14" t="inlineStr">
        <is>
          <t>2026-06-01</t>
        </is>
      </c>
      <c r="B351" s="7" t="inlineStr">
        <is>
          <t>INOXWIND</t>
        </is>
      </c>
      <c r="C351" s="14" t="inlineStr">
        <is>
          <t>CE</t>
        </is>
      </c>
      <c r="D351" s="14" t="inlineStr">
        <is>
          <t>small</t>
        </is>
      </c>
      <c r="E351" s="21" t="n">
        <v>98</v>
      </c>
      <c r="F351" s="14" t="inlineStr">
        <is>
          <t>2026-06-30</t>
        </is>
      </c>
      <c r="G351" s="8" t="n">
        <v>3575</v>
      </c>
      <c r="H351" s="22" t="n">
        <v>-44.5</v>
      </c>
      <c r="I351" s="22" t="n">
        <v>-16.6</v>
      </c>
      <c r="J351" s="22" t="n">
        <v>-2.4</v>
      </c>
      <c r="K351" s="23" t="n">
        <v>2.04</v>
      </c>
      <c r="L351" s="23" t="n">
        <v>1.99</v>
      </c>
      <c r="M351" s="23" t="n">
        <v>2.24</v>
      </c>
      <c r="N351" s="23" t="n">
        <v>0.58</v>
      </c>
      <c r="O351" s="23" t="n">
        <v>0.62</v>
      </c>
      <c r="P351" s="23" t="n">
        <v>0.57</v>
      </c>
      <c r="Q351" s="8">
        <f>K351*G351</f>
        <v/>
      </c>
      <c r="R351" s="24">
        <f>(M351-K351)*G351</f>
        <v/>
      </c>
      <c r="S351" s="25">
        <f>(M351/K351-1)*100</f>
        <v/>
      </c>
      <c r="T351" s="26">
        <f>(N351-K351)*G351</f>
        <v/>
      </c>
      <c r="U351" s="27">
        <f>(N351/K351-1)*100</f>
        <v/>
      </c>
      <c r="V351" s="11">
        <f>(P351-K351)*G351</f>
        <v/>
      </c>
      <c r="W351" s="11" t="n">
        <v>-5589.57</v>
      </c>
      <c r="X351" s="10">
        <f>W351/Q351*100</f>
        <v/>
      </c>
      <c r="Y351" s="12" t="n">
        <v>-6.303</v>
      </c>
      <c r="Z351" s="14" t="inlineStr">
        <is>
          <t>2026_H1</t>
        </is>
      </c>
    </row>
    <row r="352">
      <c r="A352" s="14" t="inlineStr">
        <is>
          <t>2026-07-13</t>
        </is>
      </c>
      <c r="B352" s="7" t="inlineStr">
        <is>
          <t>DMART</t>
        </is>
      </c>
      <c r="C352" s="14" t="inlineStr">
        <is>
          <t>PE</t>
        </is>
      </c>
      <c r="D352" s="14" t="inlineStr">
        <is>
          <t>large</t>
        </is>
      </c>
      <c r="E352" s="21" t="n">
        <v>3800</v>
      </c>
      <c r="F352" s="14" t="inlineStr">
        <is>
          <t>2026-07-28</t>
        </is>
      </c>
      <c r="G352" s="8" t="n">
        <v>150</v>
      </c>
      <c r="H352" s="22" t="n">
        <v>11.3</v>
      </c>
      <c r="I352" s="22" t="n">
        <v>31.1</v>
      </c>
      <c r="J352" s="22" t="n">
        <v>14.9</v>
      </c>
      <c r="K352" s="23" t="n">
        <v>39.45</v>
      </c>
      <c r="L352" s="23" t="n">
        <v>39.4</v>
      </c>
      <c r="M352" s="23" t="n">
        <v>61.55</v>
      </c>
      <c r="N352" s="23" t="n">
        <v>27.2</v>
      </c>
      <c r="O352" s="23" t="n">
        <v>28.65</v>
      </c>
      <c r="P352" s="23" t="n">
        <v>28.6</v>
      </c>
      <c r="Q352" s="8">
        <f>K352*G352</f>
        <v/>
      </c>
      <c r="R352" s="24">
        <f>(M352-K352)*G352</f>
        <v/>
      </c>
      <c r="S352" s="25">
        <f>(M352/K352-1)*100</f>
        <v/>
      </c>
      <c r="T352" s="26">
        <f>(N352-K352)*G352</f>
        <v/>
      </c>
      <c r="U352" s="27">
        <f>(N352/K352-1)*100</f>
        <v/>
      </c>
      <c r="V352" s="11">
        <f>(P352-K352)*G352</f>
        <v/>
      </c>
      <c r="W352" s="11" t="n">
        <v>-1787.69</v>
      </c>
      <c r="X352" s="10">
        <f>W352/Q352*100</f>
        <v/>
      </c>
      <c r="Y352" s="12" t="n">
        <v>-1.116</v>
      </c>
      <c r="Z352" s="14" t="inlineStr">
        <is>
          <t>2026_Q3</t>
        </is>
      </c>
    </row>
    <row r="353">
      <c r="A353" s="14" t="inlineStr">
        <is>
          <t>2026-07-13</t>
        </is>
      </c>
      <c r="B353" s="7" t="inlineStr">
        <is>
          <t>INDIANB</t>
        </is>
      </c>
      <c r="C353" s="14" t="inlineStr">
        <is>
          <t>PE</t>
        </is>
      </c>
      <c r="D353" s="14" t="inlineStr">
        <is>
          <t>mid</t>
        </is>
      </c>
      <c r="E353" s="21" t="n">
        <v>821.75</v>
      </c>
      <c r="F353" s="14" t="inlineStr">
        <is>
          <t>2026-07-28</t>
        </is>
      </c>
      <c r="G353" s="8" t="n">
        <v>1000</v>
      </c>
      <c r="H353" s="22" t="n">
        <v>47.5</v>
      </c>
      <c r="I353" s="22" t="n">
        <v>5.8</v>
      </c>
      <c r="J353" s="22" t="n">
        <v>11.1</v>
      </c>
      <c r="K353" s="23" t="n">
        <v>6.55</v>
      </c>
      <c r="L353" s="23" t="n">
        <v>6.5</v>
      </c>
      <c r="M353" s="23" t="n">
        <v>13.05</v>
      </c>
      <c r="N353" s="23" t="n">
        <v>5.6</v>
      </c>
      <c r="O353" s="23" t="n">
        <v>11.3</v>
      </c>
      <c r="P353" s="23" t="n">
        <v>11.25</v>
      </c>
      <c r="Q353" s="8">
        <f>K353*G353</f>
        <v/>
      </c>
      <c r="R353" s="24">
        <f>(M353-K353)*G353</f>
        <v/>
      </c>
      <c r="S353" s="25">
        <f>(M353/K353-1)*100</f>
        <v/>
      </c>
      <c r="T353" s="26">
        <f>(N353-K353)*G353</f>
        <v/>
      </c>
      <c r="U353" s="27">
        <f>(N353/K353-1)*100</f>
        <v/>
      </c>
      <c r="V353" s="11">
        <f>(P353-K353)*G353</f>
        <v/>
      </c>
      <c r="W353" s="11" t="n">
        <v>4272.23</v>
      </c>
      <c r="X353" s="10">
        <f>W353/Q353*100</f>
        <v/>
      </c>
      <c r="Y353" s="12" t="n">
        <v>2.932</v>
      </c>
      <c r="Z353" s="14" t="inlineStr">
        <is>
          <t>2026_Q3</t>
        </is>
      </c>
    </row>
    <row r="354">
      <c r="A354" s="14" t="inlineStr">
        <is>
          <t>2026-07-13</t>
        </is>
      </c>
      <c r="B354" s="7" t="inlineStr">
        <is>
          <t>LTF</t>
        </is>
      </c>
      <c r="C354" s="14" t="inlineStr">
        <is>
          <t>PE</t>
        </is>
      </c>
      <c r="D354" s="14" t="inlineStr">
        <is>
          <t>mid</t>
        </is>
      </c>
      <c r="E354" s="21" t="n">
        <v>295</v>
      </c>
      <c r="F354" s="14" t="inlineStr">
        <is>
          <t>2026-07-28</t>
        </is>
      </c>
      <c r="G354" s="8" t="n">
        <v>2250</v>
      </c>
      <c r="H354" s="22" t="n">
        <v>30.7</v>
      </c>
      <c r="I354" s="22" t="n">
        <v>13.2</v>
      </c>
      <c r="J354" s="22" t="n">
        <v>23.1</v>
      </c>
      <c r="K354" s="23" t="n">
        <v>2.9</v>
      </c>
      <c r="L354" s="23" t="n">
        <v>2.85</v>
      </c>
      <c r="M354" s="23" t="n">
        <v>3</v>
      </c>
      <c r="N354" s="23" t="n">
        <v>1.15</v>
      </c>
      <c r="O354" s="23" t="n">
        <v>1.7</v>
      </c>
      <c r="P354" s="23" t="n">
        <v>1.65</v>
      </c>
      <c r="Q354" s="8">
        <f>K354*G354</f>
        <v/>
      </c>
      <c r="R354" s="24">
        <f>(M354-K354)*G354</f>
        <v/>
      </c>
      <c r="S354" s="25">
        <f>(M354/K354-1)*100</f>
        <v/>
      </c>
      <c r="T354" s="26">
        <f>(N354-K354)*G354</f>
        <v/>
      </c>
      <c r="U354" s="27">
        <f>(N354/K354-1)*100</f>
        <v/>
      </c>
      <c r="V354" s="11">
        <f>(P354-K354)*G354</f>
        <v/>
      </c>
      <c r="W354" s="11" t="n">
        <v>-3074.53</v>
      </c>
      <c r="X354" s="10">
        <f>W354/Q354*100</f>
        <v/>
      </c>
      <c r="Y354" s="12" t="n">
        <v>-1.074</v>
      </c>
      <c r="Z354" s="14" t="inlineStr">
        <is>
          <t>2026_Q3</t>
        </is>
      </c>
    </row>
    <row r="355">
      <c r="A355" s="14" t="inlineStr">
        <is>
          <t>2026-07-13</t>
        </is>
      </c>
      <c r="B355" s="7" t="inlineStr">
        <is>
          <t>LTM</t>
        </is>
      </c>
      <c r="C355" s="14" t="inlineStr">
        <is>
          <t>PE</t>
        </is>
      </c>
      <c r="D355" s="14" t="inlineStr">
        <is>
          <t>large</t>
        </is>
      </c>
      <c r="E355" s="21" t="n">
        <v>3850</v>
      </c>
      <c r="F355" s="14" t="inlineStr">
        <is>
          <t>2026-07-28</t>
        </is>
      </c>
      <c r="G355" s="8" t="n">
        <v>150</v>
      </c>
      <c r="H355" s="22" t="n">
        <v>17.1</v>
      </c>
      <c r="I355" s="22" t="n">
        <v>5.9</v>
      </c>
      <c r="J355" s="22" t="n">
        <v>18</v>
      </c>
      <c r="K355" s="23" t="n">
        <v>45.2</v>
      </c>
      <c r="L355" s="23" t="n">
        <v>45.15</v>
      </c>
      <c r="M355" s="23" t="n">
        <v>74.2</v>
      </c>
      <c r="N355" s="23" t="n">
        <v>19.65</v>
      </c>
      <c r="O355" s="23" t="n">
        <v>30.85</v>
      </c>
      <c r="P355" s="23" t="n">
        <v>30.8</v>
      </c>
      <c r="Q355" s="8">
        <f>K355*G355</f>
        <v/>
      </c>
      <c r="R355" s="24">
        <f>(M355-K355)*G355</f>
        <v/>
      </c>
      <c r="S355" s="25">
        <f>(M355/K355-1)*100</f>
        <v/>
      </c>
      <c r="T355" s="26">
        <f>(N355-K355)*G355</f>
        <v/>
      </c>
      <c r="U355" s="27">
        <f>(N355/K355-1)*100</f>
        <v/>
      </c>
      <c r="V355" s="11">
        <f>(P355-K355)*G355</f>
        <v/>
      </c>
      <c r="W355" s="11" t="n">
        <v>-2333.12</v>
      </c>
      <c r="X355" s="10">
        <f>W355/Q355*100</f>
        <v/>
      </c>
      <c r="Y355" s="12" t="n">
        <v>-1.646</v>
      </c>
      <c r="Z355" s="14" t="inlineStr">
        <is>
          <t>2026_Q3</t>
        </is>
      </c>
    </row>
    <row r="356">
      <c r="A356" s="14" t="inlineStr">
        <is>
          <t>2026-07-14</t>
        </is>
      </c>
      <c r="B356" s="7" t="inlineStr">
        <is>
          <t>HCLTECH</t>
        </is>
      </c>
      <c r="C356" s="14" t="inlineStr">
        <is>
          <t>PE</t>
        </is>
      </c>
      <c r="D356" s="14" t="inlineStr">
        <is>
          <t>large</t>
        </is>
      </c>
      <c r="E356" s="21" t="n">
        <v>1150</v>
      </c>
      <c r="F356" s="14" t="inlineStr">
        <is>
          <t>2026-07-28</t>
        </is>
      </c>
      <c r="G356" s="8" t="n">
        <v>400</v>
      </c>
      <c r="H356" s="22" t="n">
        <v>20.3</v>
      </c>
      <c r="I356" s="22" t="n">
        <v>3</v>
      </c>
      <c r="J356" s="22" t="n">
        <v>13.9</v>
      </c>
      <c r="K356" s="23" t="n">
        <v>16.95</v>
      </c>
      <c r="L356" s="23" t="n">
        <v>16.9</v>
      </c>
      <c r="M356" s="23" t="n">
        <v>30</v>
      </c>
      <c r="N356" s="23" t="n">
        <v>13.5</v>
      </c>
      <c r="O356" s="23" t="n">
        <v>28.65</v>
      </c>
      <c r="P356" s="23" t="n">
        <v>28.6</v>
      </c>
      <c r="Q356" s="8">
        <f>K356*G356</f>
        <v/>
      </c>
      <c r="R356" s="24">
        <f>(M356-K356)*G356</f>
        <v/>
      </c>
      <c r="S356" s="25">
        <f>(M356/K356-1)*100</f>
        <v/>
      </c>
      <c r="T356" s="26">
        <f>(N356-K356)*G356</f>
        <v/>
      </c>
      <c r="U356" s="27">
        <f>(N356/K356-1)*100</f>
        <v/>
      </c>
      <c r="V356" s="11">
        <f>(P356-K356)*G356</f>
        <v/>
      </c>
      <c r="W356" s="11" t="n">
        <v>4405.59</v>
      </c>
      <c r="X356" s="10">
        <f>W356/Q356*100</f>
        <v/>
      </c>
      <c r="Y356" s="12" t="n">
        <v>2.775</v>
      </c>
      <c r="Z356" s="14" t="inlineStr">
        <is>
          <t>2026_Q3</t>
        </is>
      </c>
    </row>
    <row r="357">
      <c r="A357" s="14" t="inlineStr">
        <is>
          <t>2026-07-16</t>
        </is>
      </c>
      <c r="B357" s="7" t="inlineStr">
        <is>
          <t>HDFCAMC</t>
        </is>
      </c>
      <c r="C357" s="14" t="inlineStr">
        <is>
          <t>PE</t>
        </is>
      </c>
      <c r="D357" s="14" t="inlineStr">
        <is>
          <t>large</t>
        </is>
      </c>
      <c r="E357" s="21" t="n">
        <v>2600</v>
      </c>
      <c r="F357" s="14" t="inlineStr">
        <is>
          <t>2026-07-28</t>
        </is>
      </c>
      <c r="G357" s="8" t="n">
        <v>300</v>
      </c>
      <c r="H357" s="22" t="n">
        <v>12</v>
      </c>
      <c r="I357" s="22" t="n">
        <v>34.4</v>
      </c>
      <c r="J357" s="22" t="n">
        <v>13.6</v>
      </c>
      <c r="K357" s="23" t="n">
        <v>26</v>
      </c>
      <c r="L357" s="23" t="n">
        <v>25.95</v>
      </c>
      <c r="M357" s="23" t="n">
        <v>72.09999999999999</v>
      </c>
      <c r="N357" s="23" t="n">
        <v>25.7</v>
      </c>
      <c r="O357" s="23" t="n">
        <v>60.55</v>
      </c>
      <c r="P357" s="23" t="n">
        <v>60.5</v>
      </c>
      <c r="Q357" s="8">
        <f>K357*G357</f>
        <v/>
      </c>
      <c r="R357" s="24">
        <f>(M357-K357)*G357</f>
        <v/>
      </c>
      <c r="S357" s="25">
        <f>(M357/K357-1)*100</f>
        <v/>
      </c>
      <c r="T357" s="26">
        <f>(N357-K357)*G357</f>
        <v/>
      </c>
      <c r="U357" s="27">
        <f>(N357/K357-1)*100</f>
        <v/>
      </c>
      <c r="V357" s="11">
        <f>(P357-K357)*G357</f>
        <v/>
      </c>
      <c r="W357" s="11" t="n">
        <v>10004.93</v>
      </c>
      <c r="X357" s="10">
        <f>W357/Q357*100</f>
        <v/>
      </c>
      <c r="Y357" s="12" t="n">
        <v>4.412</v>
      </c>
      <c r="Z357" s="14" t="inlineStr">
        <is>
          <t>2026_Q3</t>
        </is>
      </c>
    </row>
    <row r="358">
      <c r="A358" s="14" t="inlineStr">
        <is>
          <t>2026-07-17</t>
        </is>
      </c>
      <c r="B358" s="7" t="inlineStr">
        <is>
          <t>360ONE</t>
        </is>
      </c>
      <c r="C358" s="14" t="inlineStr">
        <is>
          <t>PE</t>
        </is>
      </c>
      <c r="D358" s="14" t="inlineStr">
        <is>
          <t>mid</t>
        </is>
      </c>
      <c r="E358" s="21" t="n">
        <v>1060</v>
      </c>
      <c r="F358" s="14" t="inlineStr">
        <is>
          <t>2026-07-28</t>
        </is>
      </c>
      <c r="G358" s="8" t="n">
        <v>500</v>
      </c>
      <c r="H358" s="22" t="n">
        <v>16.1</v>
      </c>
      <c r="I358" s="22" t="n">
        <v>14.5</v>
      </c>
      <c r="J358" s="22" t="n">
        <v>34.5</v>
      </c>
      <c r="K358" s="23" t="n">
        <v>12.4</v>
      </c>
      <c r="L358" s="23" t="n">
        <v>12.35</v>
      </c>
      <c r="M358" s="23" t="n">
        <v>17.35</v>
      </c>
      <c r="N358" s="23" t="n">
        <v>7.6</v>
      </c>
      <c r="O358" s="23" t="n">
        <v>9.050000000000001</v>
      </c>
      <c r="P358" s="23" t="n">
        <v>9</v>
      </c>
      <c r="Q358" s="8">
        <f>K358*G358</f>
        <v/>
      </c>
      <c r="R358" s="24">
        <f>(M358-K358)*G358</f>
        <v/>
      </c>
      <c r="S358" s="25">
        <f>(M358/K358-1)*100</f>
        <v/>
      </c>
      <c r="T358" s="26">
        <f>(N358-K358)*G358</f>
        <v/>
      </c>
      <c r="U358" s="27">
        <f>(N358/K358-1)*100</f>
        <v/>
      </c>
      <c r="V358" s="11">
        <f>(P358-K358)*G358</f>
        <v/>
      </c>
      <c r="W358" s="11" t="n">
        <v>-1972.64</v>
      </c>
      <c r="X358" s="10">
        <f>W358/Q358*100</f>
        <v/>
      </c>
      <c r="Y358" s="12" t="n">
        <v>-0.487</v>
      </c>
      <c r="Z358" s="14" t="inlineStr">
        <is>
          <t>2026_Q3</t>
        </is>
      </c>
    </row>
    <row r="359">
      <c r="A359" s="14" t="inlineStr">
        <is>
          <t>2026-07-17</t>
        </is>
      </c>
      <c r="B359" s="7" t="inlineStr">
        <is>
          <t>POLYCAB</t>
        </is>
      </c>
      <c r="C359" s="14" t="inlineStr">
        <is>
          <t>PE</t>
        </is>
      </c>
      <c r="D359" s="14" t="inlineStr">
        <is>
          <t>large</t>
        </is>
      </c>
      <c r="E359" s="21" t="n">
        <v>8600</v>
      </c>
      <c r="F359" s="14" t="inlineStr">
        <is>
          <t>2026-07-28</t>
        </is>
      </c>
      <c r="G359" s="8" t="n">
        <v>125</v>
      </c>
      <c r="H359" s="22" t="n">
        <v>32.8</v>
      </c>
      <c r="I359" s="22" t="n">
        <v>1.4</v>
      </c>
      <c r="J359" s="22" t="n">
        <v>39</v>
      </c>
      <c r="K359" s="23" t="n">
        <v>55</v>
      </c>
      <c r="L359" s="23" t="n">
        <v>54.95</v>
      </c>
      <c r="M359" s="23" t="n">
        <v>83.2</v>
      </c>
      <c r="N359" s="23" t="n">
        <v>36.75</v>
      </c>
      <c r="O359" s="23" t="n">
        <v>61.65</v>
      </c>
      <c r="P359" s="23" t="n">
        <v>61.6</v>
      </c>
      <c r="Q359" s="8">
        <f>K359*G359</f>
        <v/>
      </c>
      <c r="R359" s="24">
        <f>(M359-K359)*G359</f>
        <v/>
      </c>
      <c r="S359" s="25">
        <f>(M359/K359-1)*100</f>
        <v/>
      </c>
      <c r="T359" s="26">
        <f>(N359-K359)*G359</f>
        <v/>
      </c>
      <c r="U359" s="27">
        <f>(N359/K359-1)*100</f>
        <v/>
      </c>
      <c r="V359" s="11">
        <f>(P359-K359)*G359</f>
        <v/>
      </c>
      <c r="W359" s="11" t="n">
        <v>614.16</v>
      </c>
      <c r="X359" s="10">
        <f>W359/Q359*100</f>
        <v/>
      </c>
      <c r="Y359" s="12" t="n">
        <v>3.354</v>
      </c>
      <c r="Z359" s="14" t="inlineStr">
        <is>
          <t>2026_Q3</t>
        </is>
      </c>
    </row>
    <row r="360">
      <c r="A360" s="14" t="inlineStr">
        <is>
          <t>2026-07-17</t>
        </is>
      </c>
      <c r="B360" s="7" t="inlineStr">
        <is>
          <t>TECHM</t>
        </is>
      </c>
      <c r="C360" s="14" t="inlineStr">
        <is>
          <t>PE</t>
        </is>
      </c>
      <c r="D360" s="14" t="inlineStr">
        <is>
          <t>large</t>
        </is>
      </c>
      <c r="E360" s="21" t="n">
        <v>1484</v>
      </c>
      <c r="F360" s="14" t="inlineStr">
        <is>
          <t>2026-07-28</t>
        </is>
      </c>
      <c r="G360" s="8" t="n">
        <v>600</v>
      </c>
      <c r="H360" s="22" t="n">
        <v>31.7</v>
      </c>
      <c r="I360" s="22" t="n">
        <v>9.6</v>
      </c>
      <c r="J360" s="22" t="n">
        <v>17.7</v>
      </c>
      <c r="K360" s="23" t="n">
        <v>13</v>
      </c>
      <c r="L360" s="23" t="n">
        <v>12.95</v>
      </c>
      <c r="M360" s="23" t="n">
        <v>14.95</v>
      </c>
      <c r="N360" s="23" t="n">
        <v>4.5</v>
      </c>
      <c r="O360" s="23" t="n">
        <v>5</v>
      </c>
      <c r="P360" s="23" t="n">
        <v>4.95</v>
      </c>
      <c r="Q360" s="8">
        <f>K360*G360</f>
        <v/>
      </c>
      <c r="R360" s="24">
        <f>(M360-K360)*G360</f>
        <v/>
      </c>
      <c r="S360" s="25">
        <f>(M360/K360-1)*100</f>
        <v/>
      </c>
      <c r="T360" s="26">
        <f>(N360-K360)*G360</f>
        <v/>
      </c>
      <c r="U360" s="27">
        <f>(N360/K360-1)*100</f>
        <v/>
      </c>
      <c r="V360" s="11">
        <f>(P360-K360)*G360</f>
        <v/>
      </c>
      <c r="W360" s="11" t="n">
        <v>-4994.12</v>
      </c>
      <c r="X360" s="10">
        <f>W360/Q360*100</f>
        <v/>
      </c>
      <c r="Y360" s="12" t="n">
        <v>-2.136</v>
      </c>
      <c r="Z360" s="14" t="inlineStr">
        <is>
          <t>2026_Q3</t>
        </is>
      </c>
    </row>
    <row r="361">
      <c r="A361" s="14" t="inlineStr">
        <is>
          <t>2026-07-20</t>
        </is>
      </c>
      <c r="B361" s="7" t="inlineStr">
        <is>
          <t>AXISBANK</t>
        </is>
      </c>
      <c r="C361" s="14" t="inlineStr">
        <is>
          <t>PE</t>
        </is>
      </c>
      <c r="D361" s="14" t="inlineStr">
        <is>
          <t>large</t>
        </is>
      </c>
      <c r="E361" s="21" t="n">
        <v>1250</v>
      </c>
      <c r="F361" s="14" t="inlineStr">
        <is>
          <t>2026-07-28</t>
        </is>
      </c>
      <c r="G361" s="8" t="n">
        <v>625</v>
      </c>
      <c r="H361" s="22" t="n">
        <v>22.2</v>
      </c>
      <c r="I361" s="22" t="n">
        <v>0.4</v>
      </c>
      <c r="J361" s="22" t="n">
        <v>9.9</v>
      </c>
      <c r="K361" s="23" t="n">
        <v>10.6</v>
      </c>
      <c r="L361" s="23" t="n">
        <v>10.55</v>
      </c>
      <c r="M361" s="23" t="n">
        <v>19.95</v>
      </c>
      <c r="N361" s="23" t="n">
        <v>8.449999999999999</v>
      </c>
      <c r="O361" s="23" t="n">
        <v>13.9</v>
      </c>
      <c r="P361" s="23" t="n">
        <v>13.85</v>
      </c>
      <c r="Q361" s="8">
        <f>K361*G361</f>
        <v/>
      </c>
      <c r="R361" s="24">
        <f>(M361-K361)*G361</f>
        <v/>
      </c>
      <c r="S361" s="25">
        <f>(M361/K361-1)*100</f>
        <v/>
      </c>
      <c r="T361" s="26">
        <f>(N361-K361)*G361</f>
        <v/>
      </c>
      <c r="U361" s="27">
        <f>(N361/K361-1)*100</f>
        <v/>
      </c>
      <c r="V361" s="11">
        <f>(P361-K361)*G361</f>
        <v/>
      </c>
      <c r="W361" s="11" t="n">
        <v>1811.63</v>
      </c>
      <c r="X361" s="10">
        <f>W361/Q361*100</f>
        <v/>
      </c>
      <c r="Y361" s="12" t="n">
        <v>1.49</v>
      </c>
      <c r="Z361" s="14" t="inlineStr">
        <is>
          <t>2026_Q3</t>
        </is>
      </c>
    </row>
    <row r="362">
      <c r="A362" s="14" t="inlineStr">
        <is>
          <t>2026-07-20</t>
        </is>
      </c>
      <c r="B362" s="7" t="inlineStr">
        <is>
          <t>HAVELLS</t>
        </is>
      </c>
      <c r="C362" s="14" t="inlineStr">
        <is>
          <t>CE</t>
        </is>
      </c>
      <c r="D362" s="14" t="inlineStr">
        <is>
          <t>mid</t>
        </is>
      </c>
      <c r="E362" s="21" t="n">
        <v>1210</v>
      </c>
      <c r="F362" s="14" t="inlineStr">
        <is>
          <t>2026-07-28</t>
        </is>
      </c>
      <c r="G362" s="8" t="n">
        <v>500</v>
      </c>
      <c r="H362" s="22" t="n">
        <v>-16.6</v>
      </c>
      <c r="I362" s="22" t="n">
        <v>-60</v>
      </c>
      <c r="J362" s="22" t="n">
        <v>19.5</v>
      </c>
      <c r="K362" s="23" t="n">
        <v>12.3</v>
      </c>
      <c r="L362" s="23" t="n">
        <v>12.25</v>
      </c>
      <c r="M362" s="23" t="n">
        <v>22.05</v>
      </c>
      <c r="N362" s="23" t="n">
        <v>10.35</v>
      </c>
      <c r="O362" s="23" t="n">
        <v>16.9</v>
      </c>
      <c r="P362" s="23" t="n">
        <v>16.85</v>
      </c>
      <c r="Q362" s="8">
        <f>K362*G362</f>
        <v/>
      </c>
      <c r="R362" s="24">
        <f>(M362-K362)*G362</f>
        <v/>
      </c>
      <c r="S362" s="25">
        <f>(M362/K362-1)*100</f>
        <v/>
      </c>
      <c r="T362" s="26">
        <f>(N362-K362)*G362</f>
        <v/>
      </c>
      <c r="U362" s="27">
        <f>(N362/K362-1)*100</f>
        <v/>
      </c>
      <c r="V362" s="11">
        <f>(P362-K362)*G362</f>
        <v/>
      </c>
      <c r="W362" s="11" t="n">
        <v>1917.35</v>
      </c>
      <c r="X362" s="10">
        <f>W362/Q362*100</f>
        <v/>
      </c>
      <c r="Y362" s="12" t="n">
        <v>2.977</v>
      </c>
      <c r="Z362" s="14" t="inlineStr">
        <is>
          <t>2026_Q3</t>
        </is>
      </c>
    </row>
    <row r="363">
      <c r="A363" s="14" t="inlineStr">
        <is>
          <t>2026-07-20</t>
        </is>
      </c>
      <c r="B363" s="7" t="inlineStr">
        <is>
          <t>ICICIBANK</t>
        </is>
      </c>
      <c r="C363" s="14" t="inlineStr">
        <is>
          <t>PE</t>
        </is>
      </c>
      <c r="D363" s="14" t="inlineStr">
        <is>
          <t>large</t>
        </is>
      </c>
      <c r="E363" s="21" t="n">
        <v>1420</v>
      </c>
      <c r="F363" s="14" t="inlineStr">
        <is>
          <t>2026-07-28</t>
        </is>
      </c>
      <c r="G363" s="8" t="n">
        <v>700</v>
      </c>
      <c r="H363" s="22" t="n">
        <v>13.9</v>
      </c>
      <c r="I363" s="22" t="n">
        <v>4.6</v>
      </c>
      <c r="J363" s="22" t="n">
        <v>6.4</v>
      </c>
      <c r="K363" s="23" t="n">
        <v>10.1</v>
      </c>
      <c r="L363" s="23" t="n">
        <v>10.05</v>
      </c>
      <c r="M363" s="23" t="n">
        <v>11.5</v>
      </c>
      <c r="N363" s="23" t="n">
        <v>4.25</v>
      </c>
      <c r="O363" s="23" t="n">
        <v>5</v>
      </c>
      <c r="P363" s="23" t="n">
        <v>4.95</v>
      </c>
      <c r="Q363" s="8">
        <f>K363*G363</f>
        <v/>
      </c>
      <c r="R363" s="24">
        <f>(M363-K363)*G363</f>
        <v/>
      </c>
      <c r="S363" s="25">
        <f>(M363/K363-1)*100</f>
        <v/>
      </c>
      <c r="T363" s="26">
        <f>(N363-K363)*G363</f>
        <v/>
      </c>
      <c r="U363" s="27">
        <f>(N363/K363-1)*100</f>
        <v/>
      </c>
      <c r="V363" s="11">
        <f>(P363-K363)*G363</f>
        <v/>
      </c>
      <c r="W363" s="11" t="n">
        <v>-3767.38</v>
      </c>
      <c r="X363" s="10">
        <f>W363/Q363*100</f>
        <v/>
      </c>
      <c r="Y363" s="12" t="n">
        <v>-1.087</v>
      </c>
      <c r="Z363" s="14" t="inlineStr">
        <is>
          <t>2026_Q3</t>
        </is>
      </c>
    </row>
    <row r="364">
      <c r="A364" s="14" t="inlineStr">
        <is>
          <t>2026-07-20</t>
        </is>
      </c>
      <c r="B364" s="7" t="inlineStr">
        <is>
          <t>KOTAKBANK</t>
        </is>
      </c>
      <c r="C364" s="14" t="inlineStr">
        <is>
          <t>PE</t>
        </is>
      </c>
      <c r="D364" s="14" t="inlineStr">
        <is>
          <t>large</t>
        </is>
      </c>
      <c r="E364" s="21" t="n">
        <v>377.5</v>
      </c>
      <c r="F364" s="14" t="inlineStr">
        <is>
          <t>2026-07-28</t>
        </is>
      </c>
      <c r="G364" s="8" t="n">
        <v>2000</v>
      </c>
      <c r="H364" s="22" t="n">
        <v>22.5</v>
      </c>
      <c r="I364" s="22" t="n">
        <v>1.1</v>
      </c>
      <c r="J364" s="22" t="n">
        <v>6.4</v>
      </c>
      <c r="K364" s="23" t="n">
        <v>3.85</v>
      </c>
      <c r="L364" s="23" t="n">
        <v>3.8</v>
      </c>
      <c r="M364" s="23" t="n">
        <v>5.9</v>
      </c>
      <c r="N364" s="23" t="n">
        <v>2.25</v>
      </c>
      <c r="O364" s="23" t="n">
        <v>2.5</v>
      </c>
      <c r="P364" s="23" t="n">
        <v>2.45</v>
      </c>
      <c r="Q364" s="8">
        <f>K364*G364</f>
        <v/>
      </c>
      <c r="R364" s="24">
        <f>(M364-K364)*G364</f>
        <v/>
      </c>
      <c r="S364" s="25">
        <f>(M364/K364-1)*100</f>
        <v/>
      </c>
      <c r="T364" s="26">
        <f>(N364-K364)*G364</f>
        <v/>
      </c>
      <c r="U364" s="27">
        <f>(N364/K364-1)*100</f>
        <v/>
      </c>
      <c r="V364" s="11">
        <f>(P364-K364)*G364</f>
        <v/>
      </c>
      <c r="W364" s="11" t="n">
        <v>-2986.07</v>
      </c>
      <c r="X364" s="10">
        <f>W364/Q364*100</f>
        <v/>
      </c>
      <c r="Y364" s="12" t="n">
        <v>-0.013</v>
      </c>
      <c r="Z364" s="14" t="inlineStr">
        <is>
          <t>2026_Q3</t>
        </is>
      </c>
    </row>
    <row r="365">
      <c r="A365" s="14" t="inlineStr">
        <is>
          <t>2026-07-21</t>
        </is>
      </c>
      <c r="B365" s="7" t="inlineStr">
        <is>
          <t>PAYTM</t>
        </is>
      </c>
      <c r="C365" s="14" t="inlineStr">
        <is>
          <t>PE</t>
        </is>
      </c>
      <c r="D365" s="14" t="inlineStr">
        <is>
          <t>mid</t>
        </is>
      </c>
      <c r="E365" s="21" t="n">
        <v>1230</v>
      </c>
      <c r="F365" s="14" t="inlineStr">
        <is>
          <t>2026-07-28</t>
        </is>
      </c>
      <c r="G365" s="8" t="n">
        <v>725</v>
      </c>
      <c r="H365" s="22" t="n">
        <v>79.59999999999999</v>
      </c>
      <c r="I365" s="22" t="n">
        <v>20.2</v>
      </c>
      <c r="J365" s="22" t="n">
        <v>27.7</v>
      </c>
      <c r="K365" s="23" t="n">
        <v>6.55</v>
      </c>
      <c r="L365" s="23" t="n">
        <v>6.5</v>
      </c>
      <c r="M365" s="23" t="n">
        <v>9.1</v>
      </c>
      <c r="N365" s="23" t="n">
        <v>1.9</v>
      </c>
      <c r="O365" s="23" t="n">
        <v>7.2</v>
      </c>
      <c r="P365" s="23" t="n">
        <v>7.15</v>
      </c>
      <c r="Q365" s="8">
        <f>K365*G365</f>
        <v/>
      </c>
      <c r="R365" s="24">
        <f>(M365-K365)*G365</f>
        <v/>
      </c>
      <c r="S365" s="25">
        <f>(M365/K365-1)*100</f>
        <v/>
      </c>
      <c r="T365" s="26">
        <f>(N365-K365)*G365</f>
        <v/>
      </c>
      <c r="U365" s="27">
        <f>(N365/K365-1)*100</f>
        <v/>
      </c>
      <c r="V365" s="11">
        <f>(P365-K365)*G365</f>
        <v/>
      </c>
      <c r="W365" s="11" t="n">
        <v>177.06</v>
      </c>
      <c r="X365" s="10">
        <f>W365/Q365*100</f>
        <v/>
      </c>
      <c r="Y365" s="12" t="n">
        <v>2.73</v>
      </c>
      <c r="Z365" s="14" t="inlineStr">
        <is>
          <t>2026_Q3</t>
        </is>
      </c>
    </row>
    <row r="366">
      <c r="A366" s="14" t="inlineStr">
        <is>
          <t>2026-07-22</t>
        </is>
      </c>
      <c r="B366" s="7" t="inlineStr">
        <is>
          <t>ADANIENSOL</t>
        </is>
      </c>
      <c r="C366" s="14" t="inlineStr">
        <is>
          <t>PE</t>
        </is>
      </c>
      <c r="D366" s="14" t="inlineStr">
        <is>
          <t>large</t>
        </is>
      </c>
      <c r="E366" s="21" t="n">
        <v>1680</v>
      </c>
      <c r="F366" s="14" t="inlineStr">
        <is>
          <t>2026-07-28</t>
        </is>
      </c>
      <c r="G366" s="8" t="n">
        <v>675</v>
      </c>
      <c r="H366" s="22" t="n">
        <v>129.4</v>
      </c>
      <c r="I366" s="22" t="n">
        <v>71.09999999999999</v>
      </c>
      <c r="J366" s="22" t="n">
        <v>42.4</v>
      </c>
      <c r="K366" s="23" t="n">
        <v>9.699999999999999</v>
      </c>
      <c r="L366" s="23" t="n">
        <v>9.65</v>
      </c>
      <c r="M366" s="23" t="n">
        <v>17</v>
      </c>
      <c r="N366" s="23" t="n">
        <v>5.9</v>
      </c>
      <c r="O366" s="23" t="n">
        <v>9.35</v>
      </c>
      <c r="P366" s="23" t="n">
        <v>9.300000000000001</v>
      </c>
      <c r="Q366" s="8">
        <f>K366*G366</f>
        <v/>
      </c>
      <c r="R366" s="24">
        <f>(M366-K366)*G366</f>
        <v/>
      </c>
      <c r="S366" s="25">
        <f>(M366/K366-1)*100</f>
        <v/>
      </c>
      <c r="T366" s="26">
        <f>(N366-K366)*G366</f>
        <v/>
      </c>
      <c r="U366" s="27">
        <f>(N366/K366-1)*100</f>
        <v/>
      </c>
      <c r="V366" s="11">
        <f>(P366-K366)*G366</f>
        <v/>
      </c>
      <c r="W366" s="11" t="n">
        <v>-460.47</v>
      </c>
      <c r="X366" s="10">
        <f>W366/Q366*100</f>
        <v/>
      </c>
      <c r="Y366" s="12" t="n">
        <v>1.48</v>
      </c>
      <c r="Z366" s="14" t="inlineStr">
        <is>
          <t>2026_Q3</t>
        </is>
      </c>
    </row>
    <row r="367">
      <c r="A367" s="14" t="inlineStr">
        <is>
          <t>2026-07-22</t>
        </is>
      </c>
      <c r="B367" s="7" t="inlineStr">
        <is>
          <t>TVSMOTOR</t>
        </is>
      </c>
      <c r="C367" s="14" t="inlineStr">
        <is>
          <t>PE</t>
        </is>
      </c>
      <c r="D367" s="14" t="inlineStr">
        <is>
          <t>large</t>
        </is>
      </c>
      <c r="E367" s="21" t="n">
        <v>3780</v>
      </c>
      <c r="F367" s="14" t="inlineStr">
        <is>
          <t>2026-07-28</t>
        </is>
      </c>
      <c r="G367" s="8" t="n">
        <v>175</v>
      </c>
      <c r="H367" s="22" t="n">
        <v>64.5</v>
      </c>
      <c r="I367" s="22" t="n">
        <v>29</v>
      </c>
      <c r="J367" s="22" t="n">
        <v>33.5</v>
      </c>
      <c r="K367" s="23" t="n">
        <v>44.45</v>
      </c>
      <c r="L367" s="23" t="n">
        <v>44.4</v>
      </c>
      <c r="M367" s="23" t="n">
        <v>44.4</v>
      </c>
      <c r="N367" s="23" t="n">
        <v>9.449999999999999</v>
      </c>
      <c r="O367" s="23" t="n">
        <v>10.65</v>
      </c>
      <c r="P367" s="23" t="n">
        <v>10.6</v>
      </c>
      <c r="Q367" s="8">
        <f>K367*G367</f>
        <v/>
      </c>
      <c r="R367" s="24">
        <f>(M367-K367)*G367</f>
        <v/>
      </c>
      <c r="S367" s="25">
        <f>(M367/K367-1)*100</f>
        <v/>
      </c>
      <c r="T367" s="26">
        <f>(N367-K367)*G367</f>
        <v/>
      </c>
      <c r="U367" s="27">
        <f>(N367/K367-1)*100</f>
        <v/>
      </c>
      <c r="V367" s="11">
        <f>(P367-K367)*G367</f>
        <v/>
      </c>
      <c r="W367" s="11" t="n">
        <v>-6074.35</v>
      </c>
      <c r="X367" s="10">
        <f>W367/Q367*100</f>
        <v/>
      </c>
      <c r="Y367" s="12" t="n">
        <v>-1.478</v>
      </c>
      <c r="Z367" s="14" t="inlineStr">
        <is>
          <t>2026_Q3</t>
        </is>
      </c>
    </row>
    <row r="368">
      <c r="A368" s="14" t="inlineStr">
        <is>
          <t>2026-07-23</t>
        </is>
      </c>
      <c r="B368" s="7" t="inlineStr">
        <is>
          <t>ADANIPOWER</t>
        </is>
      </c>
      <c r="C368" s="14" t="inlineStr">
        <is>
          <t>PE</t>
        </is>
      </c>
      <c r="D368" s="14" t="inlineStr">
        <is>
          <t>large</t>
        </is>
      </c>
      <c r="E368" s="21" t="n">
        <v>210</v>
      </c>
      <c r="F368" s="14" t="inlineStr">
        <is>
          <t>2026-07-28</t>
        </is>
      </c>
      <c r="G368" s="8" t="n">
        <v>3550</v>
      </c>
      <c r="H368" s="22" t="n">
        <v>47.2</v>
      </c>
      <c r="I368" s="22" t="n">
        <v>13.9</v>
      </c>
      <c r="J368" s="22" t="n">
        <v>34</v>
      </c>
      <c r="K368" s="23" t="n">
        <v>2.25</v>
      </c>
      <c r="L368" s="23" t="n">
        <v>2.2</v>
      </c>
      <c r="M368" s="23" t="n">
        <v>2.73</v>
      </c>
      <c r="N368" s="23" t="n">
        <v>0.66</v>
      </c>
      <c r="O368" s="23" t="n">
        <v>1.78</v>
      </c>
      <c r="P368" s="23" t="n">
        <v>1.73</v>
      </c>
      <c r="Q368" s="8">
        <f>K368*G368</f>
        <v/>
      </c>
      <c r="R368" s="24">
        <f>(M368-K368)*G368</f>
        <v/>
      </c>
      <c r="S368" s="25">
        <f>(M368/K368-1)*100</f>
        <v/>
      </c>
      <c r="T368" s="26">
        <f>(N368-K368)*G368</f>
        <v/>
      </c>
      <c r="U368" s="27">
        <f>(N368/K368-1)*100</f>
        <v/>
      </c>
      <c r="V368" s="11">
        <f>(P368-K368)*G368</f>
        <v/>
      </c>
      <c r="W368" s="11" t="n">
        <v>-2049.88</v>
      </c>
      <c r="X368" s="10">
        <f>W368/Q368*100</f>
        <v/>
      </c>
      <c r="Y368" s="12" t="n">
        <v>2.279</v>
      </c>
      <c r="Z368" s="14" t="inlineStr">
        <is>
          <t>2026_Q3</t>
        </is>
      </c>
    </row>
    <row r="369">
      <c r="A369" s="14" t="inlineStr">
        <is>
          <t>2026-07-23</t>
        </is>
      </c>
      <c r="B369" s="7" t="inlineStr">
        <is>
          <t>BPCL</t>
        </is>
      </c>
      <c r="C369" s="14" t="inlineStr">
        <is>
          <t>CE</t>
        </is>
      </c>
      <c r="D369" s="14" t="inlineStr">
        <is>
          <t>large</t>
        </is>
      </c>
      <c r="E369" s="21" t="n">
        <v>315</v>
      </c>
      <c r="F369" s="14" t="inlineStr">
        <is>
          <t>2026-07-28</t>
        </is>
      </c>
      <c r="G369" s="8" t="n">
        <v>1975</v>
      </c>
      <c r="H369" s="22" t="n">
        <v>-127.4</v>
      </c>
      <c r="I369" s="22" t="n">
        <v>-133.3</v>
      </c>
      <c r="J369" s="22" t="n">
        <v>23.1</v>
      </c>
      <c r="K369" s="23" t="n">
        <v>2.8</v>
      </c>
      <c r="L369" s="23" t="n">
        <v>2.75</v>
      </c>
      <c r="M369" s="23" t="n">
        <v>6.2</v>
      </c>
      <c r="N369" s="23" t="n">
        <v>1.2</v>
      </c>
      <c r="O369" s="23" t="n">
        <v>1.5</v>
      </c>
      <c r="P369" s="23" t="n">
        <v>1.45</v>
      </c>
      <c r="Q369" s="8">
        <f>K369*G369</f>
        <v/>
      </c>
      <c r="R369" s="24">
        <f>(M369-K369)*G369</f>
        <v/>
      </c>
      <c r="S369" s="25">
        <f>(M369/K369-1)*100</f>
        <v/>
      </c>
      <c r="T369" s="26">
        <f>(N369-K369)*G369</f>
        <v/>
      </c>
      <c r="U369" s="27">
        <f>(N369/K369-1)*100</f>
        <v/>
      </c>
      <c r="V369" s="11">
        <f>(P369-K369)*G369</f>
        <v/>
      </c>
      <c r="W369" s="11" t="n">
        <v>-2805.38</v>
      </c>
      <c r="X369" s="10">
        <f>W369/Q369*100</f>
        <v/>
      </c>
      <c r="Y369" s="12" t="n">
        <v>1.457</v>
      </c>
      <c r="Z369" s="14" t="inlineStr">
        <is>
          <t>2026_Q3</t>
        </is>
      </c>
    </row>
    <row r="370">
      <c r="A370" s="14" t="inlineStr">
        <is>
          <t>2026-07-23</t>
        </is>
      </c>
      <c r="B370" s="7" t="inlineStr">
        <is>
          <t>NAM-INDIA</t>
        </is>
      </c>
      <c r="C370" s="14" t="inlineStr">
        <is>
          <t>PE</t>
        </is>
      </c>
      <c r="D370" s="14" t="inlineStr">
        <is>
          <t>mid</t>
        </is>
      </c>
      <c r="E370" s="21" t="n">
        <v>1080</v>
      </c>
      <c r="F370" s="14" t="inlineStr">
        <is>
          <t>2026-07-28</t>
        </is>
      </c>
      <c r="G370" s="8" t="n">
        <v>625</v>
      </c>
      <c r="H370" s="22" t="n">
        <v>27.2</v>
      </c>
      <c r="I370" s="22" t="n">
        <v>30.9</v>
      </c>
      <c r="J370" s="22" t="n">
        <v>26.4</v>
      </c>
      <c r="K370" s="23" t="n">
        <v>6.3</v>
      </c>
      <c r="L370" s="23" t="n">
        <v>6.25</v>
      </c>
      <c r="M370" s="23" t="n">
        <v>16</v>
      </c>
      <c r="N370" s="23" t="n">
        <v>4.8</v>
      </c>
      <c r="O370" s="23" t="n">
        <v>6.15</v>
      </c>
      <c r="P370" s="23" t="n">
        <v>6.1</v>
      </c>
      <c r="Q370" s="8">
        <f>K370*G370</f>
        <v/>
      </c>
      <c r="R370" s="24">
        <f>(M370-K370)*G370</f>
        <v/>
      </c>
      <c r="S370" s="25">
        <f>(M370/K370-1)*100</f>
        <v/>
      </c>
      <c r="T370" s="26">
        <f>(N370-K370)*G370</f>
        <v/>
      </c>
      <c r="U370" s="27">
        <f>(N370/K370-1)*100</f>
        <v/>
      </c>
      <c r="V370" s="11">
        <f>(P370-K370)*G370</f>
        <v/>
      </c>
      <c r="W370" s="11" t="n">
        <v>-336.28</v>
      </c>
      <c r="X370" s="10">
        <f>W370/Q370*100</f>
        <v/>
      </c>
      <c r="Y370" s="12" t="n">
        <v>2.219</v>
      </c>
      <c r="Z370" s="14" t="inlineStr">
        <is>
          <t>2026_Q3</t>
        </is>
      </c>
    </row>
    <row r="371">
      <c r="A371" s="14" t="inlineStr">
        <is>
          <t>2026-07-23</t>
        </is>
      </c>
      <c r="B371" s="7" t="inlineStr">
        <is>
          <t>OFSS</t>
        </is>
      </c>
      <c r="C371" s="14" t="inlineStr">
        <is>
          <t>PE</t>
        </is>
      </c>
      <c r="D371" s="14" t="inlineStr">
        <is>
          <t>mid</t>
        </is>
      </c>
      <c r="E371" s="21" t="n">
        <v>10700</v>
      </c>
      <c r="F371" s="14" t="inlineStr">
        <is>
          <t>2026-07-28</t>
        </is>
      </c>
      <c r="G371" s="8" t="n">
        <v>100</v>
      </c>
      <c r="H371" s="22" t="n">
        <v>120.5</v>
      </c>
      <c r="I371" s="22" t="n">
        <v>68.2</v>
      </c>
      <c r="J371" s="22" t="n">
        <v>68.7</v>
      </c>
      <c r="K371" s="23" t="n">
        <v>67.7</v>
      </c>
      <c r="L371" s="23" t="n">
        <v>67.65000000000001</v>
      </c>
      <c r="M371" s="23" t="n">
        <v>850.35</v>
      </c>
      <c r="N371" s="23" t="n">
        <v>67.05</v>
      </c>
      <c r="O371" s="23" t="n">
        <v>187.95</v>
      </c>
      <c r="P371" s="23" t="n">
        <v>187.9</v>
      </c>
      <c r="Q371" s="8">
        <f>K371*G371</f>
        <v/>
      </c>
      <c r="R371" s="24">
        <f>(M371-K371)*G371</f>
        <v/>
      </c>
      <c r="S371" s="25">
        <f>(M371/K371-1)*100</f>
        <v/>
      </c>
      <c r="T371" s="26">
        <f>(N371-K371)*G371</f>
        <v/>
      </c>
      <c r="U371" s="27">
        <f>(N371/K371-1)*100</f>
        <v/>
      </c>
      <c r="V371" s="11">
        <f>(P371-K371)*G371</f>
        <v/>
      </c>
      <c r="W371" s="11" t="n">
        <v>11422.45</v>
      </c>
      <c r="X371" s="10">
        <f>W371/Q371*100</f>
        <v/>
      </c>
      <c r="Y371" s="12" t="n">
        <v>4.036</v>
      </c>
      <c r="Z371" s="14" t="inlineStr">
        <is>
          <t>2026_Q3</t>
        </is>
      </c>
    </row>
    <row r="372">
      <c r="A372" s="14" t="inlineStr">
        <is>
          <t>2026-07-23</t>
        </is>
      </c>
      <c r="B372" s="7" t="inlineStr">
        <is>
          <t>SRF</t>
        </is>
      </c>
      <c r="C372" s="14" t="inlineStr">
        <is>
          <t>PE</t>
        </is>
      </c>
      <c r="D372" s="14" t="inlineStr">
        <is>
          <t>mid</t>
        </is>
      </c>
      <c r="E372" s="21" t="n">
        <v>2780</v>
      </c>
      <c r="F372" s="14" t="inlineStr">
        <is>
          <t>2026-07-28</t>
        </is>
      </c>
      <c r="G372" s="8" t="n">
        <v>200</v>
      </c>
      <c r="H372" s="22" t="n">
        <v>75.5</v>
      </c>
      <c r="I372" s="22" t="n">
        <v>30.4</v>
      </c>
      <c r="J372" s="22" t="n">
        <v>31.8</v>
      </c>
      <c r="K372" s="23" t="n">
        <v>28.45</v>
      </c>
      <c r="L372" s="23" t="n">
        <v>28.4</v>
      </c>
      <c r="M372" s="23" t="n">
        <v>160.15</v>
      </c>
      <c r="N372" s="23" t="n">
        <v>16.45</v>
      </c>
      <c r="O372" s="23" t="n">
        <v>155.5</v>
      </c>
      <c r="P372" s="23" t="n">
        <v>155.45</v>
      </c>
      <c r="Q372" s="8">
        <f>K372*G372</f>
        <v/>
      </c>
      <c r="R372" s="24">
        <f>(M372-K372)*G372</f>
        <v/>
      </c>
      <c r="S372" s="25">
        <f>(M372/K372-1)*100</f>
        <v/>
      </c>
      <c r="T372" s="26">
        <f>(N372-K372)*G372</f>
        <v/>
      </c>
      <c r="U372" s="27">
        <f>(N372/K372-1)*100</f>
        <v/>
      </c>
      <c r="V372" s="11">
        <f>(P372-K372)*G372</f>
        <v/>
      </c>
      <c r="W372" s="11" t="n">
        <v>24554.94</v>
      </c>
      <c r="X372" s="10">
        <f>W372/Q372*100</f>
        <v/>
      </c>
      <c r="Y372" s="12" t="n">
        <v>7.778</v>
      </c>
      <c r="Z372" s="14" t="inlineStr">
        <is>
          <t>2026_Q3</t>
        </is>
      </c>
    </row>
    <row r="373">
      <c r="A373" s="14" t="inlineStr">
        <is>
          <t>2026-07-27</t>
        </is>
      </c>
      <c r="B373" s="7" t="inlineStr">
        <is>
          <t>BANKBARODA</t>
        </is>
      </c>
      <c r="C373" s="14" t="inlineStr">
        <is>
          <t>CE</t>
        </is>
      </c>
      <c r="D373" s="14" t="inlineStr">
        <is>
          <t>large</t>
        </is>
      </c>
      <c r="E373" s="21" t="n">
        <v>265</v>
      </c>
      <c r="F373" s="14" t="inlineStr">
        <is>
          <t>2026-08-25</t>
        </is>
      </c>
      <c r="G373" s="8" t="n">
        <v>2925</v>
      </c>
      <c r="H373" s="22" t="n">
        <v>-48.6</v>
      </c>
      <c r="I373" s="22" t="n">
        <v>-68.40000000000001</v>
      </c>
      <c r="J373" s="22" t="n">
        <v>6.8</v>
      </c>
      <c r="K373" s="23" t="n">
        <v>2.7</v>
      </c>
      <c r="L373" s="23" t="n">
        <v>2.65</v>
      </c>
      <c r="M373" s="23" t="n">
        <v>2.65</v>
      </c>
      <c r="N373" s="23" t="n">
        <v>1.4</v>
      </c>
      <c r="O373" s="23" t="n">
        <v>1.65</v>
      </c>
      <c r="P373" s="23" t="n">
        <v>1.6</v>
      </c>
      <c r="Q373" s="8">
        <f>K373*G373</f>
        <v/>
      </c>
      <c r="R373" s="24">
        <f>(M373-K373)*G373</f>
        <v/>
      </c>
      <c r="S373" s="25">
        <f>(M373/K373-1)*100</f>
        <v/>
      </c>
      <c r="T373" s="26">
        <f>(N373-K373)*G373</f>
        <v/>
      </c>
      <c r="U373" s="27">
        <f>(N373/K373-1)*100</f>
        <v/>
      </c>
      <c r="V373" s="11">
        <f>(P373-K373)*G373</f>
        <v/>
      </c>
      <c r="W373" s="11" t="n">
        <v>-3403.03</v>
      </c>
      <c r="X373" s="10">
        <f>W373/Q373*100</f>
        <v/>
      </c>
      <c r="Y373" s="12" t="n">
        <v>0.205</v>
      </c>
      <c r="Z373" s="14" t="inlineStr">
        <is>
          <t>2026_Q3</t>
        </is>
      </c>
    </row>
    <row r="374">
      <c r="A374" s="14" t="inlineStr">
        <is>
          <t>2026-07-27</t>
        </is>
      </c>
      <c r="B374" s="7" t="inlineStr">
        <is>
          <t>HINDZINC</t>
        </is>
      </c>
      <c r="C374" s="14" t="inlineStr">
        <is>
          <t>PE</t>
        </is>
      </c>
      <c r="D374" s="14" t="inlineStr">
        <is>
          <t>large</t>
        </is>
      </c>
      <c r="E374" s="21" t="n">
        <v>510</v>
      </c>
      <c r="F374" s="14" t="inlineStr">
        <is>
          <t>2026-08-25</t>
        </is>
      </c>
      <c r="G374" s="8" t="n">
        <v>1225</v>
      </c>
      <c r="H374" s="22" t="n">
        <v>144.8</v>
      </c>
      <c r="I374" s="22" t="n">
        <v>8.699999999999999</v>
      </c>
      <c r="J374" s="22" t="n">
        <v>76.90000000000001</v>
      </c>
      <c r="K374" s="23" t="n">
        <v>6.25</v>
      </c>
      <c r="L374" s="23" t="n">
        <v>6.2</v>
      </c>
      <c r="M374" s="23" t="n">
        <v>8.6</v>
      </c>
      <c r="N374" s="23" t="n">
        <v>5.85</v>
      </c>
      <c r="O374" s="23" t="n">
        <v>8.5</v>
      </c>
      <c r="P374" s="23" t="n">
        <v>8.449999999999999</v>
      </c>
      <c r="Q374" s="8">
        <f>K374*G374</f>
        <v/>
      </c>
      <c r="R374" s="24">
        <f>(M374-K374)*G374</f>
        <v/>
      </c>
      <c r="S374" s="25">
        <f>(M374/K374-1)*100</f>
        <v/>
      </c>
      <c r="T374" s="26">
        <f>(N374-K374)*G374</f>
        <v/>
      </c>
      <c r="U374" s="27">
        <f>(N374/K374-1)*100</f>
        <v/>
      </c>
      <c r="V374" s="11">
        <f>(P374-K374)*G374</f>
        <v/>
      </c>
      <c r="W374" s="11" t="n">
        <v>2444.39</v>
      </c>
      <c r="X374" s="10">
        <f>W374/Q374*100</f>
        <v/>
      </c>
      <c r="Y374" s="12" t="n">
        <v>2.107</v>
      </c>
      <c r="Z374" s="14" t="inlineStr">
        <is>
          <t>2026_Q3</t>
        </is>
      </c>
    </row>
    <row r="375">
      <c r="A375" s="14" t="inlineStr">
        <is>
          <t>2026-07-27</t>
        </is>
      </c>
      <c r="B375" s="7" t="inlineStr">
        <is>
          <t>JINDALSTEL</t>
        </is>
      </c>
      <c r="C375" s="14" t="inlineStr">
        <is>
          <t>CE</t>
        </is>
      </c>
      <c r="D375" s="14" t="inlineStr">
        <is>
          <t>mid</t>
        </is>
      </c>
      <c r="E375" s="21" t="n">
        <v>1140</v>
      </c>
      <c r="F375" s="14" t="inlineStr">
        <is>
          <t>2026-08-25</t>
        </is>
      </c>
      <c r="G375" s="8" t="n">
        <v>625</v>
      </c>
      <c r="H375" s="22" t="n">
        <v>-43.6</v>
      </c>
      <c r="I375" s="22" t="n">
        <v>-19</v>
      </c>
      <c r="J375" s="22" t="n">
        <v>25.9</v>
      </c>
      <c r="K375" s="23" t="n">
        <v>8.199999999999999</v>
      </c>
      <c r="L375" s="23" t="n">
        <v>8.15</v>
      </c>
      <c r="M375" s="23" t="n">
        <v>9.800000000000001</v>
      </c>
      <c r="N375" s="23" t="n">
        <v>6.4</v>
      </c>
      <c r="O375" s="23" t="n">
        <v>7.05</v>
      </c>
      <c r="P375" s="23" t="n">
        <v>7</v>
      </c>
      <c r="Q375" s="8">
        <f>K375*G375</f>
        <v/>
      </c>
      <c r="R375" s="24">
        <f>(M375-K375)*G375</f>
        <v/>
      </c>
      <c r="S375" s="25">
        <f>(M375/K375-1)*100</f>
        <v/>
      </c>
      <c r="T375" s="26">
        <f>(N375-K375)*G375</f>
        <v/>
      </c>
      <c r="U375" s="27">
        <f>(N375/K375-1)*100</f>
        <v/>
      </c>
      <c r="V375" s="11">
        <f>(P375-K375)*G375</f>
        <v/>
      </c>
      <c r="W375" s="11" t="n">
        <v>-997.9</v>
      </c>
      <c r="X375" s="10">
        <f>W375/Q375*100</f>
        <v/>
      </c>
      <c r="Y375" s="12" t="n">
        <v>1.014</v>
      </c>
      <c r="Z375" s="14" t="inlineStr">
        <is>
          <t>2026_Q3</t>
        </is>
      </c>
    </row>
    <row r="376">
      <c r="A376" s="14" t="inlineStr">
        <is>
          <t>2026-07-27</t>
        </is>
      </c>
      <c r="B376" s="7" t="inlineStr">
        <is>
          <t>LAURUSLABS</t>
        </is>
      </c>
      <c r="C376" s="14" t="inlineStr">
        <is>
          <t>PE</t>
        </is>
      </c>
      <c r="D376" s="14" t="inlineStr">
        <is>
          <t>mid</t>
        </is>
      </c>
      <c r="E376" s="21" t="n">
        <v>1480</v>
      </c>
      <c r="F376" s="14" t="inlineStr">
        <is>
          <t>2026-08-25</t>
        </is>
      </c>
      <c r="G376" s="8" t="n">
        <v>850</v>
      </c>
      <c r="H376" s="22" t="n">
        <v>123.9</v>
      </c>
      <c r="I376" s="22" t="n">
        <v>28.4</v>
      </c>
      <c r="J376" s="22" t="n">
        <v>29.1</v>
      </c>
      <c r="K376" s="23" t="n">
        <v>8.050000000000001</v>
      </c>
      <c r="L376" s="23" t="n">
        <v>8</v>
      </c>
      <c r="M376" s="23" t="n">
        <v>8</v>
      </c>
      <c r="N376" s="23" t="n">
        <v>3.75</v>
      </c>
      <c r="O376" s="23" t="n">
        <v>3.95</v>
      </c>
      <c r="P376" s="23" t="n">
        <v>3.9</v>
      </c>
      <c r="Q376" s="8">
        <f>K376*G376</f>
        <v/>
      </c>
      <c r="R376" s="24">
        <f>(M376-K376)*G376</f>
        <v/>
      </c>
      <c r="S376" s="25">
        <f>(M376/K376-1)*100</f>
        <v/>
      </c>
      <c r="T376" s="26">
        <f>(N376-K376)*G376</f>
        <v/>
      </c>
      <c r="U376" s="27">
        <f>(N376/K376-1)*100</f>
        <v/>
      </c>
      <c r="V376" s="11">
        <f>(P376-K376)*G376</f>
        <v/>
      </c>
      <c r="W376" s="11" t="n">
        <v>-3787.3</v>
      </c>
      <c r="X376" s="10">
        <f>W376/Q376*100</f>
        <v/>
      </c>
      <c r="Y376" s="12" t="n">
        <v>-5.453</v>
      </c>
      <c r="Z376" s="14" t="inlineStr">
        <is>
          <t>2026_Q3</t>
        </is>
      </c>
    </row>
    <row r="377">
      <c r="A377" s="14" t="inlineStr">
        <is>
          <t>2026-07-27</t>
        </is>
      </c>
      <c r="B377" s="7" t="inlineStr">
        <is>
          <t>LODHA</t>
        </is>
      </c>
      <c r="C377" s="14" t="inlineStr">
        <is>
          <t>PE</t>
        </is>
      </c>
      <c r="D377" s="14" t="inlineStr">
        <is>
          <t>large</t>
        </is>
      </c>
      <c r="E377" s="21" t="n">
        <v>1000</v>
      </c>
      <c r="F377" s="14" t="inlineStr">
        <is>
          <t>2026-08-25</t>
        </is>
      </c>
      <c r="G377" s="8" t="n">
        <v>625</v>
      </c>
      <c r="H377" s="22" t="n">
        <v>103.4</v>
      </c>
      <c r="I377" s="22" t="n">
        <v>36.2</v>
      </c>
      <c r="J377" s="22" t="n">
        <v>43.1</v>
      </c>
      <c r="K377" s="23" t="n">
        <v>11.5</v>
      </c>
      <c r="L377" s="23" t="n">
        <v>11.45</v>
      </c>
      <c r="M377" s="23" t="n">
        <v>12.8</v>
      </c>
      <c r="N377" s="23" t="n">
        <v>5.8</v>
      </c>
      <c r="O377" s="23" t="n">
        <v>6.4</v>
      </c>
      <c r="P377" s="23" t="n">
        <v>6.35</v>
      </c>
      <c r="Q377" s="8">
        <f>K377*G377</f>
        <v/>
      </c>
      <c r="R377" s="24">
        <f>(M377-K377)*G377</f>
        <v/>
      </c>
      <c r="S377" s="25">
        <f>(M377/K377-1)*100</f>
        <v/>
      </c>
      <c r="T377" s="26">
        <f>(N377-K377)*G377</f>
        <v/>
      </c>
      <c r="U377" s="27">
        <f>(N377/K377-1)*100</f>
        <v/>
      </c>
      <c r="V377" s="11">
        <f>(P377-K377)*G377</f>
        <v/>
      </c>
      <c r="W377" s="11" t="n">
        <v>-3388.36</v>
      </c>
      <c r="X377" s="10">
        <f>W377/Q377*100</f>
        <v/>
      </c>
      <c r="Y377" s="12" t="n">
        <v>-3.784</v>
      </c>
      <c r="Z377" s="14" t="inlineStr">
        <is>
          <t>2026_Q3</t>
        </is>
      </c>
    </row>
    <row r="378">
      <c r="A378" s="14" t="inlineStr">
        <is>
          <t>2026-07-27</t>
        </is>
      </c>
      <c r="B378" s="7" t="inlineStr">
        <is>
          <t>SBICARD</t>
        </is>
      </c>
      <c r="C378" s="14" t="inlineStr">
        <is>
          <t>PE</t>
        </is>
      </c>
      <c r="D378" s="14" t="inlineStr">
        <is>
          <t>mid</t>
        </is>
      </c>
      <c r="E378" s="21" t="n">
        <v>590</v>
      </c>
      <c r="F378" s="14" t="inlineStr">
        <is>
          <t>2026-08-25</t>
        </is>
      </c>
      <c r="G378" s="8" t="n">
        <v>800</v>
      </c>
      <c r="H378" s="22" t="n">
        <v>19.5</v>
      </c>
      <c r="I378" s="22" t="n">
        <v>9</v>
      </c>
      <c r="J378" s="22" t="n">
        <v>3.4</v>
      </c>
      <c r="K378" s="23" t="n">
        <v>7.05</v>
      </c>
      <c r="L378" s="23" t="n">
        <v>7</v>
      </c>
      <c r="M378" s="23" t="n">
        <v>7.8</v>
      </c>
      <c r="N378" s="23" t="n">
        <v>3.55</v>
      </c>
      <c r="O378" s="23" t="n">
        <v>3.75</v>
      </c>
      <c r="P378" s="23" t="n">
        <v>3.7</v>
      </c>
      <c r="Q378" s="8">
        <f>K378*G378</f>
        <v/>
      </c>
      <c r="R378" s="24">
        <f>(M378-K378)*G378</f>
        <v/>
      </c>
      <c r="S378" s="25">
        <f>(M378/K378-1)*100</f>
        <v/>
      </c>
      <c r="T378" s="26">
        <f>(N378-K378)*G378</f>
        <v/>
      </c>
      <c r="U378" s="27">
        <f>(N378/K378-1)*100</f>
        <v/>
      </c>
      <c r="V378" s="11">
        <f>(P378-K378)*G378</f>
        <v/>
      </c>
      <c r="W378" s="11" t="n">
        <v>-2907.42</v>
      </c>
      <c r="X378" s="10">
        <f>W378/Q378*100</f>
        <v/>
      </c>
      <c r="Y378" s="12" t="n">
        <v>-2.275</v>
      </c>
      <c r="Z378" s="14" t="inlineStr">
        <is>
          <t>2026_Q3</t>
        </is>
      </c>
    </row>
    <row r="379">
      <c r="A379" s="14" t="inlineStr">
        <is>
          <t>2026-07-27</t>
        </is>
      </c>
      <c r="B379" s="7" t="inlineStr">
        <is>
          <t>SHRIRAMFIN</t>
        </is>
      </c>
      <c r="C379" s="14" t="inlineStr">
        <is>
          <t>PE</t>
        </is>
      </c>
      <c r="D379" s="14" t="inlineStr">
        <is>
          <t>large</t>
        </is>
      </c>
      <c r="E379" s="21" t="n">
        <v>920</v>
      </c>
      <c r="F379" s="14" t="inlineStr">
        <is>
          <t>2026-08-25</t>
        </is>
      </c>
      <c r="G379" s="8" t="n">
        <v>825</v>
      </c>
      <c r="H379" s="22" t="n">
        <v>59.9</v>
      </c>
      <c r="I379" s="22" t="n">
        <v>14.3</v>
      </c>
      <c r="J379" s="22" t="n">
        <v>16.2</v>
      </c>
      <c r="K379" s="23" t="n">
        <v>9.1</v>
      </c>
      <c r="L379" s="23" t="n">
        <v>9.050000000000001</v>
      </c>
      <c r="M379" s="23" t="n">
        <v>9.050000000000001</v>
      </c>
      <c r="N379" s="23" t="n">
        <v>4.05</v>
      </c>
      <c r="O379" s="23" t="n">
        <v>4.25</v>
      </c>
      <c r="P379" s="23" t="n">
        <v>4.2</v>
      </c>
      <c r="Q379" s="8">
        <f>K379*G379</f>
        <v/>
      </c>
      <c r="R379" s="24">
        <f>(M379-K379)*G379</f>
        <v/>
      </c>
      <c r="S379" s="25">
        <f>(M379/K379-1)*100</f>
        <v/>
      </c>
      <c r="T379" s="26">
        <f>(N379-K379)*G379</f>
        <v/>
      </c>
      <c r="U379" s="27">
        <f>(N379/K379-1)*100</f>
        <v/>
      </c>
      <c r="V379" s="11">
        <f>(P379-K379)*G379</f>
        <v/>
      </c>
      <c r="W379" s="11" t="n">
        <v>-4209.47</v>
      </c>
      <c r="X379" s="10">
        <f>W379/Q379*100</f>
        <v/>
      </c>
      <c r="Y379" s="12" t="n">
        <v>-1.784</v>
      </c>
      <c r="Z379" s="14" t="inlineStr">
        <is>
          <t>2026_Q3</t>
        </is>
      </c>
    </row>
    <row r="380">
      <c r="A380" s="14" t="inlineStr">
        <is>
          <t>2026-07-27</t>
        </is>
      </c>
      <c r="B380" s="7" t="inlineStr">
        <is>
          <t>TATACONSUM</t>
        </is>
      </c>
      <c r="C380" s="14" t="inlineStr">
        <is>
          <t>PE</t>
        </is>
      </c>
      <c r="D380" s="14" t="inlineStr">
        <is>
          <t>large</t>
        </is>
      </c>
      <c r="E380" s="21" t="n">
        <v>1070</v>
      </c>
      <c r="F380" s="14" t="inlineStr">
        <is>
          <t>2026-08-25</t>
        </is>
      </c>
      <c r="G380" s="8" t="n">
        <v>550</v>
      </c>
      <c r="H380" s="22" t="n">
        <v>28.8</v>
      </c>
      <c r="I380" s="22" t="n">
        <v>0.7</v>
      </c>
      <c r="J380" s="22" t="n">
        <v>11.9</v>
      </c>
      <c r="K380" s="23" t="n">
        <v>13.05</v>
      </c>
      <c r="L380" s="23" t="n">
        <v>13</v>
      </c>
      <c r="M380" s="23" t="n">
        <v>15.15</v>
      </c>
      <c r="N380" s="23" t="n">
        <v>11.55</v>
      </c>
      <c r="O380" s="23" t="n">
        <v>12.7</v>
      </c>
      <c r="P380" s="23" t="n">
        <v>12.65</v>
      </c>
      <c r="Q380" s="8">
        <f>K380*G380</f>
        <v/>
      </c>
      <c r="R380" s="24">
        <f>(M380-K380)*G380</f>
        <v/>
      </c>
      <c r="S380" s="25">
        <f>(M380/K380-1)*100</f>
        <v/>
      </c>
      <c r="T380" s="26">
        <f>(N380-K380)*G380</f>
        <v/>
      </c>
      <c r="U380" s="27">
        <f>(N380/K380-1)*100</f>
        <v/>
      </c>
      <c r="V380" s="11">
        <f>(P380-K380)*G380</f>
        <v/>
      </c>
      <c r="W380" s="11" t="n">
        <v>-425.16</v>
      </c>
      <c r="X380" s="10">
        <f>W380/Q380*100</f>
        <v/>
      </c>
      <c r="Y380" s="12" t="n">
        <v>0.6909999999999999</v>
      </c>
      <c r="Z380" s="14" t="inlineStr">
        <is>
          <t>2026_Q3</t>
        </is>
      </c>
    </row>
    <row r="381">
      <c r="A381" s="14" t="inlineStr">
        <is>
          <t>2026-07-28</t>
        </is>
      </c>
      <c r="B381" s="7" t="inlineStr">
        <is>
          <t>GODFRYPHLP</t>
        </is>
      </c>
      <c r="C381" s="14" t="inlineStr">
        <is>
          <t>CE</t>
        </is>
      </c>
      <c r="D381" s="14" t="inlineStr">
        <is>
          <t>mid</t>
        </is>
      </c>
      <c r="E381" s="21" t="n">
        <v>2300</v>
      </c>
      <c r="F381" s="14" t="inlineStr">
        <is>
          <t>2026-08-25</t>
        </is>
      </c>
      <c r="G381" s="8" t="n">
        <v>275</v>
      </c>
      <c r="H381" s="22" t="n">
        <v>-44.3</v>
      </c>
      <c r="I381" s="22" t="n">
        <v>-62</v>
      </c>
      <c r="J381" s="22" t="n">
        <v>110.6</v>
      </c>
      <c r="K381" s="23" t="n">
        <v>25.05</v>
      </c>
      <c r="L381" s="23" t="n">
        <v>25</v>
      </c>
      <c r="M381" s="23" t="n">
        <v>28.4</v>
      </c>
      <c r="N381" s="23" t="n">
        <v>9.9</v>
      </c>
      <c r="O381" s="23" t="n">
        <v>10.5</v>
      </c>
      <c r="P381" s="23" t="n">
        <v>10.45</v>
      </c>
      <c r="Q381" s="8">
        <f>K381*G381</f>
        <v/>
      </c>
      <c r="R381" s="24">
        <f>(M381-K381)*G381</f>
        <v/>
      </c>
      <c r="S381" s="25">
        <f>(M381/K381-1)*100</f>
        <v/>
      </c>
      <c r="T381" s="26">
        <f>(N381-K381)*G381</f>
        <v/>
      </c>
      <c r="U381" s="27">
        <f>(N381/K381-1)*100</f>
        <v/>
      </c>
      <c r="V381" s="11">
        <f>(P381-K381)*G381</f>
        <v/>
      </c>
      <c r="W381" s="11" t="n">
        <v>-4266.07</v>
      </c>
      <c r="X381" s="10">
        <f>W381/Q381*100</f>
        <v/>
      </c>
      <c r="Y381" s="12" t="n">
        <v>-4.964</v>
      </c>
      <c r="Z381" s="14" t="inlineStr">
        <is>
          <t>2026_Q3</t>
        </is>
      </c>
    </row>
    <row r="382">
      <c r="A382" s="14" t="inlineStr">
        <is>
          <t>2026-07-29</t>
        </is>
      </c>
      <c r="B382" s="7" t="inlineStr">
        <is>
          <t>AMBUJACEM</t>
        </is>
      </c>
      <c r="C382" s="14" t="inlineStr">
        <is>
          <t>CE</t>
        </is>
      </c>
      <c r="D382" s="14" t="inlineStr">
        <is>
          <t>large</t>
        </is>
      </c>
      <c r="E382" s="21" t="n">
        <v>450</v>
      </c>
      <c r="F382" s="14" t="inlineStr">
        <is>
          <t>2026-08-25</t>
        </is>
      </c>
      <c r="G382" s="8" t="n">
        <v>1200</v>
      </c>
      <c r="H382" s="22" t="n">
        <v>-31.9</v>
      </c>
      <c r="I382" s="22" t="n">
        <v>-64.5</v>
      </c>
      <c r="J382" s="22" t="n">
        <v>-7.7</v>
      </c>
      <c r="K382" s="23" t="n">
        <v>5.35</v>
      </c>
      <c r="L382" s="23" t="n">
        <v>5.3</v>
      </c>
      <c r="M382" s="23" t="n">
        <v>10.1</v>
      </c>
      <c r="N382" s="23" t="n">
        <v>3.9</v>
      </c>
      <c r="O382" s="23" t="n">
        <v>6.05</v>
      </c>
      <c r="P382" s="23" t="n">
        <v>6</v>
      </c>
      <c r="Q382" s="8">
        <f>K382*G382</f>
        <v/>
      </c>
      <c r="R382" s="24">
        <f>(M382-K382)*G382</f>
        <v/>
      </c>
      <c r="S382" s="25">
        <f>(M382/K382-1)*100</f>
        <v/>
      </c>
      <c r="T382" s="26">
        <f>(N382-K382)*G382</f>
        <v/>
      </c>
      <c r="U382" s="27">
        <f>(N382/K382-1)*100</f>
        <v/>
      </c>
      <c r="V382" s="11">
        <f>(P382-K382)*G382</f>
        <v/>
      </c>
      <c r="W382" s="11" t="n">
        <v>579.88</v>
      </c>
      <c r="X382" s="10">
        <f>W382/Q382*100</f>
        <v/>
      </c>
      <c r="Y382" s="12" t="n">
        <v>2.593</v>
      </c>
      <c r="Z382" s="14" t="inlineStr">
        <is>
          <t>2026_Q3</t>
        </is>
      </c>
    </row>
    <row r="383">
      <c r="A383" s="14" t="inlineStr">
        <is>
          <t>2026-07-29</t>
        </is>
      </c>
      <c r="B383" s="7" t="inlineStr">
        <is>
          <t>CHOLAFIN</t>
        </is>
      </c>
      <c r="C383" s="14" t="inlineStr">
        <is>
          <t>PE</t>
        </is>
      </c>
      <c r="D383" s="14" t="inlineStr">
        <is>
          <t>large</t>
        </is>
      </c>
      <c r="E383" s="21" t="n">
        <v>1660</v>
      </c>
      <c r="F383" s="14" t="inlineStr">
        <is>
          <t>2026-08-25</t>
        </is>
      </c>
      <c r="G383" s="8" t="n">
        <v>625</v>
      </c>
      <c r="H383" s="22" t="n">
        <v>45.6</v>
      </c>
      <c r="I383" s="22" t="n">
        <v>0.7</v>
      </c>
      <c r="J383" s="22" t="n">
        <v>21.9</v>
      </c>
      <c r="K383" s="23" t="n">
        <v>11.7</v>
      </c>
      <c r="L383" s="23" t="n">
        <v>11.65</v>
      </c>
      <c r="M383" s="23" t="n">
        <v>15.95</v>
      </c>
      <c r="N383" s="23" t="n">
        <v>9.4</v>
      </c>
      <c r="O383" s="23" t="n">
        <v>11.1</v>
      </c>
      <c r="P383" s="23" t="n">
        <v>11.05</v>
      </c>
      <c r="Q383" s="8">
        <f>K383*G383</f>
        <v/>
      </c>
      <c r="R383" s="24">
        <f>(M383-K383)*G383</f>
        <v/>
      </c>
      <c r="S383" s="25">
        <f>(M383/K383-1)*100</f>
        <v/>
      </c>
      <c r="T383" s="26">
        <f>(N383-K383)*G383</f>
        <v/>
      </c>
      <c r="U383" s="27">
        <f>(N383/K383-1)*100</f>
        <v/>
      </c>
      <c r="V383" s="11">
        <f>(P383-K383)*G383</f>
        <v/>
      </c>
      <c r="W383" s="11" t="n">
        <v>-612.2</v>
      </c>
      <c r="X383" s="10">
        <f>W383/Q383*100</f>
        <v/>
      </c>
      <c r="Y383" s="12" t="n">
        <v>0.116</v>
      </c>
      <c r="Z383" s="14" t="inlineStr">
        <is>
          <t>2026_Q3</t>
        </is>
      </c>
    </row>
    <row r="384">
      <c r="A384" s="14" t="inlineStr">
        <is>
          <t>2026-07-29</t>
        </is>
      </c>
      <c r="B384" s="7" t="inlineStr">
        <is>
          <t>RADICO</t>
        </is>
      </c>
      <c r="C384" s="14" t="inlineStr">
        <is>
          <t>PE</t>
        </is>
      </c>
      <c r="D384" s="14" t="inlineStr">
        <is>
          <t>mid</t>
        </is>
      </c>
      <c r="E384" s="21" t="n">
        <v>3900</v>
      </c>
      <c r="F384" s="14" t="inlineStr">
        <is>
          <t>2026-08-25</t>
        </is>
      </c>
      <c r="G384" s="8" t="n">
        <v>150</v>
      </c>
      <c r="H384" s="22" t="n">
        <v>75.90000000000001</v>
      </c>
      <c r="I384" s="22" t="n">
        <v>27.9</v>
      </c>
      <c r="J384" s="22" t="n">
        <v>10.4</v>
      </c>
      <c r="K384" s="23" t="n">
        <v>29.35</v>
      </c>
      <c r="L384" s="23" t="n">
        <v>29.3</v>
      </c>
      <c r="M384" s="23" t="n">
        <v>37.45</v>
      </c>
      <c r="N384" s="23" t="n">
        <v>18.05</v>
      </c>
      <c r="O384" s="23" t="n">
        <v>19.85</v>
      </c>
      <c r="P384" s="23" t="n">
        <v>19.8</v>
      </c>
      <c r="Q384" s="8">
        <f>K384*G384</f>
        <v/>
      </c>
      <c r="R384" s="24">
        <f>(M384-K384)*G384</f>
        <v/>
      </c>
      <c r="S384" s="25">
        <f>(M384/K384-1)*100</f>
        <v/>
      </c>
      <c r="T384" s="26">
        <f>(N384-K384)*G384</f>
        <v/>
      </c>
      <c r="U384" s="27">
        <f>(N384/K384-1)*100</f>
        <v/>
      </c>
      <c r="V384" s="11">
        <f>(P384-K384)*G384</f>
        <v/>
      </c>
      <c r="W384" s="11" t="n">
        <v>-1634.83</v>
      </c>
      <c r="X384" s="10">
        <f>W384/Q384*100</f>
        <v/>
      </c>
      <c r="Y384" s="12" t="n">
        <v>-0.8110000000000001</v>
      </c>
      <c r="Z384" s="14" t="inlineStr">
        <is>
          <t>2026_Q3</t>
        </is>
      </c>
    </row>
    <row r="385">
      <c r="A385" s="14" t="inlineStr">
        <is>
          <t>2026-07-29</t>
        </is>
      </c>
      <c r="B385" s="7" t="inlineStr">
        <is>
          <t>VBL</t>
        </is>
      </c>
      <c r="C385" s="14" t="inlineStr">
        <is>
          <t>PE</t>
        </is>
      </c>
      <c r="D385" s="14" t="inlineStr">
        <is>
          <t>large</t>
        </is>
      </c>
      <c r="E385" s="21" t="n">
        <v>410</v>
      </c>
      <c r="F385" s="14" t="inlineStr">
        <is>
          <t>2026-08-25</t>
        </is>
      </c>
      <c r="G385" s="8" t="n">
        <v>1275</v>
      </c>
      <c r="H385" s="22" t="n">
        <v>15.1</v>
      </c>
      <c r="I385" s="22" t="n">
        <v>73.59999999999999</v>
      </c>
      <c r="J385" s="22" t="n">
        <v>20.8</v>
      </c>
      <c r="K385" s="23" t="n">
        <v>5.3</v>
      </c>
      <c r="L385" s="23" t="n">
        <v>5.25</v>
      </c>
      <c r="M385" s="23" t="n">
        <v>5.3</v>
      </c>
      <c r="N385" s="23" t="n">
        <v>2.4</v>
      </c>
      <c r="O385" s="23" t="n">
        <v>2.55</v>
      </c>
      <c r="P385" s="23" t="n">
        <v>2.5</v>
      </c>
      <c r="Q385" s="8">
        <f>K385*G385</f>
        <v/>
      </c>
      <c r="R385" s="24">
        <f>(M385-K385)*G385</f>
        <v/>
      </c>
      <c r="S385" s="25">
        <f>(M385/K385-1)*100</f>
        <v/>
      </c>
      <c r="T385" s="26">
        <f>(N385-K385)*G385</f>
        <v/>
      </c>
      <c r="U385" s="27">
        <f>(N385/K385-1)*100</f>
        <v/>
      </c>
      <c r="V385" s="11">
        <f>(P385-K385)*G385</f>
        <v/>
      </c>
      <c r="W385" s="11" t="n">
        <v>-3725.8</v>
      </c>
      <c r="X385" s="10">
        <f>W385/Q385*100</f>
        <v/>
      </c>
      <c r="Y385" s="12" t="n">
        <v>-1.856</v>
      </c>
      <c r="Z385" s="14" t="inlineStr">
        <is>
          <t>2026_Q3</t>
        </is>
      </c>
    </row>
    <row r="386">
      <c r="A386" s="14" t="inlineStr">
        <is>
          <t>2026-07-30</t>
        </is>
      </c>
      <c r="B386" s="7" t="inlineStr">
        <is>
          <t>ADANIPORTS</t>
        </is>
      </c>
      <c r="C386" s="14" t="inlineStr">
        <is>
          <t>PE</t>
        </is>
      </c>
      <c r="D386" s="14" t="inlineStr">
        <is>
          <t>large</t>
        </is>
      </c>
      <c r="E386" s="21" t="n">
        <v>1600</v>
      </c>
      <c r="F386" s="14" t="inlineStr">
        <is>
          <t>2026-08-25</t>
        </is>
      </c>
      <c r="G386" s="8" t="n">
        <v>475</v>
      </c>
      <c r="H386" s="22" t="n">
        <v>10.2</v>
      </c>
      <c r="I386" s="22" t="n">
        <v>10.3</v>
      </c>
      <c r="J386" s="22" t="n">
        <v>18.6</v>
      </c>
      <c r="K386" s="23" t="n">
        <v>9.050000000000001</v>
      </c>
      <c r="L386" s="23" t="n">
        <v>9</v>
      </c>
      <c r="M386" s="23" t="n">
        <v>22.05</v>
      </c>
      <c r="N386" s="23" t="n">
        <v>6.7</v>
      </c>
      <c r="O386" s="23" t="n">
        <v>19.5</v>
      </c>
      <c r="P386" s="23" t="n">
        <v>19.45</v>
      </c>
      <c r="Q386" s="8">
        <f>K386*G386</f>
        <v/>
      </c>
      <c r="R386" s="24">
        <f>(M386-K386)*G386</f>
        <v/>
      </c>
      <c r="S386" s="25">
        <f>(M386/K386-1)*100</f>
        <v/>
      </c>
      <c r="T386" s="26">
        <f>(N386-K386)*G386</f>
        <v/>
      </c>
      <c r="U386" s="27">
        <f>(N386/K386-1)*100</f>
        <v/>
      </c>
      <c r="V386" s="11">
        <f>(P386-K386)*G386</f>
        <v/>
      </c>
      <c r="W386" s="11" t="n">
        <v>4737.74</v>
      </c>
      <c r="X386" s="10">
        <f>W386/Q386*100</f>
        <v/>
      </c>
      <c r="Y386" s="12" t="n">
        <v>3.625</v>
      </c>
      <c r="Z386" s="14" t="inlineStr">
        <is>
          <t>2026_Q3</t>
        </is>
      </c>
    </row>
    <row r="387">
      <c r="A387" s="14" t="inlineStr">
        <is>
          <t>2026-07-30</t>
        </is>
      </c>
      <c r="B387" s="7" t="inlineStr">
        <is>
          <t>ASIANPAINT</t>
        </is>
      </c>
      <c r="C387" s="14" t="inlineStr">
        <is>
          <t>PE</t>
        </is>
      </c>
      <c r="D387" s="14" t="inlineStr">
        <is>
          <t>large</t>
        </is>
      </c>
      <c r="E387" s="21" t="n">
        <v>2600</v>
      </c>
      <c r="F387" s="14" t="inlineStr">
        <is>
          <t>2026-08-25</t>
        </is>
      </c>
      <c r="G387" s="8" t="n">
        <v>250</v>
      </c>
      <c r="H387" s="22" t="n">
        <v>39.6</v>
      </c>
      <c r="I387" s="22" t="n">
        <v>31.5</v>
      </c>
      <c r="J387" s="22" t="n">
        <v>17.9</v>
      </c>
      <c r="K387" s="23" t="n">
        <v>21</v>
      </c>
      <c r="L387" s="23" t="n">
        <v>20.95</v>
      </c>
      <c r="M387" s="23" t="n">
        <v>37.05</v>
      </c>
      <c r="N387" s="23" t="n">
        <v>13.4</v>
      </c>
      <c r="O387" s="23" t="n">
        <v>15.95</v>
      </c>
      <c r="P387" s="23" t="n">
        <v>15.9</v>
      </c>
      <c r="Q387" s="8">
        <f>K387*G387</f>
        <v/>
      </c>
      <c r="R387" s="24">
        <f>(M387-K387)*G387</f>
        <v/>
      </c>
      <c r="S387" s="25">
        <f>(M387/K387-1)*100</f>
        <v/>
      </c>
      <c r="T387" s="26">
        <f>(N387-K387)*G387</f>
        <v/>
      </c>
      <c r="U387" s="27">
        <f>(N387/K387-1)*100</f>
        <v/>
      </c>
      <c r="V387" s="11">
        <f>(P387-K387)*G387</f>
        <v/>
      </c>
      <c r="W387" s="11" t="n">
        <v>-1424.45</v>
      </c>
      <c r="X387" s="10">
        <f>W387/Q387*100</f>
        <v/>
      </c>
      <c r="Y387" s="12" t="n">
        <v>0.431</v>
      </c>
      <c r="Z387" s="14" t="inlineStr">
        <is>
          <t>2026_Q3</t>
        </is>
      </c>
    </row>
    <row r="388">
      <c r="A388" s="14" t="inlineStr">
        <is>
          <t>2026-07-30</t>
        </is>
      </c>
      <c r="B388" s="7" t="inlineStr">
        <is>
          <t>DABUR</t>
        </is>
      </c>
      <c r="C388" s="14" t="inlineStr">
        <is>
          <t>PE</t>
        </is>
      </c>
      <c r="D388" s="14" t="inlineStr">
        <is>
          <t>mid</t>
        </is>
      </c>
      <c r="E388" s="21" t="n">
        <v>415</v>
      </c>
      <c r="F388" s="14" t="inlineStr">
        <is>
          <t>2026-08-25</t>
        </is>
      </c>
      <c r="G388" s="8" t="n">
        <v>1250</v>
      </c>
      <c r="H388" s="22" t="n">
        <v>15.3</v>
      </c>
      <c r="I388" s="22" t="n">
        <v>61.9</v>
      </c>
      <c r="J388" s="22" t="n">
        <v>10.6</v>
      </c>
      <c r="K388" s="23" t="n">
        <v>5.55</v>
      </c>
      <c r="L388" s="23" t="n">
        <v>5.5</v>
      </c>
      <c r="M388" s="23" t="n">
        <v>10.4</v>
      </c>
      <c r="N388" s="23" t="n">
        <v>4.65</v>
      </c>
      <c r="O388" s="23" t="n">
        <v>4.9</v>
      </c>
      <c r="P388" s="23" t="n">
        <v>4.85</v>
      </c>
      <c r="Q388" s="8">
        <f>K388*G388</f>
        <v/>
      </c>
      <c r="R388" s="24">
        <f>(M388-K388)*G388</f>
        <v/>
      </c>
      <c r="S388" s="25">
        <f>(M388/K388-1)*100</f>
        <v/>
      </c>
      <c r="T388" s="26">
        <f>(N388-K388)*G388</f>
        <v/>
      </c>
      <c r="U388" s="27">
        <f>(N388/K388-1)*100</f>
        <v/>
      </c>
      <c r="V388" s="11">
        <f>(P388-K388)*G388</f>
        <v/>
      </c>
      <c r="W388" s="11" t="n">
        <v>-1196.96</v>
      </c>
      <c r="X388" s="10">
        <f>W388/Q388*100</f>
        <v/>
      </c>
      <c r="Y388" s="12" t="n">
        <v>1.594</v>
      </c>
      <c r="Z388" s="14" t="inlineStr">
        <is>
          <t>2026_Q3</t>
        </is>
      </c>
    </row>
    <row r="389">
      <c r="A389" s="14" t="inlineStr">
        <is>
          <t>2026-07-30</t>
        </is>
      </c>
      <c r="B389" s="7" t="inlineStr">
        <is>
          <t>KPITTECH</t>
        </is>
      </c>
      <c r="C389" s="14" t="inlineStr">
        <is>
          <t>CE</t>
        </is>
      </c>
      <c r="D389" s="14" t="inlineStr">
        <is>
          <t>small</t>
        </is>
      </c>
      <c r="E389" s="21" t="n">
        <v>660</v>
      </c>
      <c r="F389" s="14" t="inlineStr">
        <is>
          <t>2026-08-25</t>
        </is>
      </c>
      <c r="G389" s="8" t="n">
        <v>775</v>
      </c>
      <c r="H389" s="22" t="n">
        <v>-32.3</v>
      </c>
      <c r="I389" s="22" t="n">
        <v>-28.6</v>
      </c>
      <c r="J389" s="22" t="n">
        <v>8.9</v>
      </c>
      <c r="K389" s="23" t="n">
        <v>10.1</v>
      </c>
      <c r="L389" s="23" t="n">
        <v>10.05</v>
      </c>
      <c r="M389" s="23" t="n">
        <v>11.6</v>
      </c>
      <c r="N389" s="23" t="n">
        <v>3.7</v>
      </c>
      <c r="O389" s="23" t="n">
        <v>4.4</v>
      </c>
      <c r="P389" s="23" t="n">
        <v>4.35</v>
      </c>
      <c r="Q389" s="8">
        <f>K389*G389</f>
        <v/>
      </c>
      <c r="R389" s="24">
        <f>(M389-K389)*G389</f>
        <v/>
      </c>
      <c r="S389" s="25">
        <f>(M389/K389-1)*100</f>
        <v/>
      </c>
      <c r="T389" s="26">
        <f>(N389-K389)*G389</f>
        <v/>
      </c>
      <c r="U389" s="27">
        <f>(N389/K389-1)*100</f>
        <v/>
      </c>
      <c r="V389" s="11">
        <f>(P389-K389)*G389</f>
        <v/>
      </c>
      <c r="W389" s="11" t="n">
        <v>-4849.41</v>
      </c>
      <c r="X389" s="10">
        <f>W389/Q389*100</f>
        <v/>
      </c>
      <c r="Y389" s="12" t="n">
        <v>-3.32</v>
      </c>
      <c r="Z389" s="14" t="inlineStr">
        <is>
          <t>2026_Q3</t>
        </is>
      </c>
    </row>
    <row r="390">
      <c r="A390" s="14" t="inlineStr">
        <is>
          <t>2026-07-30</t>
        </is>
      </c>
      <c r="B390" s="7" t="inlineStr">
        <is>
          <t>PRESTIGE</t>
        </is>
      </c>
      <c r="C390" s="14" t="inlineStr">
        <is>
          <t>CE</t>
        </is>
      </c>
      <c r="D390" s="14" t="inlineStr">
        <is>
          <t>mid</t>
        </is>
      </c>
      <c r="E390" s="21" t="n">
        <v>1780</v>
      </c>
      <c r="F390" s="14" t="inlineStr">
        <is>
          <t>2026-08-25</t>
        </is>
      </c>
      <c r="G390" s="8" t="n">
        <v>450</v>
      </c>
      <c r="H390" s="22" t="n">
        <v>-12.9</v>
      </c>
      <c r="I390" s="22" t="n">
        <v>-7</v>
      </c>
      <c r="J390" s="22" t="n">
        <v>15.9</v>
      </c>
      <c r="K390" s="23" t="n">
        <v>13.05</v>
      </c>
      <c r="L390" s="23" t="n">
        <v>13</v>
      </c>
      <c r="M390" s="23" t="n">
        <v>13</v>
      </c>
      <c r="N390" s="23" t="n">
        <v>7.65</v>
      </c>
      <c r="O390" s="23" t="n">
        <v>9.1</v>
      </c>
      <c r="P390" s="23" t="n">
        <v>9.050000000000001</v>
      </c>
      <c r="Q390" s="8">
        <f>K390*G390</f>
        <v/>
      </c>
      <c r="R390" s="24">
        <f>(M390-K390)*G390</f>
        <v/>
      </c>
      <c r="S390" s="25">
        <f>(M390/K390-1)*100</f>
        <v/>
      </c>
      <c r="T390" s="26">
        <f>(N390-K390)*G390</f>
        <v/>
      </c>
      <c r="U390" s="27">
        <f>(N390/K390-1)*100</f>
        <v/>
      </c>
      <c r="V390" s="11">
        <f>(P390-K390)*G390</f>
        <v/>
      </c>
      <c r="W390" s="11" t="n">
        <v>-2056.58</v>
      </c>
      <c r="X390" s="10">
        <f>W390/Q390*100</f>
        <v/>
      </c>
      <c r="Y390" s="12" t="n">
        <v>-0.765</v>
      </c>
      <c r="Z390" s="14" t="inlineStr">
        <is>
          <t>2026_Q3</t>
        </is>
      </c>
    </row>
    <row r="391">
      <c r="A391" s="14" t="inlineStr">
        <is>
          <t>2026-07-31</t>
        </is>
      </c>
      <c r="B391" s="7" t="inlineStr">
        <is>
          <t>BAJFINANCE</t>
        </is>
      </c>
      <c r="C391" s="14" t="inlineStr">
        <is>
          <t>PE</t>
        </is>
      </c>
      <c r="D391" s="14" t="inlineStr">
        <is>
          <t>large</t>
        </is>
      </c>
      <c r="E391" s="21" t="n">
        <v>1040</v>
      </c>
      <c r="F391" s="14" t="inlineStr">
        <is>
          <t>2026-08-25</t>
        </is>
      </c>
      <c r="G391" s="8" t="n">
        <v>750</v>
      </c>
      <c r="H391" s="22" t="n">
        <v>27.6</v>
      </c>
      <c r="I391" s="22" t="n">
        <v>9.5</v>
      </c>
      <c r="J391" s="22" t="n">
        <v>18.7</v>
      </c>
      <c r="K391" s="23" t="n">
        <v>6.9</v>
      </c>
      <c r="L391" s="23" t="n">
        <v>6.85</v>
      </c>
      <c r="M391" s="23" t="n">
        <v>18</v>
      </c>
      <c r="N391" s="23" t="n">
        <v>3.7</v>
      </c>
      <c r="O391" s="23" t="n">
        <v>3.9</v>
      </c>
      <c r="P391" s="23" t="n">
        <v>3.85</v>
      </c>
      <c r="Q391" s="8">
        <f>K391*G391</f>
        <v/>
      </c>
      <c r="R391" s="24">
        <f>(M391-K391)*G391</f>
        <v/>
      </c>
      <c r="S391" s="25">
        <f>(M391/K391-1)*100</f>
        <v/>
      </c>
      <c r="T391" s="26">
        <f>(N391-K391)*G391</f>
        <v/>
      </c>
      <c r="U391" s="27">
        <f>(N391/K391-1)*100</f>
        <v/>
      </c>
      <c r="V391" s="11">
        <f>(P391-K391)*G391</f>
        <v/>
      </c>
      <c r="W391" s="11" t="n">
        <v>-2423.22</v>
      </c>
      <c r="X391" s="10">
        <f>W391/Q391*100</f>
        <v/>
      </c>
      <c r="Y391" s="12" t="n">
        <v>-4.219</v>
      </c>
      <c r="Z391" s="14" t="inlineStr">
        <is>
          <t>2026_Q3</t>
        </is>
      </c>
    </row>
    <row r="392">
      <c r="A392" s="14" t="inlineStr">
        <is>
          <t>2026-07-31</t>
        </is>
      </c>
      <c r="B392" s="7" t="inlineStr">
        <is>
          <t>HYUNDAI</t>
        </is>
      </c>
      <c r="C392" s="14" t="inlineStr">
        <is>
          <t>CE</t>
        </is>
      </c>
      <c r="D392" s="14" t="inlineStr">
        <is>
          <t>large</t>
        </is>
      </c>
      <c r="E392" s="21" t="n">
        <v>2220</v>
      </c>
      <c r="F392" s="14" t="inlineStr">
        <is>
          <t>2026-08-25</t>
        </is>
      </c>
      <c r="G392" s="8" t="n">
        <v>275</v>
      </c>
      <c r="H392" s="22" t="n">
        <v>-35.1</v>
      </c>
      <c r="I392" s="22" t="n">
        <v>-29.2</v>
      </c>
      <c r="J392" s="22" t="n">
        <v>-0.5</v>
      </c>
      <c r="K392" s="23" t="n">
        <v>20</v>
      </c>
      <c r="L392" s="23" t="n">
        <v>19.95</v>
      </c>
      <c r="M392" s="23" t="n">
        <v>64.95</v>
      </c>
      <c r="N392" s="23" t="n">
        <v>19.95</v>
      </c>
      <c r="O392" s="23" t="n">
        <v>42.45</v>
      </c>
      <c r="P392" s="23" t="n">
        <v>42.4</v>
      </c>
      <c r="Q392" s="8">
        <f>K392*G392</f>
        <v/>
      </c>
      <c r="R392" s="24">
        <f>(M392-K392)*G392</f>
        <v/>
      </c>
      <c r="S392" s="25">
        <f>(M392/K392-1)*100</f>
        <v/>
      </c>
      <c r="T392" s="26">
        <f>(N392-K392)*G392</f>
        <v/>
      </c>
      <c r="U392" s="27">
        <f>(N392/K392-1)*100</f>
        <v/>
      </c>
      <c r="V392" s="11">
        <f>(P392-K392)*G392</f>
        <v/>
      </c>
      <c r="W392" s="11" t="n">
        <v>5916.33</v>
      </c>
      <c r="X392" s="10">
        <f>W392/Q392*100</f>
        <v/>
      </c>
      <c r="Y392" s="12" t="n">
        <v>3.892</v>
      </c>
      <c r="Z392" s="14" t="inlineStr">
        <is>
          <t>2026_Q3</t>
        </is>
      </c>
    </row>
    <row r="393">
      <c r="A393" s="14" t="inlineStr">
        <is>
          <t>2026-07-31</t>
        </is>
      </c>
      <c r="B393" s="7" t="inlineStr">
        <is>
          <t>M&amp;M</t>
        </is>
      </c>
      <c r="C393" s="14" t="inlineStr">
        <is>
          <t>PE</t>
        </is>
      </c>
      <c r="D393" s="14" t="inlineStr">
        <is>
          <t>large</t>
        </is>
      </c>
      <c r="E393" s="21" t="n">
        <v>3250</v>
      </c>
      <c r="F393" s="14" t="inlineStr">
        <is>
          <t>2026-08-25</t>
        </is>
      </c>
      <c r="G393" s="8" t="n">
        <v>200</v>
      </c>
      <c r="H393" s="22" t="n">
        <v>37</v>
      </c>
      <c r="I393" s="22" t="n">
        <v>14</v>
      </c>
      <c r="J393" s="22" t="n">
        <v>27.8</v>
      </c>
      <c r="K393" s="23" t="n">
        <v>35.05</v>
      </c>
      <c r="L393" s="23" t="n">
        <v>35</v>
      </c>
      <c r="M393" s="23" t="n">
        <v>85.45</v>
      </c>
      <c r="N393" s="23" t="n">
        <v>24.05</v>
      </c>
      <c r="O393" s="23" t="n">
        <v>30.4</v>
      </c>
      <c r="P393" s="23" t="n">
        <v>30.35</v>
      </c>
      <c r="Q393" s="8">
        <f>K393*G393</f>
        <v/>
      </c>
      <c r="R393" s="24">
        <f>(M393-K393)*G393</f>
        <v/>
      </c>
      <c r="S393" s="25">
        <f>(M393/K393-1)*100</f>
        <v/>
      </c>
      <c r="T393" s="26">
        <f>(N393-K393)*G393</f>
        <v/>
      </c>
      <c r="U393" s="27">
        <f>(N393/K393-1)*100</f>
        <v/>
      </c>
      <c r="V393" s="11">
        <f>(P393-K393)*G393</f>
        <v/>
      </c>
      <c r="W393" s="11" t="n">
        <v>-1132.83</v>
      </c>
      <c r="X393" s="10">
        <f>W393/Q393*100</f>
        <v/>
      </c>
      <c r="Y393" s="12" t="n">
        <v>-0.55</v>
      </c>
      <c r="Z393" s="14" t="inlineStr">
        <is>
          <t>2026_Q3</t>
        </is>
      </c>
    </row>
    <row r="394">
      <c r="A394" s="14" t="inlineStr">
        <is>
          <t>2026-07-31</t>
        </is>
      </c>
      <c r="B394" s="7" t="inlineStr">
        <is>
          <t>MANKIND</t>
        </is>
      </c>
      <c r="C394" s="14" t="inlineStr">
        <is>
          <t>PE</t>
        </is>
      </c>
      <c r="D394" s="14" t="inlineStr">
        <is>
          <t>mid</t>
        </is>
      </c>
      <c r="E394" s="21" t="n">
        <v>2400</v>
      </c>
      <c r="F394" s="14" t="inlineStr">
        <is>
          <t>2026-08-25</t>
        </is>
      </c>
      <c r="G394" s="8" t="n">
        <v>250</v>
      </c>
      <c r="H394" s="22" t="n">
        <v>29.1</v>
      </c>
      <c r="I394" s="22" t="n">
        <v>2.6</v>
      </c>
      <c r="J394" s="22" t="n">
        <v>12.9</v>
      </c>
      <c r="K394" s="23" t="n">
        <v>18.05</v>
      </c>
      <c r="L394" s="23" t="n">
        <v>18</v>
      </c>
      <c r="M394" s="23" t="n">
        <v>63</v>
      </c>
      <c r="N394" s="23" t="n">
        <v>18</v>
      </c>
      <c r="O394" s="23" t="n">
        <v>43</v>
      </c>
      <c r="P394" s="23" t="n">
        <v>42.95</v>
      </c>
      <c r="Q394" s="8">
        <f>K394*G394</f>
        <v/>
      </c>
      <c r="R394" s="24">
        <f>(M394-K394)*G394</f>
        <v/>
      </c>
      <c r="S394" s="25">
        <f>(M394/K394-1)*100</f>
        <v/>
      </c>
      <c r="T394" s="26">
        <f>(N394-K394)*G394</f>
        <v/>
      </c>
      <c r="U394" s="27">
        <f>(N394/K394-1)*100</f>
        <v/>
      </c>
      <c r="V394" s="11">
        <f>(P394-K394)*G394</f>
        <v/>
      </c>
      <c r="W394" s="11" t="n">
        <v>5850.14</v>
      </c>
      <c r="X394" s="10">
        <f>W394/Q394*100</f>
        <v/>
      </c>
      <c r="Y394" s="12" t="n">
        <v>5.161</v>
      </c>
      <c r="Z394" s="14" t="inlineStr">
        <is>
          <t>2026_Q3</t>
        </is>
      </c>
    </row>
    <row r="395">
      <c r="A395" s="14" t="inlineStr">
        <is>
          <t>2026-08-03</t>
        </is>
      </c>
      <c r="B395" s="7" t="inlineStr">
        <is>
          <t>ABCAPITAL</t>
        </is>
      </c>
      <c r="C395" s="14" t="inlineStr">
        <is>
          <t>PE</t>
        </is>
      </c>
      <c r="D395" s="14" t="inlineStr">
        <is>
          <t>mid</t>
        </is>
      </c>
      <c r="E395" s="21" t="n">
        <v>385</v>
      </c>
      <c r="F395" s="14" t="inlineStr">
        <is>
          <t>2026-08-25</t>
        </is>
      </c>
      <c r="G395" s="8" t="n">
        <v>3100</v>
      </c>
      <c r="H395" s="22" t="n">
        <v>43.9</v>
      </c>
      <c r="I395" s="22" t="n">
        <v>5.1</v>
      </c>
      <c r="J395" s="22" t="n">
        <v>28.2</v>
      </c>
      <c r="K395" s="23" t="n">
        <v>2.15</v>
      </c>
      <c r="L395" s="23" t="n">
        <v>2.1</v>
      </c>
      <c r="M395" s="23" t="n">
        <v>2.25</v>
      </c>
      <c r="N395" s="23" t="n">
        <v>0.95</v>
      </c>
      <c r="O395" s="23" t="n">
        <v>1.65</v>
      </c>
      <c r="P395" s="23" t="n">
        <v>1.6</v>
      </c>
      <c r="Q395" s="8">
        <f>K395*G395</f>
        <v/>
      </c>
      <c r="R395" s="24">
        <f>(M395-K395)*G395</f>
        <v/>
      </c>
      <c r="S395" s="25">
        <f>(M395/K395-1)*100</f>
        <v/>
      </c>
      <c r="T395" s="26">
        <f>(N395-K395)*G395</f>
        <v/>
      </c>
      <c r="U395" s="27">
        <f>(N395/K395-1)*100</f>
        <v/>
      </c>
      <c r="V395" s="11">
        <f>(P395-K395)*G395</f>
        <v/>
      </c>
      <c r="W395" s="11" t="n">
        <v>-1997.23</v>
      </c>
      <c r="X395" s="10">
        <f>W395/Q395*100</f>
        <v/>
      </c>
      <c r="Y395" s="12" t="n">
        <v>-3.5</v>
      </c>
      <c r="Z395" s="14" t="inlineStr">
        <is>
          <t>2026_Q3</t>
        </is>
      </c>
    </row>
    <row r="396">
      <c r="A396" s="14" t="inlineStr">
        <is>
          <t>2026-08-03</t>
        </is>
      </c>
      <c r="B396" s="7" t="inlineStr">
        <is>
          <t>BAJAJFINSV</t>
        </is>
      </c>
      <c r="C396" s="14" t="inlineStr">
        <is>
          <t>PE</t>
        </is>
      </c>
      <c r="D396" s="14" t="inlineStr">
        <is>
          <t>large</t>
        </is>
      </c>
      <c r="E396" s="21" t="n">
        <v>2000</v>
      </c>
      <c r="F396" s="14" t="inlineStr">
        <is>
          <t>2026-08-25</t>
        </is>
      </c>
      <c r="G396" s="8" t="n">
        <v>300</v>
      </c>
      <c r="H396" s="22" t="n">
        <v>18.2</v>
      </c>
      <c r="I396" s="22" t="n">
        <v>20.5</v>
      </c>
      <c r="J396" s="22" t="n">
        <v>18.6</v>
      </c>
      <c r="K396" s="23" t="n">
        <v>26</v>
      </c>
      <c r="L396" s="23" t="n">
        <v>25.95</v>
      </c>
      <c r="M396" s="23" t="n">
        <v>33</v>
      </c>
      <c r="N396" s="23" t="n">
        <v>15</v>
      </c>
      <c r="O396" s="23" t="n">
        <v>17.45</v>
      </c>
      <c r="P396" s="23" t="n">
        <v>17.4</v>
      </c>
      <c r="Q396" s="8">
        <f>K396*G396</f>
        <v/>
      </c>
      <c r="R396" s="24">
        <f>(M396-K396)*G396</f>
        <v/>
      </c>
      <c r="S396" s="25">
        <f>(M396/K396-1)*100</f>
        <v/>
      </c>
      <c r="T396" s="26">
        <f>(N396-K396)*G396</f>
        <v/>
      </c>
      <c r="U396" s="27">
        <f>(N396/K396-1)*100</f>
        <v/>
      </c>
      <c r="V396" s="11">
        <f>(P396-K396)*G396</f>
        <v/>
      </c>
      <c r="W396" s="11" t="n">
        <v>-2770.93</v>
      </c>
      <c r="X396" s="10">
        <f>W396/Q396*100</f>
        <v/>
      </c>
      <c r="Y396" s="12" t="n">
        <v>-2.219</v>
      </c>
      <c r="Z396" s="14" t="inlineStr">
        <is>
          <t>2026_Q3</t>
        </is>
      </c>
    </row>
    <row r="397">
      <c r="A397" s="14" t="inlineStr">
        <is>
          <t>2026-08-03</t>
        </is>
      </c>
      <c r="B397" s="7" t="inlineStr">
        <is>
          <t>CDSL</t>
        </is>
      </c>
      <c r="C397" s="14" t="inlineStr">
        <is>
          <t>PE</t>
        </is>
      </c>
      <c r="D397" s="14" t="inlineStr">
        <is>
          <t>small</t>
        </is>
      </c>
      <c r="E397" s="21" t="n">
        <v>1260</v>
      </c>
      <c r="F397" s="14" t="inlineStr">
        <is>
          <t>2026-08-25</t>
        </is>
      </c>
      <c r="G397" s="8" t="n">
        <v>475</v>
      </c>
      <c r="H397" s="22" t="n">
        <v>14.9</v>
      </c>
      <c r="I397" s="22" t="n">
        <v>47.5</v>
      </c>
      <c r="J397" s="22" t="n">
        <v>13.1</v>
      </c>
      <c r="K397" s="23" t="n">
        <v>15.05</v>
      </c>
      <c r="L397" s="23" t="n">
        <v>15</v>
      </c>
      <c r="M397" s="23" t="n">
        <v>17.1</v>
      </c>
      <c r="N397" s="23" t="n">
        <v>10.2</v>
      </c>
      <c r="O397" s="23" t="n">
        <v>15.25</v>
      </c>
      <c r="P397" s="23" t="n">
        <v>15.2</v>
      </c>
      <c r="Q397" s="8">
        <f>K397*G397</f>
        <v/>
      </c>
      <c r="R397" s="24">
        <f>(M397-K397)*G397</f>
        <v/>
      </c>
      <c r="S397" s="25">
        <f>(M397/K397-1)*100</f>
        <v/>
      </c>
      <c r="T397" s="26">
        <f>(N397-K397)*G397</f>
        <v/>
      </c>
      <c r="U397" s="27">
        <f>(N397/K397-1)*100</f>
        <v/>
      </c>
      <c r="V397" s="11">
        <f>(P397-K397)*G397</f>
        <v/>
      </c>
      <c r="W397" s="11" t="n">
        <v>-424.1</v>
      </c>
      <c r="X397" s="10">
        <f>W397/Q397*100</f>
        <v/>
      </c>
      <c r="Y397" s="12" t="n">
        <v>1.468</v>
      </c>
      <c r="Z397" s="14" t="inlineStr">
        <is>
          <t>2026_Q3</t>
        </is>
      </c>
    </row>
    <row r="398">
      <c r="A398" s="14" t="inlineStr">
        <is>
          <t>2026-08-03</t>
        </is>
      </c>
      <c r="B398" s="7" t="inlineStr">
        <is>
          <t>DIVISLAB</t>
        </is>
      </c>
      <c r="C398" s="14" t="inlineStr">
        <is>
          <t>PE</t>
        </is>
      </c>
      <c r="D398" s="14" t="inlineStr">
        <is>
          <t>large</t>
        </is>
      </c>
      <c r="E398" s="21" t="n">
        <v>7700</v>
      </c>
      <c r="F398" s="14" t="inlineStr">
        <is>
          <t>2026-08-25</t>
        </is>
      </c>
      <c r="G398" s="8" t="n">
        <v>100</v>
      </c>
      <c r="H398" s="22" t="n">
        <v>65.5</v>
      </c>
      <c r="I398" s="22" t="n">
        <v>20.1</v>
      </c>
      <c r="J398" s="22" t="n">
        <v>27.8</v>
      </c>
      <c r="K398" s="23" t="n">
        <v>65</v>
      </c>
      <c r="L398" s="23" t="n">
        <v>64.95</v>
      </c>
      <c r="M398" s="23" t="n">
        <v>86.55</v>
      </c>
      <c r="N398" s="23" t="n">
        <v>27.9</v>
      </c>
      <c r="O398" s="23" t="n">
        <v>31.3</v>
      </c>
      <c r="P398" s="23" t="n">
        <v>31.25</v>
      </c>
      <c r="Q398" s="8">
        <f>K398*G398</f>
        <v/>
      </c>
      <c r="R398" s="24">
        <f>(M398-K398)*G398</f>
        <v/>
      </c>
      <c r="S398" s="25">
        <f>(M398/K398-1)*100</f>
        <v/>
      </c>
      <c r="T398" s="26">
        <f>(N398-K398)*G398</f>
        <v/>
      </c>
      <c r="U398" s="27">
        <f>(N398/K398-1)*100</f>
        <v/>
      </c>
      <c r="V398" s="11">
        <f>(P398-K398)*G398</f>
        <v/>
      </c>
      <c r="W398" s="11" t="n">
        <v>-3527.39</v>
      </c>
      <c r="X398" s="10">
        <f>W398/Q398*100</f>
        <v/>
      </c>
      <c r="Y398" s="12" t="n">
        <v>-2.446</v>
      </c>
      <c r="Z398" s="14" t="inlineStr">
        <is>
          <t>2026_Q3</t>
        </is>
      </c>
    </row>
    <row r="399">
      <c r="A399" s="14" t="inlineStr">
        <is>
          <t>2026-08-03</t>
        </is>
      </c>
      <c r="B399" s="7" t="inlineStr">
        <is>
          <t>DIXON</t>
        </is>
      </c>
      <c r="C399" s="14" t="inlineStr">
        <is>
          <t>PE</t>
        </is>
      </c>
      <c r="D399" s="14" t="inlineStr">
        <is>
          <t>mid</t>
        </is>
      </c>
      <c r="E399" s="21" t="n">
        <v>12250</v>
      </c>
      <c r="F399" s="14" t="inlineStr">
        <is>
          <t>2026-08-25</t>
        </is>
      </c>
      <c r="G399" s="8" t="n">
        <v>50</v>
      </c>
      <c r="H399" s="22" t="n">
        <v>156.3</v>
      </c>
      <c r="I399" s="22" t="n">
        <v>140.9</v>
      </c>
      <c r="J399" s="22" t="n">
        <v>21.1</v>
      </c>
      <c r="K399" s="23" t="n">
        <v>116.2</v>
      </c>
      <c r="L399" s="23" t="n">
        <v>116.15</v>
      </c>
      <c r="M399" s="23" t="n">
        <v>130.95</v>
      </c>
      <c r="N399" s="23" t="n">
        <v>50.15</v>
      </c>
      <c r="O399" s="23" t="n">
        <v>53.5</v>
      </c>
      <c r="P399" s="23" t="n">
        <v>53.45</v>
      </c>
      <c r="Q399" s="8">
        <f>K399*G399</f>
        <v/>
      </c>
      <c r="R399" s="24">
        <f>(M399-K399)*G399</f>
        <v/>
      </c>
      <c r="S399" s="25">
        <f>(M399/K399-1)*100</f>
        <v/>
      </c>
      <c r="T399" s="26">
        <f>(N399-K399)*G399</f>
        <v/>
      </c>
      <c r="U399" s="27">
        <f>(N399/K399-1)*100</f>
        <v/>
      </c>
      <c r="V399" s="11">
        <f>(P399-K399)*G399</f>
        <v/>
      </c>
      <c r="W399" s="11" t="n">
        <v>-3362.09</v>
      </c>
      <c r="X399" s="10">
        <f>W399/Q399*100</f>
        <v/>
      </c>
      <c r="Y399" s="12" t="n">
        <v>-0.123</v>
      </c>
      <c r="Z399" s="14" t="inlineStr">
        <is>
          <t>2026_Q3</t>
        </is>
      </c>
    </row>
    <row r="400">
      <c r="A400" s="14" t="inlineStr">
        <is>
          <t>2026-08-03</t>
        </is>
      </c>
      <c r="B400" s="7" t="inlineStr">
        <is>
          <t>GLENMARK</t>
        </is>
      </c>
      <c r="C400" s="14" t="inlineStr">
        <is>
          <t>PE</t>
        </is>
      </c>
      <c r="D400" s="14" t="inlineStr">
        <is>
          <t>mid</t>
        </is>
      </c>
      <c r="E400" s="21" t="n">
        <v>2100</v>
      </c>
      <c r="F400" s="14" t="inlineStr">
        <is>
          <t>2026-08-25</t>
        </is>
      </c>
      <c r="G400" s="8" t="n">
        <v>375</v>
      </c>
      <c r="H400" s="22" t="n">
        <v>928</v>
      </c>
      <c r="I400" s="22" t="n">
        <v>60.2</v>
      </c>
      <c r="J400" s="22" t="n">
        <v>23.1</v>
      </c>
      <c r="K400" s="23" t="n">
        <v>19.85</v>
      </c>
      <c r="L400" s="23" t="n">
        <v>19.8</v>
      </c>
      <c r="M400" s="23" t="n">
        <v>37.75</v>
      </c>
      <c r="N400" s="23" t="n">
        <v>14.05</v>
      </c>
      <c r="O400" s="23" t="n">
        <v>19.05</v>
      </c>
      <c r="P400" s="23" t="n">
        <v>19</v>
      </c>
      <c r="Q400" s="8">
        <f>K400*G400</f>
        <v/>
      </c>
      <c r="R400" s="24">
        <f>(M400-K400)*G400</f>
        <v/>
      </c>
      <c r="S400" s="25">
        <f>(M400/K400-1)*100</f>
        <v/>
      </c>
      <c r="T400" s="26">
        <f>(N400-K400)*G400</f>
        <v/>
      </c>
      <c r="U400" s="27">
        <f>(N400/K400-1)*100</f>
        <v/>
      </c>
      <c r="V400" s="11">
        <f>(P400-K400)*G400</f>
        <v/>
      </c>
      <c r="W400" s="11" t="n">
        <v>-674.37</v>
      </c>
      <c r="X400" s="10">
        <f>W400/Q400*100</f>
        <v/>
      </c>
      <c r="Y400" s="12" t="n">
        <v>1.17</v>
      </c>
      <c r="Z400" s="14" t="inlineStr">
        <is>
          <t>2026_Q3</t>
        </is>
      </c>
    </row>
    <row r="401">
      <c r="A401" s="14" t="inlineStr">
        <is>
          <t>2026-08-03</t>
        </is>
      </c>
      <c r="B401" s="7" t="inlineStr">
        <is>
          <t>ITC</t>
        </is>
      </c>
      <c r="C401" s="14" t="inlineStr">
        <is>
          <t>CE</t>
        </is>
      </c>
      <c r="D401" s="14" t="inlineStr">
        <is>
          <t>large</t>
        </is>
      </c>
      <c r="E401" s="21" t="n">
        <v>287.5</v>
      </c>
      <c r="F401" s="14" t="inlineStr">
        <is>
          <t>2026-08-25</t>
        </is>
      </c>
      <c r="G401" s="8" t="n">
        <v>1725</v>
      </c>
      <c r="H401" s="22" t="n">
        <v>-15.6</v>
      </c>
      <c r="I401" s="22" t="n">
        <v>-17.6</v>
      </c>
      <c r="J401" s="22" t="n">
        <v>27.6</v>
      </c>
      <c r="K401" s="23" t="n">
        <v>4.5</v>
      </c>
      <c r="L401" s="23" t="n">
        <v>4.45</v>
      </c>
      <c r="M401" s="23" t="n">
        <v>8.5</v>
      </c>
      <c r="N401" s="23" t="n">
        <v>4.25</v>
      </c>
      <c r="O401" s="23" t="n">
        <v>4.7</v>
      </c>
      <c r="P401" s="23" t="n">
        <v>4.65</v>
      </c>
      <c r="Q401" s="8">
        <f>K401*G401</f>
        <v/>
      </c>
      <c r="R401" s="24">
        <f>(M401-K401)*G401</f>
        <v/>
      </c>
      <c r="S401" s="25">
        <f>(M401/K401-1)*100</f>
        <v/>
      </c>
      <c r="T401" s="26">
        <f>(N401-K401)*G401</f>
        <v/>
      </c>
      <c r="U401" s="27">
        <f>(N401/K401-1)*100</f>
        <v/>
      </c>
      <c r="V401" s="11">
        <f>(P401-K401)*G401</f>
        <v/>
      </c>
      <c r="W401" s="11" t="n">
        <v>34.81</v>
      </c>
      <c r="X401" s="10">
        <f>W401/Q401*100</f>
        <v/>
      </c>
      <c r="Y401" s="12" t="n">
        <v>0.896</v>
      </c>
      <c r="Z401" s="14" t="inlineStr">
        <is>
          <t>2026_Q3</t>
        </is>
      </c>
    </row>
    <row r="402">
      <c r="A402" s="14" t="inlineStr">
        <is>
          <t>2026-08-03</t>
        </is>
      </c>
      <c r="B402" s="7" t="inlineStr">
        <is>
          <t>NATIONALUM</t>
        </is>
      </c>
      <c r="C402" s="14" t="inlineStr">
        <is>
          <t>PE</t>
        </is>
      </c>
      <c r="D402" s="14" t="inlineStr">
        <is>
          <t>mid</t>
        </is>
      </c>
      <c r="E402" s="21" t="n">
        <v>330</v>
      </c>
      <c r="F402" s="14" t="inlineStr">
        <is>
          <t>2026-08-25</t>
        </is>
      </c>
      <c r="G402" s="8" t="n">
        <v>1875</v>
      </c>
      <c r="H402" s="22" t="n">
        <v>90.90000000000001</v>
      </c>
      <c r="I402" s="22" t="n">
        <v>16.3</v>
      </c>
      <c r="J402" s="22" t="n">
        <v>39.3</v>
      </c>
      <c r="K402" s="23" t="n">
        <v>3.6</v>
      </c>
      <c r="L402" s="23" t="n">
        <v>3.55</v>
      </c>
      <c r="M402" s="23" t="n">
        <v>4.6</v>
      </c>
      <c r="N402" s="23" t="n">
        <v>2.05</v>
      </c>
      <c r="O402" s="23" t="n">
        <v>2.2</v>
      </c>
      <c r="P402" s="23" t="n">
        <v>2.15</v>
      </c>
      <c r="Q402" s="8">
        <f>K402*G402</f>
        <v/>
      </c>
      <c r="R402" s="24">
        <f>(M402-K402)*G402</f>
        <v/>
      </c>
      <c r="S402" s="25">
        <f>(M402/K402-1)*100</f>
        <v/>
      </c>
      <c r="T402" s="26">
        <f>(N402-K402)*G402</f>
        <v/>
      </c>
      <c r="U402" s="27">
        <f>(N402/K402-1)*100</f>
        <v/>
      </c>
      <c r="V402" s="11">
        <f>(P402-K402)*G402</f>
        <v/>
      </c>
      <c r="W402" s="11" t="n">
        <v>-2992.36</v>
      </c>
      <c r="X402" s="10">
        <f>W402/Q402*100</f>
        <v/>
      </c>
      <c r="Y402" s="12" t="n">
        <v>-3.087</v>
      </c>
      <c r="Z402" s="14" t="inlineStr">
        <is>
          <t>2026_Q3</t>
        </is>
      </c>
    </row>
    <row r="403">
      <c r="A403" s="14" t="inlineStr">
        <is>
          <t>2026-08-03</t>
        </is>
      </c>
      <c r="B403" s="7" t="inlineStr">
        <is>
          <t>SUNPHARMA</t>
        </is>
      </c>
      <c r="C403" s="14" t="inlineStr">
        <is>
          <t>PE</t>
        </is>
      </c>
      <c r="D403" s="14" t="inlineStr">
        <is>
          <t>large</t>
        </is>
      </c>
      <c r="E403" s="21" t="n">
        <v>1940</v>
      </c>
      <c r="F403" s="14" t="inlineStr">
        <is>
          <t>2026-08-25</t>
        </is>
      </c>
      <c r="G403" s="8" t="n">
        <v>350</v>
      </c>
      <c r="H403" s="22" t="n">
        <v>26.5</v>
      </c>
      <c r="I403" s="22" t="n">
        <v>7.1</v>
      </c>
      <c r="J403" s="22" t="n">
        <v>10.5</v>
      </c>
      <c r="K403" s="23" t="n">
        <v>19.3</v>
      </c>
      <c r="L403" s="23" t="n">
        <v>19.25</v>
      </c>
      <c r="M403" s="23" t="n">
        <v>35.1</v>
      </c>
      <c r="N403" s="23" t="n">
        <v>18.45</v>
      </c>
      <c r="O403" s="23" t="n">
        <v>28.95</v>
      </c>
      <c r="P403" s="23" t="n">
        <v>28.9</v>
      </c>
      <c r="Q403" s="8">
        <f>K403*G403</f>
        <v/>
      </c>
      <c r="R403" s="24">
        <f>(M403-K403)*G403</f>
        <v/>
      </c>
      <c r="S403" s="25">
        <f>(M403/K403-1)*100</f>
        <v/>
      </c>
      <c r="T403" s="26">
        <f>(N403-K403)*G403</f>
        <v/>
      </c>
      <c r="U403" s="27">
        <f>(N403/K403-1)*100</f>
        <v/>
      </c>
      <c r="V403" s="11">
        <f>(P403-K403)*G403</f>
        <v/>
      </c>
      <c r="W403" s="11" t="n">
        <v>3121.64</v>
      </c>
      <c r="X403" s="10">
        <f>W403/Q403*100</f>
        <v/>
      </c>
      <c r="Y403" s="12" t="n">
        <v>0.993</v>
      </c>
      <c r="Z403" s="14" t="inlineStr">
        <is>
          <t>2026_Q3</t>
        </is>
      </c>
    </row>
    <row r="404">
      <c r="A404" s="14" t="inlineStr">
        <is>
          <t>2026-08-04</t>
        </is>
      </c>
      <c r="B404" s="7" t="inlineStr">
        <is>
          <t>CAMS</t>
        </is>
      </c>
      <c r="C404" s="14" t="inlineStr">
        <is>
          <t>PE</t>
        </is>
      </c>
      <c r="D404" s="14" t="inlineStr">
        <is>
          <t>small</t>
        </is>
      </c>
      <c r="E404" s="21" t="n">
        <v>760</v>
      </c>
      <c r="F404" s="14" t="inlineStr">
        <is>
          <t>2026-08-25</t>
        </is>
      </c>
      <c r="G404" s="8" t="n">
        <v>825</v>
      </c>
      <c r="H404" s="22" t="n">
        <v>17.6</v>
      </c>
      <c r="I404" s="22" t="n">
        <v>1.3</v>
      </c>
      <c r="J404" s="22" t="n">
        <v>11.5</v>
      </c>
      <c r="K404" s="23" t="n">
        <v>8.15</v>
      </c>
      <c r="L404" s="23" t="n">
        <v>8.1</v>
      </c>
      <c r="M404" s="23" t="n">
        <v>9.800000000000001</v>
      </c>
      <c r="N404" s="23" t="n">
        <v>3.35</v>
      </c>
      <c r="O404" s="23" t="n">
        <v>5.45</v>
      </c>
      <c r="P404" s="23" t="n">
        <v>5.4</v>
      </c>
      <c r="Q404" s="8">
        <f>K404*G404</f>
        <v/>
      </c>
      <c r="R404" s="24">
        <f>(M404-K404)*G404</f>
        <v/>
      </c>
      <c r="S404" s="25">
        <f>(M404/K404-1)*100</f>
        <v/>
      </c>
      <c r="T404" s="26">
        <f>(N404-K404)*G404</f>
        <v/>
      </c>
      <c r="U404" s="27">
        <f>(N404/K404-1)*100</f>
        <v/>
      </c>
      <c r="V404" s="11">
        <f>(P404-K404)*G404</f>
        <v/>
      </c>
      <c r="W404" s="11" t="n">
        <v>-2662.89</v>
      </c>
      <c r="X404" s="10">
        <f>W404/Q404*100</f>
        <v/>
      </c>
      <c r="Y404" s="12" t="n">
        <v>-2.262</v>
      </c>
      <c r="Z404" s="14" t="inlineStr">
        <is>
          <t>2026_Q3</t>
        </is>
      </c>
    </row>
    <row r="405">
      <c r="A405" s="14" t="inlineStr">
        <is>
          <t>2026-08-05</t>
        </is>
      </c>
      <c r="B405" s="7" t="inlineStr">
        <is>
          <t>BHARTIARTL</t>
        </is>
      </c>
      <c r="C405" s="14" t="inlineStr">
        <is>
          <t>PE</t>
        </is>
      </c>
      <c r="D405" s="14" t="inlineStr">
        <is>
          <t>large</t>
        </is>
      </c>
      <c r="E405" s="21" t="n">
        <v>1960</v>
      </c>
      <c r="F405" s="14" t="inlineStr">
        <is>
          <t>2026-08-25</t>
        </is>
      </c>
      <c r="G405" s="8" t="n">
        <v>475</v>
      </c>
      <c r="H405" s="22" t="n">
        <v>34.9</v>
      </c>
      <c r="I405" s="22" t="n">
        <v>8.300000000000001</v>
      </c>
      <c r="J405" s="22" t="n">
        <v>18.4</v>
      </c>
      <c r="K405" s="23" t="n">
        <v>12.3</v>
      </c>
      <c r="L405" s="23" t="n">
        <v>12.25</v>
      </c>
      <c r="M405" s="23" t="n">
        <v>37.6</v>
      </c>
      <c r="N405" s="23" t="n">
        <v>5.25</v>
      </c>
      <c r="O405" s="23" t="n">
        <v>35.45</v>
      </c>
      <c r="P405" s="23" t="n">
        <v>35.4</v>
      </c>
      <c r="Q405" s="8">
        <f>K405*G405</f>
        <v/>
      </c>
      <c r="R405" s="24">
        <f>(M405-K405)*G405</f>
        <v/>
      </c>
      <c r="S405" s="25">
        <f>(M405/K405-1)*100</f>
        <v/>
      </c>
      <c r="T405" s="26">
        <f>(N405-K405)*G405</f>
        <v/>
      </c>
      <c r="U405" s="27">
        <f>(N405/K405-1)*100</f>
        <v/>
      </c>
      <c r="V405" s="11">
        <f>(P405-K405)*G405</f>
        <v/>
      </c>
      <c r="W405" s="11" t="n">
        <v>10663.79</v>
      </c>
      <c r="X405" s="10">
        <f>W405/Q405*100</f>
        <v/>
      </c>
      <c r="Y405" s="12" t="n">
        <v>2.079</v>
      </c>
      <c r="Z405" s="14" t="inlineStr">
        <is>
          <t>2026_Q3</t>
        </is>
      </c>
    </row>
    <row r="406">
      <c r="A406" s="14" t="inlineStr">
        <is>
          <t>2026-08-05</t>
        </is>
      </c>
      <c r="B406" s="7" t="inlineStr">
        <is>
          <t>BSE</t>
        </is>
      </c>
      <c r="C406" s="14" t="inlineStr">
        <is>
          <t>PE</t>
        </is>
      </c>
      <c r="D406" s="14" t="inlineStr">
        <is>
          <t>mid</t>
        </is>
      </c>
      <c r="E406" s="21" t="n">
        <v>3300</v>
      </c>
      <c r="F406" s="14" t="inlineStr">
        <is>
          <t>2026-08-25</t>
        </is>
      </c>
      <c r="G406" s="8" t="n">
        <v>200</v>
      </c>
      <c r="H406" s="22" t="n">
        <v>62.2</v>
      </c>
      <c r="I406" s="22" t="n">
        <v>9.699999999999999</v>
      </c>
      <c r="J406" s="22" t="n">
        <v>63.4</v>
      </c>
      <c r="K406" s="23" t="n">
        <v>32.05</v>
      </c>
      <c r="L406" s="23" t="n">
        <v>32</v>
      </c>
      <c r="M406" s="23" t="n">
        <v>52.55</v>
      </c>
      <c r="N406" s="23" t="n">
        <v>25.1</v>
      </c>
      <c r="O406" s="23" t="n">
        <v>42.6</v>
      </c>
      <c r="P406" s="23" t="n">
        <v>42.55</v>
      </c>
      <c r="Q406" s="8">
        <f>K406*G406</f>
        <v/>
      </c>
      <c r="R406" s="24">
        <f>(M406-K406)*G406</f>
        <v/>
      </c>
      <c r="S406" s="25">
        <f>(M406/K406-1)*100</f>
        <v/>
      </c>
      <c r="T406" s="26">
        <f>(N406-K406)*G406</f>
        <v/>
      </c>
      <c r="U406" s="27">
        <f>(N406/K406-1)*100</f>
        <v/>
      </c>
      <c r="V406" s="11">
        <f>(P406-K406)*G406</f>
        <v/>
      </c>
      <c r="W406" s="11" t="n">
        <v>1735.16</v>
      </c>
      <c r="X406" s="10">
        <f>W406/Q406*100</f>
        <v/>
      </c>
      <c r="Y406" s="12" t="n">
        <v>3.534</v>
      </c>
      <c r="Z406" s="14" t="inlineStr">
        <is>
          <t>2026_Q3</t>
        </is>
      </c>
    </row>
    <row r="407">
      <c r="A407" s="14" t="inlineStr">
        <is>
          <t>2026-08-05</t>
        </is>
      </c>
      <c r="B407" s="7" t="inlineStr">
        <is>
          <t>GODREJPROP</t>
        </is>
      </c>
      <c r="C407" s="14" t="inlineStr">
        <is>
          <t>CE</t>
        </is>
      </c>
      <c r="D407" s="14" t="inlineStr">
        <is>
          <t>mid</t>
        </is>
      </c>
      <c r="E407" s="21" t="n">
        <v>2180</v>
      </c>
      <c r="F407" s="14" t="inlineStr">
        <is>
          <t>2026-08-25</t>
        </is>
      </c>
      <c r="G407" s="8" t="n">
        <v>325</v>
      </c>
      <c r="H407" s="22" t="n">
        <v>-41.6</v>
      </c>
      <c r="I407" s="22" t="n">
        <v>-45.9</v>
      </c>
      <c r="J407" s="22" t="n">
        <v>16.5</v>
      </c>
      <c r="K407" s="23" t="n">
        <v>22.55</v>
      </c>
      <c r="L407" s="23" t="n">
        <v>22.5</v>
      </c>
      <c r="M407" s="23" t="n">
        <v>52.75</v>
      </c>
      <c r="N407" s="23" t="n">
        <v>22.2</v>
      </c>
      <c r="O407" s="23" t="n">
        <v>37.7</v>
      </c>
      <c r="P407" s="23" t="n">
        <v>37.65</v>
      </c>
      <c r="Q407" s="8">
        <f>K407*G407</f>
        <v/>
      </c>
      <c r="R407" s="24">
        <f>(M407-K407)*G407</f>
        <v/>
      </c>
      <c r="S407" s="25">
        <f>(M407/K407-1)*100</f>
        <v/>
      </c>
      <c r="T407" s="26">
        <f>(N407-K407)*G407</f>
        <v/>
      </c>
      <c r="U407" s="27">
        <f>(N407/K407-1)*100</f>
        <v/>
      </c>
      <c r="V407" s="11">
        <f>(P407-K407)*G407</f>
        <v/>
      </c>
      <c r="W407" s="11" t="n">
        <v>4442.21</v>
      </c>
      <c r="X407" s="10">
        <f>W407/Q407*100</f>
        <v/>
      </c>
      <c r="Y407" s="12" t="n">
        <v>2.106</v>
      </c>
      <c r="Z407" s="14" t="inlineStr">
        <is>
          <t>2026_Q3</t>
        </is>
      </c>
    </row>
    <row r="408">
      <c r="A408" s="14" t="inlineStr">
        <is>
          <t>2026-08-05</t>
        </is>
      </c>
      <c r="B408" s="7" t="inlineStr">
        <is>
          <t>NYKAA</t>
        </is>
      </c>
      <c r="C408" s="14" t="inlineStr">
        <is>
          <t>PE</t>
        </is>
      </c>
      <c r="D408" s="14" t="inlineStr">
        <is>
          <t>mid</t>
        </is>
      </c>
      <c r="E408" s="21" t="n">
        <v>315</v>
      </c>
      <c r="F408" s="14" t="inlineStr">
        <is>
          <t>2026-08-25</t>
        </is>
      </c>
      <c r="G408" s="8" t="n">
        <v>3125</v>
      </c>
      <c r="H408" s="22" t="n">
        <v>226</v>
      </c>
      <c r="I408" s="22" t="n">
        <v>1.3</v>
      </c>
      <c r="J408" s="22" t="n">
        <v>29.1</v>
      </c>
      <c r="K408" s="23" t="n">
        <v>2.05</v>
      </c>
      <c r="L408" s="23" t="n">
        <v>2</v>
      </c>
      <c r="M408" s="23" t="n">
        <v>4.5</v>
      </c>
      <c r="N408" s="23" t="n">
        <v>1.7</v>
      </c>
      <c r="O408" s="23" t="n">
        <v>2.6</v>
      </c>
      <c r="P408" s="23" t="n">
        <v>2.55</v>
      </c>
      <c r="Q408" s="8">
        <f>K408*G408</f>
        <v/>
      </c>
      <c r="R408" s="24">
        <f>(M408-K408)*G408</f>
        <v/>
      </c>
      <c r="S408" s="25">
        <f>(M408/K408-1)*100</f>
        <v/>
      </c>
      <c r="T408" s="26">
        <f>(N408-K408)*G408</f>
        <v/>
      </c>
      <c r="U408" s="27">
        <f>(N408/K408-1)*100</f>
        <v/>
      </c>
      <c r="V408" s="11">
        <f>(P408-K408)*G408</f>
        <v/>
      </c>
      <c r="W408" s="11" t="n">
        <v>1209.61</v>
      </c>
      <c r="X408" s="10">
        <f>W408/Q408*100</f>
        <v/>
      </c>
      <c r="Y408" s="12" t="n">
        <v>3.635</v>
      </c>
      <c r="Z408" s="14" t="inlineStr">
        <is>
          <t>2026_Q3</t>
        </is>
      </c>
    </row>
    <row r="409">
      <c r="A409" s="14" t="inlineStr">
        <is>
          <t>2026-08-05</t>
        </is>
      </c>
      <c r="B409" s="7" t="inlineStr">
        <is>
          <t>ONGC</t>
        </is>
      </c>
      <c r="C409" s="14" t="inlineStr">
        <is>
          <t>CE</t>
        </is>
      </c>
      <c r="D409" s="14" t="inlineStr">
        <is>
          <t>large</t>
        </is>
      </c>
      <c r="E409" s="21" t="n">
        <v>250</v>
      </c>
      <c r="F409" s="14" t="inlineStr">
        <is>
          <t>2026-08-25</t>
        </is>
      </c>
      <c r="G409" s="8" t="n">
        <v>2250</v>
      </c>
      <c r="H409" s="22" t="n">
        <v>-43.3</v>
      </c>
      <c r="I409" s="22" t="n">
        <v>-52.1</v>
      </c>
      <c r="J409" s="22" t="n">
        <v>25.7</v>
      </c>
      <c r="K409" s="23" t="n">
        <v>3.06</v>
      </c>
      <c r="L409" s="23" t="n">
        <v>3.01</v>
      </c>
      <c r="M409" s="23" t="n">
        <v>3.01</v>
      </c>
      <c r="N409" s="23" t="n">
        <v>1.71</v>
      </c>
      <c r="O409" s="23" t="n">
        <v>1.77</v>
      </c>
      <c r="P409" s="23" t="n">
        <v>1.72</v>
      </c>
      <c r="Q409" s="8">
        <f>K409*G409</f>
        <v/>
      </c>
      <c r="R409" s="24">
        <f>(M409-K409)*G409</f>
        <v/>
      </c>
      <c r="S409" s="25">
        <f>(M409/K409-1)*100</f>
        <v/>
      </c>
      <c r="T409" s="26">
        <f>(N409-K409)*G409</f>
        <v/>
      </c>
      <c r="U409" s="27">
        <f>(N409/K409-1)*100</f>
        <v/>
      </c>
      <c r="V409" s="11">
        <f>(P409-K409)*G409</f>
        <v/>
      </c>
      <c r="W409" s="11" t="n">
        <v>-3180.29</v>
      </c>
      <c r="X409" s="10">
        <f>W409/Q409*100</f>
        <v/>
      </c>
      <c r="Y409" s="12" t="n">
        <v>-1.959</v>
      </c>
      <c r="Z409" s="14" t="inlineStr">
        <is>
          <t>2026_Q3</t>
        </is>
      </c>
    </row>
    <row r="410">
      <c r="A410" s="14" t="inlineStr">
        <is>
          <t>2026-08-05</t>
        </is>
      </c>
      <c r="B410" s="7" t="inlineStr">
        <is>
          <t>PIDILITIND</t>
        </is>
      </c>
      <c r="C410" s="14" t="inlineStr">
        <is>
          <t>PE</t>
        </is>
      </c>
      <c r="D410" s="14" t="inlineStr">
        <is>
          <t>large</t>
        </is>
      </c>
      <c r="E410" s="21" t="n">
        <v>1560</v>
      </c>
      <c r="F410" s="14" t="inlineStr">
        <is>
          <t>2026-08-25</t>
        </is>
      </c>
      <c r="G410" s="8" t="n">
        <v>500</v>
      </c>
      <c r="H410" s="22" t="n">
        <v>30.3</v>
      </c>
      <c r="I410" s="22" t="n">
        <v>51.2</v>
      </c>
      <c r="J410" s="22" t="n">
        <v>21.3</v>
      </c>
      <c r="K410" s="23" t="n">
        <v>11.75</v>
      </c>
      <c r="L410" s="23" t="n">
        <v>11.7</v>
      </c>
      <c r="M410" s="23" t="n">
        <v>16.6</v>
      </c>
      <c r="N410" s="23" t="n">
        <v>7</v>
      </c>
      <c r="O410" s="23" t="n">
        <v>9</v>
      </c>
      <c r="P410" s="23" t="n">
        <v>8.949999999999999</v>
      </c>
      <c r="Q410" s="8">
        <f>K410*G410</f>
        <v/>
      </c>
      <c r="R410" s="24">
        <f>(M410-K410)*G410</f>
        <v/>
      </c>
      <c r="S410" s="25">
        <f>(M410/K410-1)*100</f>
        <v/>
      </c>
      <c r="T410" s="26">
        <f>(N410-K410)*G410</f>
        <v/>
      </c>
      <c r="U410" s="27">
        <f>(N410/K410-1)*100</f>
        <v/>
      </c>
      <c r="V410" s="11">
        <f>(P410-K410)*G410</f>
        <v/>
      </c>
      <c r="W410" s="11" t="n">
        <v>-1561.95</v>
      </c>
      <c r="X410" s="10">
        <f>W410/Q410*100</f>
        <v/>
      </c>
      <c r="Y410" s="12" t="n">
        <v>-1.648</v>
      </c>
      <c r="Z410" s="14" t="inlineStr">
        <is>
          <t>2026_Q3</t>
        </is>
      </c>
    </row>
    <row r="411">
      <c r="A411" s="14" t="inlineStr">
        <is>
          <t>2026-08-06</t>
        </is>
      </c>
      <c r="B411" s="7" t="inlineStr">
        <is>
          <t>AUROPHARMA</t>
        </is>
      </c>
      <c r="C411" s="14" t="inlineStr">
        <is>
          <t>PE</t>
        </is>
      </c>
      <c r="D411" s="14" t="inlineStr">
        <is>
          <t>mid</t>
        </is>
      </c>
      <c r="E411" s="21" t="n">
        <v>1540</v>
      </c>
      <c r="F411" s="14" t="inlineStr">
        <is>
          <t>2026-08-25</t>
        </is>
      </c>
      <c r="G411" s="8" t="n">
        <v>550</v>
      </c>
      <c r="H411" s="22" t="n">
        <v>25.2</v>
      </c>
      <c r="I411" s="22" t="n">
        <v>12.1</v>
      </c>
      <c r="J411" s="22" t="n">
        <v>16.3</v>
      </c>
      <c r="K411" s="23" t="n">
        <v>14.5</v>
      </c>
      <c r="L411" s="23" t="n">
        <v>14.45</v>
      </c>
      <c r="M411" s="23" t="n">
        <v>21</v>
      </c>
      <c r="N411" s="23" t="n">
        <v>13.55</v>
      </c>
      <c r="O411" s="23" t="n">
        <v>17.1</v>
      </c>
      <c r="P411" s="23" t="n">
        <v>17.05</v>
      </c>
      <c r="Q411" s="8">
        <f>K411*G411</f>
        <v/>
      </c>
      <c r="R411" s="24">
        <f>(M411-K411)*G411</f>
        <v/>
      </c>
      <c r="S411" s="25">
        <f>(M411/K411-1)*100</f>
        <v/>
      </c>
      <c r="T411" s="26">
        <f>(N411-K411)*G411</f>
        <v/>
      </c>
      <c r="U411" s="27">
        <f>(N411/K411-1)*100</f>
        <v/>
      </c>
      <c r="V411" s="11">
        <f>(P411-K411)*G411</f>
        <v/>
      </c>
      <c r="W411" s="11" t="n">
        <v>986.65</v>
      </c>
      <c r="X411" s="10">
        <f>W411/Q411*100</f>
        <v/>
      </c>
      <c r="Y411" s="12" t="n">
        <v>2.222</v>
      </c>
      <c r="Z411" s="14" t="inlineStr">
        <is>
          <t>2026_Q3</t>
        </is>
      </c>
    </row>
    <row r="412">
      <c r="A412" s="14" t="inlineStr">
        <is>
          <t>2026-08-06</t>
        </is>
      </c>
      <c r="B412" s="7" t="inlineStr">
        <is>
          <t>GVT&amp;D</t>
        </is>
      </c>
      <c r="C412" s="14" t="inlineStr">
        <is>
          <t>PE</t>
        </is>
      </c>
      <c r="D412" s="14" t="inlineStr">
        <is>
          <t>mid</t>
        </is>
      </c>
      <c r="E412" s="21" t="n">
        <v>3700</v>
      </c>
      <c r="F412" s="14" t="inlineStr">
        <is>
          <t>2026-08-25</t>
        </is>
      </c>
      <c r="G412" s="8" t="n">
        <v>125</v>
      </c>
      <c r="H412" s="22" t="n">
        <v>24.7</v>
      </c>
      <c r="I412" s="22" t="n">
        <v>3.2</v>
      </c>
      <c r="J412" s="22" t="n">
        <v>38</v>
      </c>
      <c r="K412" s="23" t="n">
        <v>41.15</v>
      </c>
      <c r="L412" s="23" t="n">
        <v>41.1</v>
      </c>
      <c r="M412" s="23" t="n">
        <v>47.4</v>
      </c>
      <c r="N412" s="23" t="n">
        <v>5.2</v>
      </c>
      <c r="O412" s="23" t="n">
        <v>6.35</v>
      </c>
      <c r="P412" s="23" t="n">
        <v>6.3</v>
      </c>
      <c r="Q412" s="8">
        <f>K412*G412</f>
        <v/>
      </c>
      <c r="R412" s="24">
        <f>(M412-K412)*G412</f>
        <v/>
      </c>
      <c r="S412" s="25">
        <f>(M412/K412-1)*100</f>
        <v/>
      </c>
      <c r="T412" s="26">
        <f>(N412-K412)*G412</f>
        <v/>
      </c>
      <c r="U412" s="27">
        <f>(N412/K412-1)*100</f>
        <v/>
      </c>
      <c r="V412" s="11">
        <f>(P412-K412)*G412</f>
        <v/>
      </c>
      <c r="W412" s="11" t="n">
        <v>-4525.9</v>
      </c>
      <c r="X412" s="10">
        <f>W412/Q412*100</f>
        <v/>
      </c>
      <c r="Y412" s="12" t="n">
        <v>-5.222</v>
      </c>
      <c r="Z412" s="14" t="inlineStr">
        <is>
          <t>2026_Q3</t>
        </is>
      </c>
    </row>
    <row r="413">
      <c r="A413" s="14" t="inlineStr">
        <is>
          <t>2026-08-07</t>
        </is>
      </c>
      <c r="B413" s="7" t="inlineStr">
        <is>
          <t>BLUESTARCO</t>
        </is>
      </c>
      <c r="C413" s="14" t="inlineStr">
        <is>
          <t>CE</t>
        </is>
      </c>
      <c r="D413" s="14" t="inlineStr">
        <is>
          <t>mid</t>
        </is>
      </c>
      <c r="E413" s="21" t="n">
        <v>1660</v>
      </c>
      <c r="F413" s="14" t="inlineStr">
        <is>
          <t>2026-08-25</t>
        </is>
      </c>
      <c r="G413" s="8" t="n">
        <v>325</v>
      </c>
      <c r="H413" s="22" t="n">
        <v>-15.2</v>
      </c>
      <c r="I413" s="22" t="n">
        <v>-54.9</v>
      </c>
      <c r="J413" s="22" t="n">
        <v>13.3</v>
      </c>
      <c r="K413" s="23" t="n">
        <v>18.2</v>
      </c>
      <c r="L413" s="23" t="n">
        <v>18.15</v>
      </c>
      <c r="M413" s="23" t="n">
        <v>24.7</v>
      </c>
      <c r="N413" s="23" t="n">
        <v>7.25</v>
      </c>
      <c r="O413" s="23" t="n">
        <v>7.8</v>
      </c>
      <c r="P413" s="23" t="n">
        <v>7.75</v>
      </c>
      <c r="Q413" s="8">
        <f>K413*G413</f>
        <v/>
      </c>
      <c r="R413" s="24">
        <f>(M413-K413)*G413</f>
        <v/>
      </c>
      <c r="S413" s="25">
        <f>(M413/K413-1)*100</f>
        <v/>
      </c>
      <c r="T413" s="26">
        <f>(N413-K413)*G413</f>
        <v/>
      </c>
      <c r="U413" s="27">
        <f>(N413/K413-1)*100</f>
        <v/>
      </c>
      <c r="V413" s="11">
        <f>(P413-K413)*G413</f>
        <v/>
      </c>
      <c r="W413" s="11" t="n">
        <v>-3619.62</v>
      </c>
      <c r="X413" s="10">
        <f>W413/Q413*100</f>
        <v/>
      </c>
      <c r="Y413" s="12" t="n">
        <v>-3.185</v>
      </c>
      <c r="Z413" s="14" t="inlineStr">
        <is>
          <t>2026_Q3</t>
        </is>
      </c>
    </row>
    <row r="414">
      <c r="A414" s="14" t="inlineStr">
        <is>
          <t>2026-08-07</t>
        </is>
      </c>
      <c r="B414" s="7" t="inlineStr">
        <is>
          <t>HEROMOTOCO</t>
        </is>
      </c>
      <c r="C414" s="14" t="inlineStr">
        <is>
          <t>CE</t>
        </is>
      </c>
      <c r="D414" s="14" t="inlineStr">
        <is>
          <t>large</t>
        </is>
      </c>
      <c r="E414" s="21" t="n">
        <v>6000</v>
      </c>
      <c r="F414" s="14" t="inlineStr">
        <is>
          <t>2026-08-25</t>
        </is>
      </c>
      <c r="G414" s="8" t="n">
        <v>150</v>
      </c>
      <c r="H414" s="22" t="n">
        <v>-16.9</v>
      </c>
      <c r="I414" s="22" t="n">
        <v>-3.8</v>
      </c>
      <c r="J414" s="22" t="n">
        <v>34.9</v>
      </c>
      <c r="K414" s="23" t="n">
        <v>35</v>
      </c>
      <c r="L414" s="23" t="n">
        <v>34.95</v>
      </c>
      <c r="M414" s="23" t="n">
        <v>79.90000000000001</v>
      </c>
      <c r="N414" s="23" t="n">
        <v>32</v>
      </c>
      <c r="O414" s="23" t="n">
        <v>48.85</v>
      </c>
      <c r="P414" s="23" t="n">
        <v>48.8</v>
      </c>
      <c r="Q414" s="8">
        <f>K414*G414</f>
        <v/>
      </c>
      <c r="R414" s="24">
        <f>(M414-K414)*G414</f>
        <v/>
      </c>
      <c r="S414" s="25">
        <f>(M414/K414-1)*100</f>
        <v/>
      </c>
      <c r="T414" s="26">
        <f>(N414-K414)*G414</f>
        <v/>
      </c>
      <c r="U414" s="27">
        <f>(N414/K414-1)*100</f>
        <v/>
      </c>
      <c r="V414" s="11">
        <f>(P414-K414)*G414</f>
        <v/>
      </c>
      <c r="W414" s="11" t="n">
        <v>1880.66</v>
      </c>
      <c r="X414" s="10">
        <f>W414/Q414*100</f>
        <v/>
      </c>
      <c r="Y414" s="12" t="n">
        <v>3.321</v>
      </c>
      <c r="Z414" s="14" t="inlineStr">
        <is>
          <t>2026_Q3</t>
        </is>
      </c>
    </row>
    <row r="415">
      <c r="A415" s="14" t="inlineStr">
        <is>
          <t>2026-08-07</t>
        </is>
      </c>
      <c r="B415" s="7" t="inlineStr">
        <is>
          <t>PGEL</t>
        </is>
      </c>
      <c r="C415" s="14" t="inlineStr">
        <is>
          <t>PE</t>
        </is>
      </c>
      <c r="D415" s="14" t="inlineStr">
        <is>
          <t>small</t>
        </is>
      </c>
      <c r="E415" s="21" t="n">
        <v>570</v>
      </c>
      <c r="F415" s="14" t="inlineStr">
        <is>
          <t>2026-08-25</t>
        </is>
      </c>
      <c r="G415" s="8" t="n">
        <v>950</v>
      </c>
      <c r="H415" s="22" t="n">
        <v>13.8</v>
      </c>
      <c r="I415" s="22" t="n">
        <v>17.5</v>
      </c>
      <c r="J415" s="22" t="n">
        <v>35.3</v>
      </c>
      <c r="K415" s="23" t="n">
        <v>8.35</v>
      </c>
      <c r="L415" s="23" t="n">
        <v>8.300000000000001</v>
      </c>
      <c r="M415" s="23" t="n">
        <v>9.75</v>
      </c>
      <c r="N415" s="23" t="n">
        <v>2.95</v>
      </c>
      <c r="O415" s="23" t="n">
        <v>3.15</v>
      </c>
      <c r="P415" s="23" t="n">
        <v>3.1</v>
      </c>
      <c r="Q415" s="8">
        <f>K415*G415</f>
        <v/>
      </c>
      <c r="R415" s="24">
        <f>(M415-K415)*G415</f>
        <v/>
      </c>
      <c r="S415" s="25">
        <f>(M415/K415-1)*100</f>
        <v/>
      </c>
      <c r="T415" s="26">
        <f>(N415-K415)*G415</f>
        <v/>
      </c>
      <c r="U415" s="27">
        <f>(N415/K415-1)*100</f>
        <v/>
      </c>
      <c r="V415" s="11">
        <f>(P415-K415)*G415</f>
        <v/>
      </c>
      <c r="W415" s="11" t="n">
        <v>-5370.26</v>
      </c>
      <c r="X415" s="10">
        <f>W415/Q415*100</f>
        <v/>
      </c>
      <c r="Y415" s="12" t="n">
        <v>-2.662</v>
      </c>
      <c r="Z415" s="14" t="inlineStr">
        <is>
          <t>2026_Q3</t>
        </is>
      </c>
    </row>
    <row r="416">
      <c r="A416" s="14" t="inlineStr">
        <is>
          <t>2026-08-07</t>
        </is>
      </c>
      <c r="B416" s="7" t="inlineStr">
        <is>
          <t>PREMIERENE</t>
        </is>
      </c>
      <c r="C416" s="14" t="inlineStr">
        <is>
          <t>PE</t>
        </is>
      </c>
      <c r="D416" s="14" t="inlineStr">
        <is>
          <t>mid</t>
        </is>
      </c>
      <c r="E416" s="21" t="n">
        <v>1000</v>
      </c>
      <c r="F416" s="14" t="inlineStr">
        <is>
          <t>2026-08-25</t>
        </is>
      </c>
      <c r="G416" s="8" t="n">
        <v>650</v>
      </c>
      <c r="H416" s="22" t="n">
        <v>53.3</v>
      </c>
      <c r="I416" s="22" t="n">
        <v>3.3</v>
      </c>
      <c r="J416" s="22" t="n">
        <v>35.3</v>
      </c>
      <c r="K416" s="23" t="n">
        <v>11</v>
      </c>
      <c r="L416" s="23" t="n">
        <v>10.95</v>
      </c>
      <c r="M416" s="23" t="n">
        <v>22.1</v>
      </c>
      <c r="N416" s="23" t="n">
        <v>7.1</v>
      </c>
      <c r="O416" s="23" t="n">
        <v>8.949999999999999</v>
      </c>
      <c r="P416" s="23" t="n">
        <v>8.9</v>
      </c>
      <c r="Q416" s="8">
        <f>K416*G416</f>
        <v/>
      </c>
      <c r="R416" s="24">
        <f>(M416-K416)*G416</f>
        <v/>
      </c>
      <c r="S416" s="25">
        <f>(M416/K416-1)*100</f>
        <v/>
      </c>
      <c r="T416" s="26">
        <f>(N416-K416)*G416</f>
        <v/>
      </c>
      <c r="U416" s="27">
        <f>(N416/K416-1)*100</f>
        <v/>
      </c>
      <c r="V416" s="11">
        <f>(P416-K416)*G416</f>
        <v/>
      </c>
      <c r="W416" s="11" t="n">
        <v>-1685.24</v>
      </c>
      <c r="X416" s="10">
        <f>W416/Q416*100</f>
        <v/>
      </c>
      <c r="Y416" s="12" t="n">
        <v>0.352</v>
      </c>
      <c r="Z416" s="14" t="inlineStr">
        <is>
          <t>2026_Q3</t>
        </is>
      </c>
    </row>
    <row r="417">
      <c r="A417" s="14" t="inlineStr">
        <is>
          <t>2026-08-10</t>
        </is>
      </c>
      <c r="B417" s="7" t="inlineStr">
        <is>
          <t>DELHIVERY</t>
        </is>
      </c>
      <c r="C417" s="14" t="inlineStr">
        <is>
          <t>CE</t>
        </is>
      </c>
      <c r="D417" s="14" t="inlineStr">
        <is>
          <t>small</t>
        </is>
      </c>
      <c r="E417" s="21" t="n">
        <v>500</v>
      </c>
      <c r="F417" s="14" t="inlineStr">
        <is>
          <t>2026-08-25</t>
        </is>
      </c>
      <c r="G417" s="8" t="n">
        <v>2075</v>
      </c>
      <c r="H417" s="22" t="n">
        <v>-65</v>
      </c>
      <c r="I417" s="22" t="n">
        <v>-55.9</v>
      </c>
      <c r="J417" s="22" t="n">
        <v>27.8</v>
      </c>
      <c r="K417" s="23" t="n">
        <v>3.5</v>
      </c>
      <c r="L417" s="23" t="n">
        <v>3.45</v>
      </c>
      <c r="M417" s="23" t="n">
        <v>7.05</v>
      </c>
      <c r="N417" s="23" t="n">
        <v>1.75</v>
      </c>
      <c r="O417" s="23" t="n">
        <v>6.05</v>
      </c>
      <c r="P417" s="23" t="n">
        <v>6</v>
      </c>
      <c r="Q417" s="8">
        <f>K417*G417</f>
        <v/>
      </c>
      <c r="R417" s="24">
        <f>(M417-K417)*G417</f>
        <v/>
      </c>
      <c r="S417" s="25">
        <f>(M417/K417-1)*100</f>
        <v/>
      </c>
      <c r="T417" s="26">
        <f>(N417-K417)*G417</f>
        <v/>
      </c>
      <c r="U417" s="27">
        <f>(N417/K417-1)*100</f>
        <v/>
      </c>
      <c r="V417" s="11">
        <f>(P417-K417)*G417</f>
        <v/>
      </c>
      <c r="W417" s="11" t="n">
        <v>4521.73</v>
      </c>
      <c r="X417" s="10">
        <f>W417/Q417*100</f>
        <v/>
      </c>
      <c r="Y417" s="12" t="n">
        <v>4.809</v>
      </c>
      <c r="Z417" s="14" t="inlineStr">
        <is>
          <t>2026_Q3</t>
        </is>
      </c>
    </row>
    <row r="418">
      <c r="A418" s="14" t="inlineStr">
        <is>
          <t>2026-08-10</t>
        </is>
      </c>
      <c r="B418" s="7" t="inlineStr">
        <is>
          <t>GODREJCP</t>
        </is>
      </c>
      <c r="C418" s="14" t="inlineStr">
        <is>
          <t>PE</t>
        </is>
      </c>
      <c r="D418" s="14" t="inlineStr">
        <is>
          <t>large</t>
        </is>
      </c>
      <c r="E418" s="21" t="n">
        <v>1020</v>
      </c>
      <c r="F418" s="14" t="inlineStr">
        <is>
          <t>2026-08-25</t>
        </is>
      </c>
      <c r="G418" s="8" t="n">
        <v>500</v>
      </c>
      <c r="H418" s="22" t="n">
        <v>11.5</v>
      </c>
      <c r="I418" s="22" t="n">
        <v>11.7</v>
      </c>
      <c r="J418" s="22" t="n">
        <v>15.4</v>
      </c>
      <c r="K418" s="23" t="n">
        <v>13.7</v>
      </c>
      <c r="L418" s="23" t="n">
        <v>13.65</v>
      </c>
      <c r="M418" s="23" t="n">
        <v>22.15</v>
      </c>
      <c r="N418" s="23" t="n">
        <v>11.2</v>
      </c>
      <c r="O418" s="23" t="n">
        <v>16.2</v>
      </c>
      <c r="P418" s="23" t="n">
        <v>16.15</v>
      </c>
      <c r="Q418" s="8">
        <f>K418*G418</f>
        <v/>
      </c>
      <c r="R418" s="24">
        <f>(M418-K418)*G418</f>
        <v/>
      </c>
      <c r="S418" s="25">
        <f>(M418/K418-1)*100</f>
        <v/>
      </c>
      <c r="T418" s="26">
        <f>(N418-K418)*G418</f>
        <v/>
      </c>
      <c r="U418" s="27">
        <f>(N418/K418-1)*100</f>
        <v/>
      </c>
      <c r="V418" s="11">
        <f>(P418-K418)*G418</f>
        <v/>
      </c>
      <c r="W418" s="11" t="n">
        <v>1009.95</v>
      </c>
      <c r="X418" s="10">
        <f>W418/Q418*100</f>
        <v/>
      </c>
      <c r="Y418" s="12" t="n">
        <v>1.834</v>
      </c>
      <c r="Z418" s="14" t="inlineStr">
        <is>
          <t>2026_Q3</t>
        </is>
      </c>
    </row>
    <row r="419">
      <c r="A419" s="14" t="inlineStr">
        <is>
          <t>2026-08-10</t>
        </is>
      </c>
      <c r="B419" s="7" t="inlineStr">
        <is>
          <t>HINDALCO</t>
        </is>
      </c>
      <c r="C419" s="14" t="inlineStr">
        <is>
          <t>PE</t>
        </is>
      </c>
      <c r="D419" s="14" t="inlineStr">
        <is>
          <t>large</t>
        </is>
      </c>
      <c r="E419" s="21" t="n">
        <v>1020</v>
      </c>
      <c r="F419" s="14" t="inlineStr">
        <is>
          <t>2026-08-25</t>
        </is>
      </c>
      <c r="G419" s="8" t="n">
        <v>700</v>
      </c>
      <c r="H419" s="22" t="n">
        <v>75.09999999999999</v>
      </c>
      <c r="I419" s="22" t="n">
        <v>170</v>
      </c>
      <c r="J419" s="22" t="n">
        <v>32.1</v>
      </c>
      <c r="K419" s="23" t="n">
        <v>9.550000000000001</v>
      </c>
      <c r="L419" s="23" t="n">
        <v>9.5</v>
      </c>
      <c r="M419" s="23" t="n">
        <v>12.7</v>
      </c>
      <c r="N419" s="23" t="n">
        <v>7.45</v>
      </c>
      <c r="O419" s="23" t="n">
        <v>9.1</v>
      </c>
      <c r="P419" s="23" t="n">
        <v>9.050000000000001</v>
      </c>
      <c r="Q419" s="8">
        <f>K419*G419</f>
        <v/>
      </c>
      <c r="R419" s="24">
        <f>(M419-K419)*G419</f>
        <v/>
      </c>
      <c r="S419" s="25">
        <f>(M419/K419-1)*100</f>
        <v/>
      </c>
      <c r="T419" s="26">
        <f>(N419-K419)*G419</f>
        <v/>
      </c>
      <c r="U419" s="27">
        <f>(N419/K419-1)*100</f>
        <v/>
      </c>
      <c r="V419" s="11">
        <f>(P419-K419)*G419</f>
        <v/>
      </c>
      <c r="W419" s="11" t="n">
        <v>-542.59</v>
      </c>
      <c r="X419" s="10">
        <f>W419/Q419*100</f>
        <v/>
      </c>
      <c r="Y419" s="12" t="n">
        <v>1.028</v>
      </c>
      <c r="Z419" s="14" t="inlineStr">
        <is>
          <t>2026_Q3</t>
        </is>
      </c>
    </row>
    <row r="420">
      <c r="A420" s="14" t="inlineStr">
        <is>
          <t>2026-08-10</t>
        </is>
      </c>
      <c r="B420" s="7" t="inlineStr">
        <is>
          <t>KAYNES</t>
        </is>
      </c>
      <c r="C420" s="14" t="inlineStr">
        <is>
          <t>CE</t>
        </is>
      </c>
      <c r="D420" s="14" t="inlineStr">
        <is>
          <t>mid</t>
        </is>
      </c>
      <c r="E420" s="21" t="n">
        <v>3950</v>
      </c>
      <c r="F420" s="14" t="inlineStr">
        <is>
          <t>2026-08-25</t>
        </is>
      </c>
      <c r="G420" s="8" t="n">
        <v>150</v>
      </c>
      <c r="H420" s="22" t="n">
        <v>-24.4</v>
      </c>
      <c r="I420" s="22" t="n">
        <v>-38.1</v>
      </c>
      <c r="J420" s="22" t="n">
        <v>40.5</v>
      </c>
      <c r="K420" s="23" t="n">
        <v>39.35</v>
      </c>
      <c r="L420" s="23" t="n">
        <v>39.3</v>
      </c>
      <c r="M420" s="23" t="n">
        <v>54.05</v>
      </c>
      <c r="N420" s="23" t="n">
        <v>19.05</v>
      </c>
      <c r="O420" s="23" t="n">
        <v>28.8</v>
      </c>
      <c r="P420" s="23" t="n">
        <v>28.75</v>
      </c>
      <c r="Q420" s="8">
        <f>K420*G420</f>
        <v/>
      </c>
      <c r="R420" s="24">
        <f>(M420-K420)*G420</f>
        <v/>
      </c>
      <c r="S420" s="25">
        <f>(M420/K420-1)*100</f>
        <v/>
      </c>
      <c r="T420" s="26">
        <f>(N420-K420)*G420</f>
        <v/>
      </c>
      <c r="U420" s="27">
        <f>(N420/K420-1)*100</f>
        <v/>
      </c>
      <c r="V420" s="11">
        <f>(P420-K420)*G420</f>
        <v/>
      </c>
      <c r="W420" s="11" t="n">
        <v>-1852.45</v>
      </c>
      <c r="X420" s="10">
        <f>W420/Q420*100</f>
        <v/>
      </c>
      <c r="Y420" s="12" t="n">
        <v>5.661</v>
      </c>
      <c r="Z420" s="14" t="inlineStr">
        <is>
          <t>2026_Q3</t>
        </is>
      </c>
    </row>
    <row r="421">
      <c r="A421" s="14" t="inlineStr">
        <is>
          <t>2026-08-10</t>
        </is>
      </c>
      <c r="B421" s="7" t="inlineStr">
        <is>
          <t>OIL</t>
        </is>
      </c>
      <c r="C421" s="14" t="inlineStr">
        <is>
          <t>PE</t>
        </is>
      </c>
      <c r="D421" s="14" t="inlineStr">
        <is>
          <t>mid</t>
        </is>
      </c>
      <c r="E421" s="21" t="n">
        <v>435</v>
      </c>
      <c r="F421" s="14" t="inlineStr">
        <is>
          <t>2026-08-25</t>
        </is>
      </c>
      <c r="G421" s="8" t="n">
        <v>1400</v>
      </c>
      <c r="H421" s="22" t="n">
        <v>96.8</v>
      </c>
      <c r="I421" s="22" t="n">
        <v>66.09999999999999</v>
      </c>
      <c r="J421" s="22" t="n">
        <v>47.3</v>
      </c>
      <c r="K421" s="23" t="n">
        <v>5.25</v>
      </c>
      <c r="L421" s="23" t="n">
        <v>5.2</v>
      </c>
      <c r="M421" s="23" t="n">
        <v>6.7</v>
      </c>
      <c r="N421" s="23" t="n">
        <v>2.85</v>
      </c>
      <c r="O421" s="23" t="n">
        <v>3.45</v>
      </c>
      <c r="P421" s="23" t="n">
        <v>3.4</v>
      </c>
      <c r="Q421" s="8">
        <f>K421*G421</f>
        <v/>
      </c>
      <c r="R421" s="24">
        <f>(M421-K421)*G421</f>
        <v/>
      </c>
      <c r="S421" s="25">
        <f>(M421/K421-1)*100</f>
        <v/>
      </c>
      <c r="T421" s="26">
        <f>(N421-K421)*G421</f>
        <v/>
      </c>
      <c r="U421" s="27">
        <f>(N421/K421-1)*100</f>
        <v/>
      </c>
      <c r="V421" s="11">
        <f>(P421-K421)*G421</f>
        <v/>
      </c>
      <c r="W421" s="11" t="n">
        <v>-2891.85</v>
      </c>
      <c r="X421" s="10">
        <f>W421/Q421*100</f>
        <v/>
      </c>
      <c r="Y421" s="12" t="n">
        <v>-0.667</v>
      </c>
      <c r="Z421" s="14" t="inlineStr">
        <is>
          <t>2026_Q3</t>
        </is>
      </c>
    </row>
    <row r="422">
      <c r="A422" s="14" t="inlineStr">
        <is>
          <t>2026-08-10</t>
        </is>
      </c>
      <c r="B422" s="7" t="inlineStr">
        <is>
          <t>SBIN</t>
        </is>
      </c>
      <c r="C422" s="14" t="inlineStr">
        <is>
          <t>PE</t>
        </is>
      </c>
      <c r="D422" s="14" t="inlineStr">
        <is>
          <t>large</t>
        </is>
      </c>
      <c r="E422" s="21" t="n">
        <v>1080</v>
      </c>
      <c r="F422" s="14" t="inlineStr">
        <is>
          <t>2026-08-25</t>
        </is>
      </c>
      <c r="G422" s="8" t="n">
        <v>750</v>
      </c>
      <c r="H422" s="22" t="n">
        <v>13.7</v>
      </c>
      <c r="I422" s="22" t="n">
        <v>22.8</v>
      </c>
      <c r="J422" s="22" t="n">
        <v>8.4</v>
      </c>
      <c r="K422" s="23" t="n">
        <v>9.550000000000001</v>
      </c>
      <c r="L422" s="23" t="n">
        <v>9.5</v>
      </c>
      <c r="M422" s="23" t="n">
        <v>23.2</v>
      </c>
      <c r="N422" s="23" t="n">
        <v>7.85</v>
      </c>
      <c r="O422" s="23" t="n">
        <v>21.9</v>
      </c>
      <c r="P422" s="23" t="n">
        <v>21.85</v>
      </c>
      <c r="Q422" s="8">
        <f>K422*G422</f>
        <v/>
      </c>
      <c r="R422" s="24">
        <f>(M422-K422)*G422</f>
        <v/>
      </c>
      <c r="S422" s="25">
        <f>(M422/K422-1)*100</f>
        <v/>
      </c>
      <c r="T422" s="26">
        <f>(N422-K422)*G422</f>
        <v/>
      </c>
      <c r="U422" s="27">
        <f>(N422/K422-1)*100</f>
        <v/>
      </c>
      <c r="V422" s="11">
        <f>(P422-K422)*G422</f>
        <v/>
      </c>
      <c r="W422" s="11" t="n">
        <v>8907.610000000001</v>
      </c>
      <c r="X422" s="10">
        <f>W422/Q422*100</f>
        <v/>
      </c>
      <c r="Y422" s="12" t="n">
        <v>3.339</v>
      </c>
      <c r="Z422" s="14" t="inlineStr">
        <is>
          <t>2026_Q3</t>
        </is>
      </c>
    </row>
    <row r="423">
      <c r="A423" s="14" t="inlineStr">
        <is>
          <t>2026-08-10</t>
        </is>
      </c>
      <c r="B423" s="7" t="inlineStr">
        <is>
          <t>TITAN</t>
        </is>
      </c>
      <c r="C423" s="14" t="inlineStr">
        <is>
          <t>PE</t>
        </is>
      </c>
      <c r="D423" s="14" t="inlineStr">
        <is>
          <t>large</t>
        </is>
      </c>
      <c r="E423" s="21" t="n">
        <v>4750</v>
      </c>
      <c r="F423" s="14" t="inlineStr">
        <is>
          <t>2026-08-25</t>
        </is>
      </c>
      <c r="G423" s="8" t="n">
        <v>175</v>
      </c>
      <c r="H423" s="22" t="n">
        <v>62.9</v>
      </c>
      <c r="I423" s="22" t="n">
        <v>50.7</v>
      </c>
      <c r="J423" s="22" t="n">
        <v>29.3</v>
      </c>
      <c r="K423" s="23" t="n">
        <v>33.05</v>
      </c>
      <c r="L423" s="23" t="n">
        <v>33</v>
      </c>
      <c r="M423" s="23" t="n">
        <v>36</v>
      </c>
      <c r="N423" s="23" t="n">
        <v>9.25</v>
      </c>
      <c r="O423" s="23" t="n">
        <v>10.05</v>
      </c>
      <c r="P423" s="23" t="n">
        <v>10</v>
      </c>
      <c r="Q423" s="8">
        <f>K423*G423</f>
        <v/>
      </c>
      <c r="R423" s="24">
        <f>(M423-K423)*G423</f>
        <v/>
      </c>
      <c r="S423" s="25">
        <f>(M423/K423-1)*100</f>
        <v/>
      </c>
      <c r="T423" s="26">
        <f>(N423-K423)*G423</f>
        <v/>
      </c>
      <c r="U423" s="27">
        <f>(N423/K423-1)*100</f>
        <v/>
      </c>
      <c r="V423" s="11">
        <f>(P423-K423)*G423</f>
        <v/>
      </c>
      <c r="W423" s="11" t="n">
        <v>-4162.24</v>
      </c>
      <c r="X423" s="10">
        <f>W423/Q423*100</f>
        <v/>
      </c>
      <c r="Y423" s="12" t="n">
        <v>-3.204</v>
      </c>
      <c r="Z423" s="14" t="inlineStr">
        <is>
          <t>2026_Q3</t>
        </is>
      </c>
    </row>
    <row r="424">
      <c r="A424" s="14" t="inlineStr">
        <is>
          <t>2026-08-11</t>
        </is>
      </c>
      <c r="B424" s="7" t="inlineStr">
        <is>
          <t>BHARATFORG</t>
        </is>
      </c>
      <c r="C424" s="14" t="inlineStr">
        <is>
          <t>CE</t>
        </is>
      </c>
      <c r="D424" s="14" t="inlineStr">
        <is>
          <t>mid</t>
        </is>
      </c>
      <c r="E424" s="21" t="n">
        <v>2260</v>
      </c>
      <c r="F424" s="14" t="inlineStr">
        <is>
          <t>2026-08-25</t>
        </is>
      </c>
      <c r="G424" s="8" t="n">
        <v>500</v>
      </c>
      <c r="H424" s="22" t="n">
        <v>-131.7</v>
      </c>
      <c r="I424" s="22" t="n">
        <v>-138.5</v>
      </c>
      <c r="J424" s="22" t="n">
        <v>18.7</v>
      </c>
      <c r="K424" s="23" t="n">
        <v>15.3</v>
      </c>
      <c r="L424" s="23" t="n">
        <v>15.25</v>
      </c>
      <c r="M424" s="23" t="n">
        <v>18.6</v>
      </c>
      <c r="N424" s="23" t="n">
        <v>4.2</v>
      </c>
      <c r="O424" s="23" t="n">
        <v>5.2</v>
      </c>
      <c r="P424" s="23" t="n">
        <v>5.15</v>
      </c>
      <c r="Q424" s="8">
        <f>K424*G424</f>
        <v/>
      </c>
      <c r="R424" s="24">
        <f>(M424-K424)*G424</f>
        <v/>
      </c>
      <c r="S424" s="25">
        <f>(M424/K424-1)*100</f>
        <v/>
      </c>
      <c r="T424" s="26">
        <f>(N424-K424)*G424</f>
        <v/>
      </c>
      <c r="U424" s="27">
        <f>(N424/K424-1)*100</f>
        <v/>
      </c>
      <c r="V424" s="11">
        <f>(P424-K424)*G424</f>
        <v/>
      </c>
      <c r="W424" s="11" t="n">
        <v>-5335.09</v>
      </c>
      <c r="X424" s="10">
        <f>W424/Q424*100</f>
        <v/>
      </c>
      <c r="Y424" s="12" t="n">
        <v>-3.021</v>
      </c>
      <c r="Z424" s="14" t="inlineStr">
        <is>
          <t>2026_Q3</t>
        </is>
      </c>
    </row>
    <row r="425">
      <c r="A425" s="14" t="inlineStr">
        <is>
          <t>2026-08-12</t>
        </is>
      </c>
      <c r="B425" s="7" t="inlineStr">
        <is>
          <t>MANAPPURAM</t>
        </is>
      </c>
      <c r="C425" s="14" t="inlineStr">
        <is>
          <t>PE</t>
        </is>
      </c>
      <c r="D425" s="14" t="inlineStr">
        <is>
          <t>small</t>
        </is>
      </c>
      <c r="E425" s="21" t="n">
        <v>330</v>
      </c>
      <c r="F425" s="14" t="inlineStr">
        <is>
          <t>2026-08-25</t>
        </is>
      </c>
      <c r="G425" s="8" t="n">
        <v>3000</v>
      </c>
      <c r="H425" s="22" t="n">
        <v>341.4</v>
      </c>
      <c r="I425" s="22" t="n">
        <v>44.5</v>
      </c>
      <c r="J425" s="22" t="n">
        <v>34.1</v>
      </c>
      <c r="K425" s="23" t="n">
        <v>2.15</v>
      </c>
      <c r="L425" s="23" t="n">
        <v>2.1</v>
      </c>
      <c r="M425" s="23" t="n">
        <v>3.45</v>
      </c>
      <c r="N425" s="23" t="n">
        <v>1.8</v>
      </c>
      <c r="O425" s="23" t="n">
        <v>2.05</v>
      </c>
      <c r="P425" s="23" t="n">
        <v>2</v>
      </c>
      <c r="Q425" s="8">
        <f>K425*G425</f>
        <v/>
      </c>
      <c r="R425" s="24">
        <f>(M425-K425)*G425</f>
        <v/>
      </c>
      <c r="S425" s="25">
        <f>(M425/K425-1)*100</f>
        <v/>
      </c>
      <c r="T425" s="26">
        <f>(N425-K425)*G425</f>
        <v/>
      </c>
      <c r="U425" s="27">
        <f>(N425/K425-1)*100</f>
        <v/>
      </c>
      <c r="V425" s="11">
        <f>(P425-K425)*G425</f>
        <v/>
      </c>
      <c r="W425" s="11" t="n">
        <v>-885.12</v>
      </c>
      <c r="X425" s="10">
        <f>W425/Q425*100</f>
        <v/>
      </c>
      <c r="Y425" s="12" t="n">
        <v>4.69</v>
      </c>
      <c r="Z425" s="14" t="inlineStr">
        <is>
          <t>2026_Q3</t>
        </is>
      </c>
    </row>
    <row r="426">
      <c r="A426" s="14" t="inlineStr">
        <is>
          <t>2026-08-12</t>
        </is>
      </c>
      <c r="B426" s="7" t="inlineStr">
        <is>
          <t>SIEMENS</t>
        </is>
      </c>
      <c r="C426" s="14" t="inlineStr">
        <is>
          <t>PE</t>
        </is>
      </c>
      <c r="D426" s="14" t="inlineStr">
        <is>
          <t>large</t>
        </is>
      </c>
      <c r="E426" s="21" t="n">
        <v>3850</v>
      </c>
      <c r="F426" s="14" t="inlineStr">
        <is>
          <t>2026-08-25</t>
        </is>
      </c>
      <c r="G426" s="8" t="n">
        <v>175</v>
      </c>
      <c r="H426" s="22" t="n">
        <v>406.2</v>
      </c>
      <c r="I426" s="22" t="n">
        <v>478.6</v>
      </c>
      <c r="J426" s="22" t="n">
        <v>8.4</v>
      </c>
      <c r="K426" s="23" t="n">
        <v>36.05</v>
      </c>
      <c r="L426" s="23" t="n">
        <v>36</v>
      </c>
      <c r="M426" s="23" t="n">
        <v>43</v>
      </c>
      <c r="N426" s="23" t="n">
        <v>26.75</v>
      </c>
      <c r="O426" s="23" t="n">
        <v>30</v>
      </c>
      <c r="P426" s="23" t="n">
        <v>29.95</v>
      </c>
      <c r="Q426" s="8">
        <f>K426*G426</f>
        <v/>
      </c>
      <c r="R426" s="24">
        <f>(M426-K426)*G426</f>
        <v/>
      </c>
      <c r="S426" s="25">
        <f>(M426/K426-1)*100</f>
        <v/>
      </c>
      <c r="T426" s="26">
        <f>(N426-K426)*G426</f>
        <v/>
      </c>
      <c r="U426" s="27">
        <f>(N426/K426-1)*100</f>
        <v/>
      </c>
      <c r="V426" s="11">
        <f>(P426-K426)*G426</f>
        <v/>
      </c>
      <c r="W426" s="11" t="n">
        <v>-1243.11</v>
      </c>
      <c r="X426" s="10">
        <f>W426/Q426*100</f>
        <v/>
      </c>
      <c r="Y426" s="12" t="n">
        <v>0.075</v>
      </c>
      <c r="Z426" s="14" t="inlineStr">
        <is>
          <t>2026_Q3</t>
        </is>
      </c>
    </row>
    <row r="427">
      <c r="A427" s="14" t="inlineStr">
        <is>
          <t>2026-08-12</t>
        </is>
      </c>
      <c r="B427" s="7" t="inlineStr">
        <is>
          <t>ZYDUSLIFE</t>
        </is>
      </c>
      <c r="C427" s="14" t="inlineStr">
        <is>
          <t>CE</t>
        </is>
      </c>
      <c r="D427" s="14" t="inlineStr">
        <is>
          <t>mid</t>
        </is>
      </c>
      <c r="E427" s="21" t="n">
        <v>1260</v>
      </c>
      <c r="F427" s="14" t="inlineStr">
        <is>
          <t>2026-08-25</t>
        </is>
      </c>
      <c r="G427" s="8" t="n">
        <v>900</v>
      </c>
      <c r="H427" s="22" t="n">
        <v>-34.9</v>
      </c>
      <c r="I427" s="22" t="n">
        <v>-26.2</v>
      </c>
      <c r="J427" s="22" t="n">
        <v>22</v>
      </c>
      <c r="K427" s="23" t="n">
        <v>8.15</v>
      </c>
      <c r="L427" s="23" t="n">
        <v>8.1</v>
      </c>
      <c r="M427" s="23" t="n">
        <v>8.85</v>
      </c>
      <c r="N427" s="23" t="n">
        <v>2.2</v>
      </c>
      <c r="O427" s="23" t="n">
        <v>7.4</v>
      </c>
      <c r="P427" s="23" t="n">
        <v>7.35</v>
      </c>
      <c r="Q427" s="8">
        <f>K427*G427</f>
        <v/>
      </c>
      <c r="R427" s="24">
        <f>(M427-K427)*G427</f>
        <v/>
      </c>
      <c r="S427" s="25">
        <f>(M427/K427-1)*100</f>
        <v/>
      </c>
      <c r="T427" s="26">
        <f>(N427-K427)*G427</f>
        <v/>
      </c>
      <c r="U427" s="27">
        <f>(N427/K427-1)*100</f>
        <v/>
      </c>
      <c r="V427" s="11">
        <f>(P427-K427)*G427</f>
        <v/>
      </c>
      <c r="W427" s="11" t="n">
        <v>-1062.21</v>
      </c>
      <c r="X427" s="10">
        <f>W427/Q427*100</f>
        <v/>
      </c>
      <c r="Y427" s="12" t="n">
        <v>1.261</v>
      </c>
      <c r="Z427" s="14" t="inlineStr">
        <is>
          <t>2026_Q3</t>
        </is>
      </c>
    </row>
    <row r="428">
      <c r="A428" s="14" t="inlineStr">
        <is>
          <t>2026-08-13</t>
        </is>
      </c>
      <c r="B428" s="7" t="inlineStr">
        <is>
          <t>APOLLOHOSP</t>
        </is>
      </c>
      <c r="C428" s="14" t="inlineStr">
        <is>
          <t>PE</t>
        </is>
      </c>
      <c r="D428" s="14" t="inlineStr">
        <is>
          <t>large</t>
        </is>
      </c>
      <c r="E428" s="21" t="n">
        <v>8400</v>
      </c>
      <c r="F428" s="14" t="inlineStr">
        <is>
          <t>2026-08-25</t>
        </is>
      </c>
      <c r="G428" s="8" t="n">
        <v>125</v>
      </c>
      <c r="H428" s="22" t="n">
        <v>38.4</v>
      </c>
      <c r="I428" s="22" t="n">
        <v>10.7</v>
      </c>
      <c r="J428" s="22" t="n">
        <v>20.6</v>
      </c>
      <c r="K428" s="23" t="n">
        <v>61.8</v>
      </c>
      <c r="L428" s="23" t="n">
        <v>61.75</v>
      </c>
      <c r="M428" s="23" t="n">
        <v>69</v>
      </c>
      <c r="N428" s="23" t="n">
        <v>33.4</v>
      </c>
      <c r="O428" s="23" t="n">
        <v>53.65</v>
      </c>
      <c r="P428" s="23" t="n">
        <v>53.6</v>
      </c>
      <c r="Q428" s="8">
        <f>K428*G428</f>
        <v/>
      </c>
      <c r="R428" s="24">
        <f>(M428-K428)*G428</f>
        <v/>
      </c>
      <c r="S428" s="25">
        <f>(M428/K428-1)*100</f>
        <v/>
      </c>
      <c r="T428" s="26">
        <f>(N428-K428)*G428</f>
        <v/>
      </c>
      <c r="U428" s="27">
        <f>(N428/K428-1)*100</f>
        <v/>
      </c>
      <c r="V428" s="11">
        <f>(P428-K428)*G428</f>
        <v/>
      </c>
      <c r="W428" s="11" t="n">
        <v>-1232.8</v>
      </c>
      <c r="X428" s="10">
        <f>W428/Q428*100</f>
        <v/>
      </c>
      <c r="Y428" s="12" t="n">
        <v>1.607</v>
      </c>
      <c r="Z428" s="14" t="inlineStr">
        <is>
          <t>2026_Q3</t>
        </is>
      </c>
    </row>
    <row r="429">
      <c r="A429" s="14" t="inlineStr">
        <is>
          <t>2026-08-13</t>
        </is>
      </c>
      <c r="B429" s="7" t="inlineStr">
        <is>
          <t>GRASIM</t>
        </is>
      </c>
      <c r="C429" s="14" t="inlineStr">
        <is>
          <t>PE</t>
        </is>
      </c>
      <c r="D429" s="14" t="inlineStr">
        <is>
          <t>large</t>
        </is>
      </c>
      <c r="E429" s="21" t="n">
        <v>3160</v>
      </c>
      <c r="F429" s="14" t="inlineStr">
        <is>
          <t>2026-08-25</t>
        </is>
      </c>
      <c r="G429" s="8" t="n">
        <v>250</v>
      </c>
      <c r="H429" s="22" t="n">
        <v>39</v>
      </c>
      <c r="I429" s="22" t="n">
        <v>1.2</v>
      </c>
      <c r="J429" s="22" t="n">
        <v>21.4</v>
      </c>
      <c r="K429" s="23" t="n">
        <v>24.05</v>
      </c>
      <c r="L429" s="23" t="n">
        <v>24</v>
      </c>
      <c r="M429" s="23" t="n">
        <v>49.95</v>
      </c>
      <c r="N429" s="23" t="n">
        <v>18.95</v>
      </c>
      <c r="O429" s="23" t="n">
        <v>22.7</v>
      </c>
      <c r="P429" s="23" t="n">
        <v>22.65</v>
      </c>
      <c r="Q429" s="8">
        <f>K429*G429</f>
        <v/>
      </c>
      <c r="R429" s="24">
        <f>(M429-K429)*G429</f>
        <v/>
      </c>
      <c r="S429" s="25">
        <f>(M429/K429-1)*100</f>
        <v/>
      </c>
      <c r="T429" s="26">
        <f>(N429-K429)*G429</f>
        <v/>
      </c>
      <c r="U429" s="27">
        <f>(N429/K429-1)*100</f>
        <v/>
      </c>
      <c r="V429" s="11">
        <f>(P429-K429)*G429</f>
        <v/>
      </c>
      <c r="W429" s="11" t="n">
        <v>-527.54</v>
      </c>
      <c r="X429" s="10">
        <f>W429/Q429*100</f>
        <v/>
      </c>
      <c r="Y429" s="12" t="n">
        <v>1.282</v>
      </c>
      <c r="Z429" s="14" t="inlineStr">
        <is>
          <t>2026_Q3</t>
        </is>
      </c>
    </row>
    <row r="430">
      <c r="A430" s="14" t="inlineStr">
        <is>
          <t>2026-08-14</t>
        </is>
      </c>
      <c r="B430" s="7" t="inlineStr">
        <is>
          <t>AMBER</t>
        </is>
      </c>
      <c r="C430" s="14" t="inlineStr">
        <is>
          <t>CE</t>
        </is>
      </c>
      <c r="D430" s="14" t="inlineStr">
        <is>
          <t>small</t>
        </is>
      </c>
      <c r="E430" s="21" t="n">
        <v>7500</v>
      </c>
      <c r="F430" s="14" t="inlineStr">
        <is>
          <t>2026-08-25</t>
        </is>
      </c>
      <c r="G430" s="8" t="n">
        <v>100</v>
      </c>
      <c r="H430" s="22" t="n">
        <v>-97.09999999999999</v>
      </c>
      <c r="I430" s="22" t="n">
        <v>-98.09999999999999</v>
      </c>
      <c r="J430" s="22" t="n">
        <v>12.7</v>
      </c>
      <c r="K430" s="23" t="n">
        <v>75.05</v>
      </c>
      <c r="L430" s="23" t="n">
        <v>75</v>
      </c>
      <c r="M430" s="23" t="n">
        <v>119.85</v>
      </c>
      <c r="N430" s="23" t="n">
        <v>38</v>
      </c>
      <c r="O430" s="23" t="n">
        <v>41.35</v>
      </c>
      <c r="P430" s="23" t="n">
        <v>41.3</v>
      </c>
      <c r="Q430" s="8">
        <f>K430*G430</f>
        <v/>
      </c>
      <c r="R430" s="24">
        <f>(M430-K430)*G430</f>
        <v/>
      </c>
      <c r="S430" s="25">
        <f>(M430/K430-1)*100</f>
        <v/>
      </c>
      <c r="T430" s="26">
        <f>(N430-K430)*G430</f>
        <v/>
      </c>
      <c r="U430" s="27">
        <f>(N430/K430-1)*100</f>
        <v/>
      </c>
      <c r="V430" s="11">
        <f>(P430-K430)*G430</f>
        <v/>
      </c>
      <c r="W430" s="11" t="n">
        <v>-3782.57</v>
      </c>
      <c r="X430" s="10">
        <f>W430/Q430*100</f>
        <v/>
      </c>
      <c r="Y430" s="12" t="n">
        <v>0.718</v>
      </c>
      <c r="Z430" s="14" t="inlineStr">
        <is>
          <t>2026_Q3</t>
        </is>
      </c>
    </row>
    <row r="431">
      <c r="A431" s="14" t="inlineStr">
        <is>
          <t>2026-08-14</t>
        </is>
      </c>
      <c r="B431" s="7" t="inlineStr">
        <is>
          <t>SOLARINDS</t>
        </is>
      </c>
      <c r="C431" s="14" t="inlineStr">
        <is>
          <t>PE</t>
        </is>
      </c>
      <c r="D431" s="14" t="inlineStr">
        <is>
          <t>large</t>
        </is>
      </c>
      <c r="E431" s="21" t="n">
        <v>19250</v>
      </c>
      <c r="F431" s="14" t="inlineStr">
        <is>
          <t>2026-08-25</t>
        </is>
      </c>
      <c r="G431" s="8" t="n">
        <v>50</v>
      </c>
      <c r="H431" s="22" t="n">
        <v>89</v>
      </c>
      <c r="I431" s="22" t="n">
        <v>19.8</v>
      </c>
      <c r="J431" s="22" t="n">
        <v>70.3</v>
      </c>
      <c r="K431" s="23" t="n">
        <v>154.9</v>
      </c>
      <c r="L431" s="23" t="n">
        <v>154.85</v>
      </c>
      <c r="M431" s="23" t="n">
        <v>332.3</v>
      </c>
      <c r="N431" s="23" t="n">
        <v>108.65</v>
      </c>
      <c r="O431" s="23" t="n">
        <v>125.95</v>
      </c>
      <c r="P431" s="23" t="n">
        <v>125.9</v>
      </c>
      <c r="Q431" s="8">
        <f>K431*G431</f>
        <v/>
      </c>
      <c r="R431" s="24">
        <f>(M431-K431)*G431</f>
        <v/>
      </c>
      <c r="S431" s="25">
        <f>(M431/K431-1)*100</f>
        <v/>
      </c>
      <c r="T431" s="26">
        <f>(N431-K431)*G431</f>
        <v/>
      </c>
      <c r="U431" s="27">
        <f>(N431/K431-1)*100</f>
        <v/>
      </c>
      <c r="V431" s="11">
        <f>(P431-K431)*G431</f>
        <v/>
      </c>
      <c r="W431" s="11" t="n">
        <v>-1653.18</v>
      </c>
      <c r="X431" s="10">
        <f>W431/Q431*100</f>
        <v/>
      </c>
      <c r="Y431" s="12" t="n">
        <v>1.582</v>
      </c>
      <c r="Z431" s="14" t="inlineStr">
        <is>
          <t>2026_Q3</t>
        </is>
      </c>
    </row>
    <row r="432">
      <c r="A432" s="14" t="inlineStr">
        <is>
          <t>2026-08-14</t>
        </is>
      </c>
      <c r="B432" s="7" t="inlineStr">
        <is>
          <t>TMPV</t>
        </is>
      </c>
      <c r="C432" s="14" t="inlineStr">
        <is>
          <t>CE</t>
        </is>
      </c>
      <c r="D432" s="14" t="inlineStr">
        <is>
          <t>large</t>
        </is>
      </c>
      <c r="E432" s="21" t="n">
        <v>350</v>
      </c>
      <c r="F432" s="14" t="inlineStr">
        <is>
          <t>2026-08-25</t>
        </is>
      </c>
      <c r="G432" s="8" t="n">
        <v>1600</v>
      </c>
      <c r="H432" s="22" t="n">
        <v>-78.5</v>
      </c>
      <c r="I432" s="22" t="n">
        <v>-85.40000000000001</v>
      </c>
      <c r="J432" s="22" t="n">
        <v>-8.199999999999999</v>
      </c>
      <c r="K432" s="23" t="n">
        <v>3</v>
      </c>
      <c r="L432" s="23" t="n">
        <v>2.95</v>
      </c>
      <c r="M432" s="23" t="n">
        <v>4.4</v>
      </c>
      <c r="N432" s="23" t="n">
        <v>1.4</v>
      </c>
      <c r="O432" s="23" t="n">
        <v>1.6</v>
      </c>
      <c r="P432" s="23" t="n">
        <v>1.55</v>
      </c>
      <c r="Q432" s="8">
        <f>K432*G432</f>
        <v/>
      </c>
      <c r="R432" s="24">
        <f>(M432-K432)*G432</f>
        <v/>
      </c>
      <c r="S432" s="25">
        <f>(M432/K432-1)*100</f>
        <v/>
      </c>
      <c r="T432" s="26">
        <f>(N432-K432)*G432</f>
        <v/>
      </c>
      <c r="U432" s="27">
        <f>(N432/K432-1)*100</f>
        <v/>
      </c>
      <c r="V432" s="11">
        <f>(P432-K432)*G432</f>
        <v/>
      </c>
      <c r="W432" s="11" t="n">
        <v>-2446.92</v>
      </c>
      <c r="X432" s="10">
        <f>W432/Q432*100</f>
        <v/>
      </c>
      <c r="Y432" s="12" t="n">
        <v>1.672</v>
      </c>
      <c r="Z432" s="14" t="inlineStr">
        <is>
          <t>2026_Q3</t>
        </is>
      </c>
    </row>
    <row r="433">
      <c r="A433" s="14" t="inlineStr">
        <is>
          <t>2026-08-17</t>
        </is>
      </c>
      <c r="B433" s="7" t="inlineStr">
        <is>
          <t>BDL</t>
        </is>
      </c>
      <c r="C433" s="14" t="inlineStr">
        <is>
          <t>PE</t>
        </is>
      </c>
      <c r="D433" s="14" t="inlineStr">
        <is>
          <t>mid</t>
        </is>
      </c>
      <c r="E433" s="21" t="n">
        <v>1360</v>
      </c>
      <c r="F433" s="14" t="inlineStr">
        <is>
          <t>2026-08-25</t>
        </is>
      </c>
      <c r="G433" s="8" t="n">
        <v>425</v>
      </c>
      <c r="H433" s="22" t="n">
        <v>547.4</v>
      </c>
      <c r="I433" s="22" t="n">
        <v>5</v>
      </c>
      <c r="J433" s="22" t="n">
        <v>130.8</v>
      </c>
      <c r="K433" s="23" t="n">
        <v>12.7</v>
      </c>
      <c r="L433" s="23" t="n">
        <v>12.65</v>
      </c>
      <c r="M433" s="23" t="n">
        <v>25.15</v>
      </c>
      <c r="N433" s="23" t="n">
        <v>10.2</v>
      </c>
      <c r="O433" s="23" t="n">
        <v>20.25</v>
      </c>
      <c r="P433" s="23" t="n">
        <v>20.2</v>
      </c>
      <c r="Q433" s="8">
        <f>K433*G433</f>
        <v/>
      </c>
      <c r="R433" s="24">
        <f>(M433-K433)*G433</f>
        <v/>
      </c>
      <c r="S433" s="25">
        <f>(M433/K433-1)*100</f>
        <v/>
      </c>
      <c r="T433" s="26">
        <f>(N433-K433)*G433</f>
        <v/>
      </c>
      <c r="U433" s="27">
        <f>(N433/K433-1)*100</f>
        <v/>
      </c>
      <c r="V433" s="11">
        <f>(P433-K433)*G433</f>
        <v/>
      </c>
      <c r="W433" s="11" t="n">
        <v>2841.72</v>
      </c>
      <c r="X433" s="10">
        <f>W433/Q433*100</f>
        <v/>
      </c>
      <c r="Y433" s="12" t="n">
        <v>2.349</v>
      </c>
      <c r="Z433" s="14" t="inlineStr">
        <is>
          <t>2026_Q3</t>
        </is>
      </c>
    </row>
    <row r="434">
      <c r="A434" s="14" t="inlineStr">
        <is>
          <t>2026-08-17</t>
        </is>
      </c>
      <c r="B434" s="7" t="inlineStr">
        <is>
          <t>COCHINSHIP</t>
        </is>
      </c>
      <c r="C434" s="14" t="inlineStr">
        <is>
          <t>CE</t>
        </is>
      </c>
      <c r="D434" s="14" t="inlineStr">
        <is>
          <t>mid</t>
        </is>
      </c>
      <c r="E434" s="21" t="n">
        <v>1520</v>
      </c>
      <c r="F434" s="14" t="inlineStr">
        <is>
          <t>2026-08-25</t>
        </is>
      </c>
      <c r="G434" s="8" t="n">
        <v>400</v>
      </c>
      <c r="H434" s="22" t="n">
        <v>-19.4</v>
      </c>
      <c r="I434" s="22" t="n">
        <v>-45.2</v>
      </c>
      <c r="J434" s="22" t="n">
        <v>2.4</v>
      </c>
      <c r="K434" s="23" t="n">
        <v>3.05</v>
      </c>
      <c r="L434" s="23" t="n">
        <v>3</v>
      </c>
      <c r="M434" s="23" t="n">
        <v>27.85</v>
      </c>
      <c r="N434" s="23" t="n">
        <v>3</v>
      </c>
      <c r="O434" s="23" t="n">
        <v>9.300000000000001</v>
      </c>
      <c r="P434" s="23" t="n">
        <v>9.25</v>
      </c>
      <c r="Q434" s="8">
        <f>K434*G434</f>
        <v/>
      </c>
      <c r="R434" s="24">
        <f>(M434-K434)*G434</f>
        <v/>
      </c>
      <c r="S434" s="25">
        <f>(M434/K434-1)*100</f>
        <v/>
      </c>
      <c r="T434" s="26">
        <f>(N434-K434)*G434</f>
        <v/>
      </c>
      <c r="U434" s="27">
        <f>(N434/K434-1)*100</f>
        <v/>
      </c>
      <c r="V434" s="11">
        <f>(P434-K434)*G434</f>
        <v/>
      </c>
      <c r="W434" s="11" t="n">
        <v>2326.75</v>
      </c>
      <c r="X434" s="10">
        <f>W434/Q434*100</f>
        <v/>
      </c>
      <c r="Y434" s="12" t="n">
        <v>0.538</v>
      </c>
      <c r="Z434" s="14" t="inlineStr">
        <is>
          <t>2026_Q3</t>
        </is>
      </c>
    </row>
    <row r="435">
      <c r="A435" s="14" t="inlineStr">
        <is>
          <t>2026-08-17</t>
        </is>
      </c>
      <c r="B435" s="7" t="inlineStr">
        <is>
          <t>VOLTAS</t>
        </is>
      </c>
      <c r="C435" s="14" t="inlineStr">
        <is>
          <t>PE</t>
        </is>
      </c>
      <c r="D435" s="14" t="inlineStr">
        <is>
          <t>mid</t>
        </is>
      </c>
      <c r="E435" s="21" t="n">
        <v>1300</v>
      </c>
      <c r="F435" s="14" t="inlineStr">
        <is>
          <t>2026-08-25</t>
        </is>
      </c>
      <c r="G435" s="8" t="n">
        <v>375</v>
      </c>
      <c r="H435" s="22" t="n">
        <v>51.3</v>
      </c>
      <c r="I435" s="22" t="n">
        <v>87.59999999999999</v>
      </c>
      <c r="J435" s="22" t="n">
        <v>18.7</v>
      </c>
      <c r="K435" s="23" t="n">
        <v>21.1</v>
      </c>
      <c r="L435" s="23" t="n">
        <v>21.05</v>
      </c>
      <c r="M435" s="23" t="n">
        <v>49.3</v>
      </c>
      <c r="N435" s="23" t="n">
        <v>11.45</v>
      </c>
      <c r="O435" s="23" t="n">
        <v>47.95</v>
      </c>
      <c r="P435" s="23" t="n">
        <v>47.9</v>
      </c>
      <c r="Q435" s="8">
        <f>K435*G435</f>
        <v/>
      </c>
      <c r="R435" s="24">
        <f>(M435-K435)*G435</f>
        <v/>
      </c>
      <c r="S435" s="25">
        <f>(M435/K435-1)*100</f>
        <v/>
      </c>
      <c r="T435" s="26">
        <f>(N435-K435)*G435</f>
        <v/>
      </c>
      <c r="U435" s="27">
        <f>(N435/K435-1)*100</f>
        <v/>
      </c>
      <c r="V435" s="11">
        <f>(P435-K435)*G435</f>
        <v/>
      </c>
      <c r="W435" s="11" t="n">
        <v>9447.24</v>
      </c>
      <c r="X435" s="10">
        <f>W435/Q435*100</f>
        <v/>
      </c>
      <c r="Y435" s="12" t="n">
        <v>4.665</v>
      </c>
      <c r="Z435" s="14" t="inlineStr">
        <is>
          <t>2026_Q3</t>
        </is>
      </c>
    </row>
  </sheetData>
  <autoFilter ref="A1:Z435"/>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Q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24" customWidth="1" min="3" max="3"/>
    <col width="8" customWidth="1" min="4" max="4"/>
    <col width="11" customWidth="1" min="5" max="5"/>
    <col width="34" customWidth="1" min="6" max="6"/>
    <col width="14" customWidth="1" min="7" max="7"/>
    <col width="16" customWidth="1" min="8" max="8"/>
    <col width="14" customWidth="1" min="9" max="9"/>
    <col width="16" customWidth="1" min="10" max="10"/>
    <col width="11" customWidth="1" min="11" max="11"/>
    <col width="14" customWidth="1" min="12" max="12"/>
    <col width="16" customWidth="1" min="13" max="13"/>
    <col width="11" customWidth="1" min="14" max="14"/>
    <col width="13" customWidth="1" min="15" max="15"/>
    <col width="14" customWidth="1" min="16" max="16"/>
    <col width="60" customWidth="1" min="17" max="17"/>
  </cols>
  <sheetData>
    <row r="1" ht="48" customHeight="1">
      <c r="A1" s="3" t="inlineStr">
        <is>
          <t>Opened</t>
        </is>
      </c>
      <c r="B1" s="3" t="inlineStr">
        <is>
          <t>Symbol</t>
        </is>
      </c>
      <c r="C1" s="3" t="inlineStr">
        <is>
          <t>Contract</t>
        </is>
      </c>
      <c r="D1" s="3" t="inlineStr">
        <is>
          <t>Lot size</t>
        </is>
      </c>
      <c r="E1" s="3" t="inlineStr">
        <is>
          <t>Entry price</t>
        </is>
      </c>
      <c r="F1" s="3" t="inlineStr">
        <is>
          <t>Status</t>
        </is>
      </c>
      <c r="G1" s="3" t="inlineStr">
        <is>
          <t>Exit price / last mark</t>
        </is>
      </c>
      <c r="H1" s="3" t="inlineStr">
        <is>
          <t>Price time</t>
        </is>
      </c>
      <c r="I1" s="4" t="inlineStr">
        <is>
          <t>MAX PEAK price (since entry)</t>
        </is>
      </c>
      <c r="J1" s="4" t="inlineStr">
        <is>
          <t>Peak time</t>
        </is>
      </c>
      <c r="K1" s="4" t="inlineStr">
        <is>
          <t>MAX PEAK %</t>
        </is>
      </c>
      <c r="L1" s="5" t="inlineStr">
        <is>
          <t>MAX DIP price (since entry)</t>
        </is>
      </c>
      <c r="M1" s="5" t="inlineStr">
        <is>
          <t>Dip time</t>
        </is>
      </c>
      <c r="N1" s="5" t="inlineStr">
        <is>
          <t>MAX DIP %</t>
        </is>
      </c>
      <c r="O1" s="3" t="inlineStr">
        <is>
          <t>Gross P&amp;L Rs</t>
        </is>
      </c>
      <c r="P1" s="3" t="inlineStr">
        <is>
          <t>Net P&amp;L Rs (ledger)</t>
        </is>
      </c>
      <c r="Q1" s="3" t="inlineStr">
        <is>
          <t>Note</t>
        </is>
      </c>
    </row>
    <row r="2">
      <c r="A2" s="14" t="inlineStr">
        <is>
          <t>2026-10-15 15:17</t>
        </is>
      </c>
      <c r="B2" s="7" t="inlineStr">
        <is>
          <t>BHEL</t>
        </is>
      </c>
      <c r="C2" s="14" t="inlineStr">
        <is>
          <t>BHEL26OCT410PE</t>
        </is>
      </c>
      <c r="D2" s="14" t="n">
        <v>2625</v>
      </c>
      <c r="E2" s="23" t="n">
        <v>2.25</v>
      </c>
      <c r="F2" s="14" t="inlineStr">
        <is>
          <t>Closed 2026-10-15 15:20</t>
        </is>
      </c>
      <c r="G2" s="23" t="n">
        <v>2.2</v>
      </c>
      <c r="H2" s="14" t="inlineStr">
        <is>
          <t>2026-10-15 15:20</t>
        </is>
      </c>
      <c r="I2" s="23" t="n">
        <v>2.3</v>
      </c>
      <c r="J2" s="14" t="inlineStr">
        <is>
          <t>2026-10-15 15:18</t>
        </is>
      </c>
      <c r="K2" s="10">
        <f>(I2/E2-1)*100</f>
        <v/>
      </c>
      <c r="L2" s="23" t="n">
        <v>2.2</v>
      </c>
      <c r="M2" s="14" t="inlineStr">
        <is>
          <t>2026-10-15 15:19</t>
        </is>
      </c>
      <c r="N2" s="10">
        <f>(L2/E2-1)*100</f>
        <v/>
      </c>
      <c r="O2" s="11">
        <f>(G2-E2)*D2</f>
        <v/>
      </c>
      <c r="P2" s="11" t="n">
        <v>-192.21</v>
      </c>
      <c r="Q2" s="14" t="inlineStr">
        <is>
          <t>Sold at 15:20, as the rule says</t>
        </is>
      </c>
    </row>
    <row r="3">
      <c r="A3" s="14" t="inlineStr">
        <is>
          <t>2026-10-16 09:15</t>
        </is>
      </c>
      <c r="B3" s="7" t="inlineStr">
        <is>
          <t>NESTLEIND</t>
        </is>
      </c>
      <c r="C3" s="14" t="inlineStr">
        <is>
          <t>NESTLEIND26OCT1250PE</t>
        </is>
      </c>
      <c r="D3" s="14" t="n">
        <v>500</v>
      </c>
      <c r="E3" s="23" t="n">
        <v>14.5</v>
      </c>
      <c r="F3" s="14" t="inlineStr">
        <is>
          <t>Open: missed 15:20, sold Mon 19 Oct</t>
        </is>
      </c>
      <c r="G3" s="23" t="n">
        <v>18.65</v>
      </c>
      <c r="H3" s="14" t="inlineStr">
        <is>
          <t>2026-10-16 11:21</t>
        </is>
      </c>
      <c r="I3" s="23" t="n">
        <v>20.2</v>
      </c>
      <c r="J3" s="14" t="inlineStr">
        <is>
          <t>2026-10-16 11:10</t>
        </is>
      </c>
      <c r="K3" s="10">
        <f>(I3/E3-1)*100</f>
        <v/>
      </c>
      <c r="L3" s="23" t="n">
        <v>11.95</v>
      </c>
      <c r="M3" s="14" t="inlineStr">
        <is>
          <t>2026-10-16 09:47</t>
        </is>
      </c>
      <c r="N3" s="10">
        <f>(L3/E3-1)*100</f>
        <v/>
      </c>
      <c r="O3" s="11">
        <f>(G3-E3)*D3</f>
        <v/>
      </c>
      <c r="P3" s="11" t="n">
        <v>2006.62</v>
      </c>
      <c r="Q3" s="14" t="inlineStr">
        <is>
          <t>Excluded from the v10 review. Stale: server asleep after Fri 16 Oct 11:21</t>
        </is>
      </c>
    </row>
    <row r="4">
      <c r="A4" s="14" t="inlineStr">
        <is>
          <t>2026-10-16 09:15</t>
        </is>
      </c>
      <c r="B4" s="7" t="inlineStr">
        <is>
          <t>INDIANB</t>
        </is>
      </c>
      <c r="C4" s="14" t="inlineStr">
        <is>
          <t>INDIANB26OCT810PE</t>
        </is>
      </c>
      <c r="D4" s="14" t="n">
        <v>1000</v>
      </c>
      <c r="E4" s="23" t="n">
        <v>5.95</v>
      </c>
      <c r="F4" s="14" t="inlineStr">
        <is>
          <t>Open: missed 15:20, sold Mon 19 Oct</t>
        </is>
      </c>
      <c r="G4" s="23" t="n">
        <v>2.5</v>
      </c>
      <c r="H4" s="14" t="inlineStr">
        <is>
          <t>2026-10-16 11:21</t>
        </is>
      </c>
      <c r="I4" s="23" t="n">
        <v>5.95</v>
      </c>
      <c r="J4" s="14" t="inlineStr">
        <is>
          <t>2026-10-16 09:15</t>
        </is>
      </c>
      <c r="K4" s="10">
        <f>(I4/E4-1)*100</f>
        <v/>
      </c>
      <c r="L4" s="23" t="n">
        <v>2.55</v>
      </c>
      <c r="M4" s="14" t="inlineStr">
        <is>
          <t>2026-10-16 10:55</t>
        </is>
      </c>
      <c r="N4" s="10">
        <f>(L4/E4-1)*100</f>
        <v/>
      </c>
      <c r="O4" s="11">
        <f>(G4-E4)*D4</f>
        <v/>
      </c>
      <c r="P4" s="11" t="n">
        <v>-3504.68</v>
      </c>
      <c r="Q4" s="14" t="inlineStr">
        <is>
          <t>Excluded from the v10 review. Stale: server asleep after Fri 16 Oct 11:21</t>
        </is>
      </c>
    </row>
    <row r="5">
      <c r="A5" s="14" t="inlineStr">
        <is>
          <t>2026-10-16 09:15</t>
        </is>
      </c>
      <c r="B5" s="7" t="inlineStr">
        <is>
          <t>POLYCAB</t>
        </is>
      </c>
      <c r="C5" s="14" t="inlineStr">
        <is>
          <t>POLYCAB26OCT7700PE</t>
        </is>
      </c>
      <c r="D5" s="14" t="n">
        <v>125</v>
      </c>
      <c r="E5" s="23" t="n">
        <v>62.15</v>
      </c>
      <c r="F5" s="14" t="inlineStr">
        <is>
          <t>Open: missed 15:20, sold Mon 19 Oct</t>
        </is>
      </c>
      <c r="G5" s="23" t="n">
        <v>49.25</v>
      </c>
      <c r="H5" s="14" t="inlineStr">
        <is>
          <t>2026-10-16 11:21</t>
        </is>
      </c>
      <c r="I5" s="23" t="n">
        <v>64.34999999999999</v>
      </c>
      <c r="J5" s="14" t="inlineStr">
        <is>
          <t>2026-10-16 09:16</t>
        </is>
      </c>
      <c r="K5" s="10">
        <f>(I5/E5-1)*100</f>
        <v/>
      </c>
      <c r="L5" s="23" t="n">
        <v>47.1</v>
      </c>
      <c r="M5" s="14" t="inlineStr">
        <is>
          <t>2026-10-16 09:42</t>
        </is>
      </c>
      <c r="N5" s="10">
        <f>(L5/E5-1)*100</f>
        <v/>
      </c>
      <c r="O5" s="11">
        <f>(G5-E5)*D5</f>
        <v/>
      </c>
      <c r="P5" s="11" t="n">
        <v>-1675.02</v>
      </c>
      <c r="Q5" s="14" t="inlineStr">
        <is>
          <t>Excluded from the v10 review. Stale: server asleep after Fri 16 Oct 11:21</t>
        </is>
      </c>
    </row>
    <row r="6">
      <c r="A6" s="14" t="inlineStr">
        <is>
          <t>2026-10-16 09:15</t>
        </is>
      </c>
      <c r="B6" s="7" t="inlineStr">
        <is>
          <t>PERSISTENT</t>
        </is>
      </c>
      <c r="C6" s="14" t="inlineStr">
        <is>
          <t>PERSISTENT26OCT5900CE</t>
        </is>
      </c>
      <c r="D6" s="14" t="n">
        <v>125</v>
      </c>
      <c r="E6" s="23" t="n">
        <v>49.45</v>
      </c>
      <c r="F6" s="14" t="inlineStr">
        <is>
          <t>Open: missed 15:20, sold Mon 19 Oct</t>
        </is>
      </c>
      <c r="G6" s="23" t="n">
        <v>40.4</v>
      </c>
      <c r="H6" s="14" t="inlineStr">
        <is>
          <t>2026-10-16 11:21</t>
        </is>
      </c>
      <c r="I6" s="23" t="n">
        <v>49.45</v>
      </c>
      <c r="J6" s="14" t="inlineStr">
        <is>
          <t>2026-10-16 09:15</t>
        </is>
      </c>
      <c r="K6" s="10">
        <f>(I6/E6-1)*100</f>
        <v/>
      </c>
      <c r="L6" s="23" t="n">
        <v>31.9</v>
      </c>
      <c r="M6" s="14" t="inlineStr">
        <is>
          <t>2026-10-16 09:44</t>
        </is>
      </c>
      <c r="N6" s="10">
        <f>(L6/E6-1)*100</f>
        <v/>
      </c>
      <c r="O6" s="11">
        <f>(G6-E6)*D6</f>
        <v/>
      </c>
      <c r="P6" s="11" t="n">
        <v>-1190.95</v>
      </c>
      <c r="Q6" s="14" t="inlineStr">
        <is>
          <t>Excluded from the v10 review. Stale: server asleep after Fri 16 Oct 11:21</t>
        </is>
      </c>
    </row>
    <row r="7">
      <c r="A7" s="14" t="inlineStr">
        <is>
          <t>2026-10-16 09:15</t>
        </is>
      </c>
      <c r="B7" s="7" t="inlineStr">
        <is>
          <t>TECHM</t>
        </is>
      </c>
      <c r="C7" s="14" t="inlineStr">
        <is>
          <t>TECHM26OCT1620PE</t>
        </is>
      </c>
      <c r="D7" s="14" t="n">
        <v>600</v>
      </c>
      <c r="E7" s="23" t="n">
        <v>12.2</v>
      </c>
      <c r="F7" s="14" t="inlineStr">
        <is>
          <t>Open: missed 15:20, sold Mon 19 Oct</t>
        </is>
      </c>
      <c r="G7" s="23" t="n">
        <v>3.65</v>
      </c>
      <c r="H7" s="14" t="inlineStr">
        <is>
          <t>2026-10-16 11:21</t>
        </is>
      </c>
      <c r="I7" s="23" t="n">
        <v>12.2</v>
      </c>
      <c r="J7" s="14" t="inlineStr">
        <is>
          <t>2026-10-16 09:15</t>
        </is>
      </c>
      <c r="K7" s="10">
        <f>(I7/E7-1)*100</f>
        <v/>
      </c>
      <c r="L7" s="23" t="n">
        <v>3.35</v>
      </c>
      <c r="M7" s="14" t="inlineStr">
        <is>
          <t>2026-10-16 11:08</t>
        </is>
      </c>
      <c r="N7" s="10">
        <f>(L7/E7-1)*100</f>
        <v/>
      </c>
      <c r="O7" s="11">
        <f>(G7-E7)*D7</f>
        <v/>
      </c>
      <c r="P7" s="11" t="n">
        <v>-5184.71</v>
      </c>
      <c r="Q7" s="14" t="inlineStr">
        <is>
          <t>Excluded from the v10 review. Stale: server asleep after Fri 16 Oct 11:21</t>
        </is>
      </c>
    </row>
    <row r="8">
      <c r="A8" s="14" t="inlineStr">
        <is>
          <t>2026-10-16 09:15</t>
        </is>
      </c>
      <c r="B8" s="7" t="inlineStr">
        <is>
          <t>ANGELONE</t>
        </is>
      </c>
      <c r="C8" s="14" t="inlineStr">
        <is>
          <t>ANGELONE26OCT300PE</t>
        </is>
      </c>
      <c r="D8" s="14" t="n">
        <v>2500</v>
      </c>
      <c r="E8" s="23" t="n">
        <v>2.6</v>
      </c>
      <c r="F8" s="14" t="inlineStr">
        <is>
          <t>Open: missed 15:20, sold Mon 19 Oct</t>
        </is>
      </c>
      <c r="G8" s="23" t="n">
        <v>5.35</v>
      </c>
      <c r="H8" s="14" t="inlineStr">
        <is>
          <t>2026-10-16 11:21</t>
        </is>
      </c>
      <c r="I8" s="23" t="n">
        <v>6.7</v>
      </c>
      <c r="J8" s="14" t="inlineStr">
        <is>
          <t>2026-10-16 11:07</t>
        </is>
      </c>
      <c r="K8" s="10">
        <f>(I8/E8-1)*100</f>
        <v/>
      </c>
      <c r="L8" s="23" t="n">
        <v>2.6</v>
      </c>
      <c r="M8" s="14" t="inlineStr">
        <is>
          <t>2026-10-16 09:15</t>
        </is>
      </c>
      <c r="N8" s="10">
        <f>(L8/E8-1)*100</f>
        <v/>
      </c>
      <c r="O8" s="11">
        <f>(G8-E8)*D8</f>
        <v/>
      </c>
      <c r="P8" s="11" t="n">
        <v>6799.18</v>
      </c>
      <c r="Q8" s="14" t="inlineStr">
        <is>
          <t>Excluded from the v10 review. Stale: server asleep after Fri 16 Oct 11:21</t>
        </is>
      </c>
    </row>
    <row r="9">
      <c r="A9" s="14" t="inlineStr">
        <is>
          <t>2026-10-16 09:15</t>
        </is>
      </c>
      <c r="B9" s="7" t="inlineStr">
        <is>
          <t>JIOFIN</t>
        </is>
      </c>
      <c r="C9" s="14" t="inlineStr">
        <is>
          <t>JIOFIN26OCT220CE</t>
        </is>
      </c>
      <c r="D9" s="14" t="n">
        <v>2350</v>
      </c>
      <c r="E9" s="23" t="n">
        <v>3.03</v>
      </c>
      <c r="F9" s="14" t="inlineStr">
        <is>
          <t>Open: missed 15:20, sold Mon 19 Oct</t>
        </is>
      </c>
      <c r="G9" s="23" t="n">
        <v>2.76</v>
      </c>
      <c r="H9" s="14" t="inlineStr">
        <is>
          <t>2026-10-16 11:21</t>
        </is>
      </c>
      <c r="I9" s="23" t="n">
        <v>3.03</v>
      </c>
      <c r="J9" s="14" t="inlineStr">
        <is>
          <t>2026-10-16 09:15</t>
        </is>
      </c>
      <c r="K9" s="10">
        <f>(I9/E9-1)*100</f>
        <v/>
      </c>
      <c r="L9" s="23" t="n">
        <v>2.45</v>
      </c>
      <c r="M9" s="14" t="inlineStr">
        <is>
          <t>2026-10-16 09:19</t>
        </is>
      </c>
      <c r="N9" s="10">
        <f>(L9/E9-1)*100</f>
        <v/>
      </c>
      <c r="O9" s="11">
        <f>(G9-E9)*D9</f>
        <v/>
      </c>
      <c r="P9" s="11" t="n">
        <v>-697.37</v>
      </c>
      <c r="Q9" s="14" t="inlineStr">
        <is>
          <t>Excluded from the v10 review. Stale: server asleep after Fri 16 Oct 11:21</t>
        </is>
      </c>
    </row>
    <row r="10">
      <c r="A10" s="14" t="inlineStr">
        <is>
          <t>2026-10-16 09:15</t>
        </is>
      </c>
      <c r="B10" s="7" t="inlineStr">
        <is>
          <t>LTF</t>
        </is>
      </c>
      <c r="C10" s="14" t="inlineStr">
        <is>
          <t>LTF26OCT245PE</t>
        </is>
      </c>
      <c r="D10" s="14" t="n">
        <v>2250</v>
      </c>
      <c r="E10" s="23" t="n">
        <v>3.55</v>
      </c>
      <c r="F10" s="14" t="inlineStr">
        <is>
          <t>Open: missed 15:20, sold Mon 19 Oct</t>
        </is>
      </c>
      <c r="G10" s="23" t="n">
        <v>2.05</v>
      </c>
      <c r="H10" s="14" t="inlineStr">
        <is>
          <t>2026-10-16 11:21</t>
        </is>
      </c>
      <c r="I10" s="23" t="n">
        <v>4.95</v>
      </c>
      <c r="J10" s="14" t="inlineStr">
        <is>
          <t>2026-10-16 09:18</t>
        </is>
      </c>
      <c r="K10" s="10">
        <f>(I10/E10-1)*100</f>
        <v/>
      </c>
      <c r="L10" s="23" t="n">
        <v>1.9</v>
      </c>
      <c r="M10" s="14" t="inlineStr">
        <is>
          <t>2026-10-16 11:13</t>
        </is>
      </c>
      <c r="N10" s="10">
        <f>(L10/E10-1)*100</f>
        <v/>
      </c>
      <c r="O10" s="11">
        <f>(G10-E10)*D10</f>
        <v/>
      </c>
      <c r="P10" s="11" t="n">
        <v>-3434.66</v>
      </c>
      <c r="Q10" s="14" t="inlineStr">
        <is>
          <t>Excluded from the v10 review. Stale: server asleep after Fri 16 Oct 11:21</t>
        </is>
      </c>
    </row>
    <row r="12">
      <c r="A12" s="13" t="inlineStr">
        <is>
          <t>Total</t>
        </is>
      </c>
      <c r="O12" s="28">
        <f>SUM(O2:O10)</f>
        <v/>
      </c>
      <c r="P12" s="28">
        <f>SUM(P2:P10)</f>
        <v/>
      </c>
    </row>
    <row r="14">
      <c r="A14" s="2" t="inlineStr">
        <is>
          <t>Source: paper_ledger.json on the paper-state branch, last saved 2026-10-16 11:21 IST. Peak and dip are the highest and lowest traded prices the server saw since entry (live polls), not the whole day. Open marks are the best bid at that time.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30" customWidth="1" min="1" max="1"/>
  </cols>
  <sheetData>
    <row r="1">
      <c r="A1" s="29" t="inlineStr">
        <is>
          <t>The rule (S1 v10, strategies/S1_v10_results_day_fade_paper.md)</t>
        </is>
      </c>
    </row>
    <row r="2">
      <c r="A2" s="30" t="inlineStr">
        <is>
          <t>Signal: a results filing; day 0 = the first full session after it. Strong = net profit YoY &gt; +10 %, QoQ &gt; 0, revenue YoY &gt; 0 -&gt; buy a put. Weak = net profit YoY &lt; -10 %, QoQ &lt; 0 -&gt; buy a call. Anything else: no trade.</t>
        </is>
      </c>
    </row>
    <row r="3">
      <c r="A3" s="30" t="inlineStr">
        <is>
          <t>Trade: 1 lot, current monthly expiry (next one if fewer than 2 sessions are left), from the strike nearest the previous close walking away from the money to the first liquid strike with a lot at Rs 600-8,000 and a premium of at least Rs 2.</t>
        </is>
      </c>
    </row>
    <row r="4">
      <c r="A4" s="30" t="inlineStr">
        <is>
          <t>Exit: strictly the same day. Live: the first poll from 15:20 at the best bid. Backtest: day 0's close minus one tick. No stop, no overnight hold.</t>
        </is>
      </c>
    </row>
    <row r="5">
      <c r="A5" s="30" t="inlineStr"/>
    </row>
    <row r="6">
      <c r="A6" s="29" t="inlineStr">
        <is>
          <t>How to read the backtest sheet</t>
        </is>
      </c>
    </row>
    <row r="7">
      <c r="A7" s="30" t="inlineStr">
        <is>
          <t>MAX PEAK = the option's highest price of the day against the entry price; MAX DIP = its lowest price of the day. Rs columns are per lot (price difference x lot size), before charges. They show what the day offered in hindsight, not what the rule earns.</t>
        </is>
      </c>
    </row>
    <row r="8">
      <c r="A8" s="30" t="inlineStr">
        <is>
          <t>The day's high and low come from the NSE bhavcopy. The order within the day is unknown: the dip may have come before the peak.</t>
        </is>
      </c>
    </row>
    <row r="9">
      <c r="A9" s="30" t="inlineStr">
        <is>
          <t>Net P&amp;L is after charges (server/charges.py, post-April-2026) and slippage by company size (large 1 %, mid 2 %, small 3 % per side). Net P&amp;L Rs is a value from the backtest; everything else that is calculated is a formula.</t>
        </is>
      </c>
    </row>
    <row r="10">
      <c r="A10" s="30" t="inlineStr">
        <is>
          <t>Entry is the option's day-0 open plus one tick. The live system buys at the ask at the first poll that fits, minutes after 09:15, later and dearer.</t>
        </is>
      </c>
    </row>
    <row r="11">
      <c r="A11" s="30" t="inlineStr">
        <is>
          <t>With entry at the day's average price plus one tick instead, the same-day exit is negative (-14.9 % mean, t -12.8): the result depends on the entry price.</t>
        </is>
      </c>
    </row>
    <row r="12">
      <c r="A12" s="30" t="inlineStr">
        <is>
          <t>Liquidity test: live needs a two-sided quote and a spread of 10 % or less; history has no order book, so it is 50 or more contracts on day 0.</t>
        </is>
      </c>
    </row>
    <row r="13">
      <c r="A13" s="30" t="inlineStr">
        <is>
          <t>Descriptive only. Not out of sample: 2025-26 is the holdout S1 v8 already used and the window where the fade pattern was seen (S1 v9).</t>
        </is>
      </c>
    </row>
    <row r="14">
      <c r="A14" s="30" t="inlineStr">
        <is>
          <t>The live paper trades are the only fresh evidence; the S1 v10 review is at 30 closed trades or 6 weeks.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2026-10-17T17:18:44Z</dcterms:created>
  <dcterms:modified xsi:type="dcterms:W3CDTF">2026-10-17T17:18:45Z</dcterms:modified>
</cp:coreProperties>
</file>