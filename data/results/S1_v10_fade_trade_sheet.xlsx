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test trades" sheetId="2" state="visible" r:id="rId2"/>
    <sheet name="Live paper fade" sheetId="3" state="visible" r:id="rId3"/>
    <sheet name="Rule and notes" sheetId="4" state="visible" r:id="rId4"/>
  </sheets>
  <definedNames>
    <definedName name="_xlnm._FilterDatabase" localSheetId="1" hidden="1">'Backtest trades'!$A$1:$R$435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,##0;[Red]-#,##0"/>
    <numFmt numFmtId="166" formatCode="0.0;[Red]-0.0"/>
    <numFmt numFmtId="167" formatCode="0.00;[Red]-0.00"/>
    <numFmt numFmtId="168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3" fontId="2" fillId="0" borderId="0" pivotButton="0" quotePrefix="0" xfId="0"/>
    <xf numFmtId="168" fontId="2" fillId="0" borderId="0" pivotButton="0" quotePrefix="0" xfId="0"/>
    <xf numFmtId="166" fontId="2" fillId="0" borderId="0" pivotButton="0" quotePrefix="0" xfId="0"/>
    <xf numFmtId="165" fontId="2" fillId="0" borderId="0" pivotButton="0" quotePrefix="0" xfId="0"/>
    <xf numFmtId="167" fontId="2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2" fontId="2" fillId="0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6" customWidth="1" min="4" max="4"/>
    <col width="17" customWidth="1" min="5" max="5"/>
    <col width="14" customWidth="1" min="6" max="6"/>
    <col width="22" customWidth="1" min="7" max="7"/>
  </cols>
  <sheetData>
    <row r="1">
      <c r="A1" s="1" t="inlineStr">
        <is>
          <t>S1 v10 fade: same-day exit, trade sheet</t>
        </is>
      </c>
    </row>
    <row r="2">
      <c r="A2" s="2" t="inlineStr">
        <is>
          <t>Results-day fade: strong numbers -&gt; a bought put, weak numbers -&gt; a bought call, 1 lot Rs 600-8,000, bought on day 0 and sold at the close the same day. Backtest 2025-01-01 to 2026-09-25, entry at day 0's open + 1 tick.</t>
        </is>
      </c>
    </row>
    <row r="3">
      <c r="A3" s="2" t="inlineStr">
        <is>
          <t>Descriptive only, not out of sample (see 'Rule and notes'). All figures below are formulas on the 'Backtest trades' sheet.</t>
        </is>
      </c>
    </row>
    <row r="5" ht="45" customHeight="1">
      <c r="A5" s="3" t="inlineStr">
        <is>
          <t>Group</t>
        </is>
      </c>
      <c r="B5" s="3" t="inlineStr">
        <is>
          <t>Trades</t>
        </is>
      </c>
      <c r="C5" s="3" t="inlineStr">
        <is>
          <t>Hit rate</t>
        </is>
      </c>
      <c r="D5" s="3" t="inlineStr">
        <is>
          <t>Mean net % of premium</t>
        </is>
      </c>
      <c r="E5" s="3" t="inlineStr">
        <is>
          <t>Total net P&amp;L Rs</t>
        </is>
      </c>
      <c r="F5" s="3" t="inlineStr">
        <is>
          <t>Avg premium Rs</t>
        </is>
      </c>
      <c r="G5" s="3" t="inlineStr">
        <is>
          <t>Stock open to close, signed % (mean)</t>
        </is>
      </c>
    </row>
    <row r="6">
      <c r="A6" s="4" t="inlineStr">
        <is>
          <t>All trades</t>
        </is>
      </c>
      <c r="B6" s="5">
        <f>COUNT('Backtest trades'!$O$2:$O$435)</f>
        <v/>
      </c>
      <c r="C6" s="6">
        <f>COUNTIF('Backtest trades'!$O$2:$O$435,"&gt;0")/B6</f>
        <v/>
      </c>
      <c r="D6" s="7">
        <f>AVERAGE('Backtest trades'!$P$2:$P$435)</f>
        <v/>
      </c>
      <c r="E6" s="8">
        <f>SUM('Backtest trades'!$O$2:$O$435)</f>
        <v/>
      </c>
      <c r="F6" s="5">
        <f>AVERAGE('Backtest trades'!$M$2:$M$435)</f>
        <v/>
      </c>
      <c r="G6" s="9">
        <f>AVERAGE('Backtest trades'!$Q$2:$Q$435)</f>
        <v/>
      </c>
    </row>
    <row r="7">
      <c r="A7" s="4" t="inlineStr">
        <is>
          <t>Puts (strong numbers)</t>
        </is>
      </c>
      <c r="B7" s="5">
        <f>COUNTIF('Backtest trades'!$C$2:$C$435,"PE")</f>
        <v/>
      </c>
      <c r="C7" s="6">
        <f>COUNTIFS('Backtest trades'!$C$2:$C$435,"PE",'Backtest trades'!$O$2:$O$435,"&gt;0")/B7</f>
        <v/>
      </c>
      <c r="D7" s="7">
        <f>AVERAGEIFS('Backtest trades'!$P$2:$P$435,'Backtest trades'!$C$2:$C$435,"PE")</f>
        <v/>
      </c>
      <c r="E7" s="8">
        <f>SUMIFS('Backtest trades'!$O$2:$O$435,'Backtest trades'!$C$2:$C$435,"PE")</f>
        <v/>
      </c>
      <c r="F7" s="5">
        <f>AVERAGEIFS('Backtest trades'!$M$2:$M$435,'Backtest trades'!$C$2:$C$435,"PE")</f>
        <v/>
      </c>
      <c r="G7" s="9">
        <f>AVERAGEIFS('Backtest trades'!$Q$2:$Q$435,'Backtest trades'!$C$2:$C$435,"PE")</f>
        <v/>
      </c>
    </row>
    <row r="8">
      <c r="A8" s="4" t="inlineStr">
        <is>
          <t>Calls (weak numbers)</t>
        </is>
      </c>
      <c r="B8" s="5">
        <f>COUNTIF('Backtest trades'!$C$2:$C$435,"CE")</f>
        <v/>
      </c>
      <c r="C8" s="6">
        <f>COUNTIFS('Backtest trades'!$C$2:$C$435,"CE",'Backtest trades'!$O$2:$O$435,"&gt;0")/B8</f>
        <v/>
      </c>
      <c r="D8" s="7">
        <f>AVERAGEIFS('Backtest trades'!$P$2:$P$435,'Backtest trades'!$C$2:$C$435,"CE")</f>
        <v/>
      </c>
      <c r="E8" s="8">
        <f>SUMIFS('Backtest trades'!$O$2:$O$435,'Backtest trades'!$C$2:$C$435,"CE")</f>
        <v/>
      </c>
      <c r="F8" s="5">
        <f>AVERAGEIFS('Backtest trades'!$M$2:$M$435,'Backtest trades'!$C$2:$C$435,"CE")</f>
        <v/>
      </c>
      <c r="G8" s="9">
        <f>AVERAGEIFS('Backtest trades'!$Q$2:$Q$435,'Backtest trades'!$C$2:$C$435,"CE")</f>
        <v/>
      </c>
    </row>
    <row r="10">
      <c r="A10" s="4" t="inlineStr">
        <is>
          <t>By period (day 0)</t>
        </is>
      </c>
    </row>
    <row r="11">
      <c r="A11" s="10" t="inlineStr">
        <is>
          <t>Period</t>
        </is>
      </c>
      <c r="B11" s="10" t="inlineStr">
        <is>
          <t>Trades</t>
        </is>
      </c>
      <c r="C11" s="10" t="inlineStr">
        <is>
          <t>Hit rate</t>
        </is>
      </c>
      <c r="D11" s="10" t="inlineStr">
        <is>
          <t>Mean net % of premium</t>
        </is>
      </c>
      <c r="E11" s="10" t="inlineStr">
        <is>
          <t>Total net P&amp;L Rs</t>
        </is>
      </c>
    </row>
    <row r="12">
      <c r="A12" s="11" t="inlineStr">
        <is>
          <t>2025_H1</t>
        </is>
      </c>
      <c r="B12" s="5">
        <f>COUNTIF('Backtest trades'!$R$2:$R$435,A12)</f>
        <v/>
      </c>
      <c r="C12" s="6">
        <f>COUNTIFS('Backtest trades'!$R$2:$R$435,A12,'Backtest trades'!$O$2:$O$435,"&gt;0")/B12</f>
        <v/>
      </c>
      <c r="D12" s="7">
        <f>AVERAGEIFS('Backtest trades'!$P$2:$P$435,'Backtest trades'!$R$2:$R$435,A12)</f>
        <v/>
      </c>
      <c r="E12" s="8">
        <f>SUMIFS('Backtest trades'!$O$2:$O$435,'Backtest trades'!$R$2:$R$435,A12)</f>
        <v/>
      </c>
    </row>
    <row r="13">
      <c r="A13" s="11" t="inlineStr">
        <is>
          <t>2025_H2</t>
        </is>
      </c>
      <c r="B13" s="5">
        <f>COUNTIF('Backtest trades'!$R$2:$R$435,A13)</f>
        <v/>
      </c>
      <c r="C13" s="6">
        <f>COUNTIFS('Backtest trades'!$R$2:$R$435,A13,'Backtest trades'!$O$2:$O$435,"&gt;0")/B13</f>
        <v/>
      </c>
      <c r="D13" s="7">
        <f>AVERAGEIFS('Backtest trades'!$P$2:$P$435,'Backtest trades'!$R$2:$R$435,A13)</f>
        <v/>
      </c>
      <c r="E13" s="8">
        <f>SUMIFS('Backtest trades'!$O$2:$O$435,'Backtest trades'!$R$2:$R$435,A13)</f>
        <v/>
      </c>
    </row>
    <row r="14">
      <c r="A14" s="11" t="inlineStr">
        <is>
          <t>2026_H1</t>
        </is>
      </c>
      <c r="B14" s="5">
        <f>COUNTIF('Backtest trades'!$R$2:$R$435,A14)</f>
        <v/>
      </c>
      <c r="C14" s="6">
        <f>COUNTIFS('Backtest trades'!$R$2:$R$435,A14,'Backtest trades'!$O$2:$O$435,"&gt;0")/B14</f>
        <v/>
      </c>
      <c r="D14" s="7">
        <f>AVERAGEIFS('Backtest trades'!$P$2:$P$435,'Backtest trades'!$R$2:$R$435,A14)</f>
        <v/>
      </c>
      <c r="E14" s="8">
        <f>SUMIFS('Backtest trades'!$O$2:$O$435,'Backtest trades'!$R$2:$R$435,A14)</f>
        <v/>
      </c>
    </row>
    <row r="15">
      <c r="A15" s="11" t="inlineStr">
        <is>
          <t>2026_Q3</t>
        </is>
      </c>
      <c r="B15" s="5">
        <f>COUNTIF('Backtest trades'!$R$2:$R$435,A15)</f>
        <v/>
      </c>
      <c r="C15" s="6">
        <f>COUNTIFS('Backtest trades'!$R$2:$R$435,A15,'Backtest trades'!$O$2:$O$435,"&gt;0")/B15</f>
        <v/>
      </c>
      <c r="D15" s="7">
        <f>AVERAGEIFS('Backtest trades'!$P$2:$P$435,'Backtest trades'!$R$2:$R$435,A15)</f>
        <v/>
      </c>
      <c r="E15" s="8">
        <f>SUMIFS('Backtest trades'!$O$2:$O$435,'Backtest trades'!$R$2:$R$435,A15)</f>
        <v/>
      </c>
    </row>
    <row r="17">
      <c r="A17" s="2" t="inlineStr">
        <is>
          <t>Check against the report: 434 trades here have a valid same-day exit; the report's headline uses the 433 valid under both exits, so its figures differ in the last digit (data/results/S1_v10_backtest_report.md).</t>
        </is>
      </c>
    </row>
    <row r="20">
      <c r="A20" s="4" t="inlineStr">
        <is>
          <t>Plain-number copy of the table above (for viewers that do not calculate formulas)</t>
        </is>
      </c>
    </row>
    <row r="21">
      <c r="A21" s="10" t="inlineStr">
        <is>
          <t>Group</t>
        </is>
      </c>
      <c r="B21" s="10" t="inlineStr">
        <is>
          <t>Trades</t>
        </is>
      </c>
      <c r="C21" s="10" t="inlineStr">
        <is>
          <t>Hit rate</t>
        </is>
      </c>
      <c r="D21" s="10" t="inlineStr">
        <is>
          <t>Mean net % of premium</t>
        </is>
      </c>
      <c r="E21" s="10" t="inlineStr">
        <is>
          <t>Total net P&amp;L Rs</t>
        </is>
      </c>
    </row>
    <row r="22">
      <c r="A22" s="11" t="inlineStr">
        <is>
          <t>All trades</t>
        </is>
      </c>
      <c r="B22" s="11" t="n">
        <v>434</v>
      </c>
      <c r="C22" s="6" t="n">
        <v>0.4009</v>
      </c>
      <c r="D22" s="7" t="n">
        <v>5.63</v>
      </c>
      <c r="E22" s="8" t="n">
        <v>126164</v>
      </c>
    </row>
    <row r="23">
      <c r="A23" s="11" t="inlineStr">
        <is>
          <t>Puts (strong numbers)</t>
        </is>
      </c>
      <c r="B23" s="11" t="n">
        <v>322</v>
      </c>
      <c r="C23" s="6" t="n">
        <v>0.4068</v>
      </c>
      <c r="D23" s="7" t="n">
        <v>7.06</v>
      </c>
      <c r="E23" s="8" t="n">
        <v>126231</v>
      </c>
    </row>
    <row r="24">
      <c r="A24" s="11" t="inlineStr">
        <is>
          <t>Calls (weak numbers)</t>
        </is>
      </c>
      <c r="B24" s="11" t="n">
        <v>112</v>
      </c>
      <c r="C24" s="6" t="n">
        <v>0.3839</v>
      </c>
      <c r="D24" s="7" t="n">
        <v>1.55</v>
      </c>
      <c r="E24" s="8" t="n">
        <v>-68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6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  <col width="8" customWidth="1" min="10" max="10"/>
    <col width="13" customWidth="1" min="11" max="11"/>
    <col width="15" customWidth="1" min="12" max="12"/>
    <col width="12" customWidth="1" min="13" max="13"/>
    <col width="12" customWidth="1" min="14" max="14"/>
    <col width="17" customWidth="1" min="15" max="15"/>
    <col width="11" customWidth="1" min="16" max="16"/>
    <col width="14" customWidth="1" min="17" max="17"/>
    <col width="9" customWidth="1" min="18" max="18"/>
  </cols>
  <sheetData>
    <row r="1" ht="45" customHeight="1">
      <c r="A1" s="3" t="inlineStr">
        <is>
          <t>Day 0</t>
        </is>
      </c>
      <c r="B1" s="3" t="inlineStr">
        <is>
          <t>Symbol</t>
        </is>
      </c>
      <c r="C1" s="3" t="inlineStr">
        <is>
          <t>Side</t>
        </is>
      </c>
      <c r="D1" s="3" t="inlineStr">
        <is>
          <t>AMFI</t>
        </is>
      </c>
      <c r="E1" s="3" t="inlineStr">
        <is>
          <t>Net profit YoY %</t>
        </is>
      </c>
      <c r="F1" s="3" t="inlineStr">
        <is>
          <t>Net profit QoQ %</t>
        </is>
      </c>
      <c r="G1" s="3" t="inlineStr">
        <is>
          <t>Revenue YoY %</t>
        </is>
      </c>
      <c r="H1" s="3" t="inlineStr">
        <is>
          <t>Expiry</t>
        </is>
      </c>
      <c r="I1" s="3" t="inlineStr">
        <is>
          <t>Strike</t>
        </is>
      </c>
      <c r="J1" s="3" t="inlineStr">
        <is>
          <t>Lot</t>
        </is>
      </c>
      <c r="K1" s="3" t="inlineStr">
        <is>
          <t>Entry price (open + 1 tick)</t>
        </is>
      </c>
      <c r="L1" s="3" t="inlineStr">
        <is>
          <t>Same-day exit price (close - 1 tick)</t>
        </is>
      </c>
      <c r="M1" s="3" t="inlineStr">
        <is>
          <t>Premium paid Rs</t>
        </is>
      </c>
      <c r="N1" s="3" t="inlineStr">
        <is>
          <t>Gross P&amp;L Rs</t>
        </is>
      </c>
      <c r="O1" s="3" t="inlineStr">
        <is>
          <t>Net P&amp;L Rs (after charges and slippage)</t>
        </is>
      </c>
      <c r="P1" s="3" t="inlineStr">
        <is>
          <t>Net % of premium</t>
        </is>
      </c>
      <c r="Q1" s="3" t="inlineStr">
        <is>
          <t>Stock open to close, signed %</t>
        </is>
      </c>
      <c r="R1" s="3" t="inlineStr">
        <is>
          <t>Period</t>
        </is>
      </c>
    </row>
    <row r="2">
      <c r="A2" s="11" t="inlineStr">
        <is>
          <t>2025-01-10</t>
        </is>
      </c>
      <c r="B2" s="11" t="inlineStr">
        <is>
          <t>TCS</t>
        </is>
      </c>
      <c r="C2" s="11" t="inlineStr">
        <is>
          <t>PE</t>
        </is>
      </c>
      <c r="D2" s="11" t="inlineStr">
        <is>
          <t>large</t>
        </is>
      </c>
      <c r="E2" s="12" t="n">
        <v>12.1</v>
      </c>
      <c r="F2" s="12" t="n">
        <v>4.1</v>
      </c>
      <c r="G2" s="12" t="n">
        <v>5.6</v>
      </c>
      <c r="H2" s="11" t="inlineStr">
        <is>
          <t>2025-01-30</t>
        </is>
      </c>
      <c r="I2" s="13" t="n">
        <v>4050</v>
      </c>
      <c r="J2" s="5" t="n">
        <v>175</v>
      </c>
      <c r="K2" s="14" t="n">
        <v>45.05</v>
      </c>
      <c r="L2" s="14" t="n">
        <v>25.2</v>
      </c>
      <c r="M2" s="5">
        <f>K2*J2</f>
        <v/>
      </c>
      <c r="N2" s="8">
        <f>(L2-K2)*J2</f>
        <v/>
      </c>
      <c r="O2" s="8" t="n">
        <v>-3655.92</v>
      </c>
      <c r="P2" s="7">
        <f>O2/M2*100</f>
        <v/>
      </c>
      <c r="Q2" s="9" t="n">
        <v>-1.563</v>
      </c>
      <c r="R2" s="11" t="inlineStr">
        <is>
          <t>2025_H1</t>
        </is>
      </c>
    </row>
    <row r="3">
      <c r="A3" s="11" t="inlineStr">
        <is>
          <t>2025-01-15</t>
        </is>
      </c>
      <c r="B3" s="11" t="inlineStr">
        <is>
          <t>HDFCAMC</t>
        </is>
      </c>
      <c r="C3" s="11" t="inlineStr">
        <is>
          <t>PE</t>
        </is>
      </c>
      <c r="D3" s="11" t="inlineStr">
        <is>
          <t>mid</t>
        </is>
      </c>
      <c r="E3" s="12" t="n">
        <v>31.4</v>
      </c>
      <c r="F3" s="12" t="n">
        <v>11.2</v>
      </c>
      <c r="G3" s="12" t="n">
        <v>39.2</v>
      </c>
      <c r="H3" s="11" t="inlineStr">
        <is>
          <t>2025-01-30</t>
        </is>
      </c>
      <c r="I3" s="13" t="n">
        <v>3750</v>
      </c>
      <c r="J3" s="5" t="n">
        <v>150</v>
      </c>
      <c r="K3" s="14" t="n">
        <v>50.05</v>
      </c>
      <c r="L3" s="14" t="n">
        <v>15.5</v>
      </c>
      <c r="M3" s="5">
        <f>K3*J3</f>
        <v/>
      </c>
      <c r="N3" s="8">
        <f>(L3-K3)*J3</f>
        <v/>
      </c>
      <c r="O3" s="8" t="n">
        <v>-5434.21</v>
      </c>
      <c r="P3" s="7">
        <f>O3/M3*100</f>
        <v/>
      </c>
      <c r="Q3" s="9" t="n">
        <v>-3.734</v>
      </c>
      <c r="R3" s="11" t="inlineStr">
        <is>
          <t>2025_H1</t>
        </is>
      </c>
    </row>
    <row r="4">
      <c r="A4" s="11" t="inlineStr">
        <is>
          <t>2025-01-16</t>
        </is>
      </c>
      <c r="B4" s="11" t="inlineStr">
        <is>
          <t>OFSS</t>
        </is>
      </c>
      <c r="C4" s="11" t="inlineStr">
        <is>
          <t>CE</t>
        </is>
      </c>
      <c r="D4" s="11" t="inlineStr">
        <is>
          <t>mid</t>
        </is>
      </c>
      <c r="E4" s="12" t="n">
        <v>-26.9</v>
      </c>
      <c r="F4" s="12" t="n">
        <v>-6.3</v>
      </c>
      <c r="G4" s="12" t="n">
        <v>-5.9</v>
      </c>
      <c r="H4" s="11" t="inlineStr">
        <is>
          <t>2025-01-30</t>
        </is>
      </c>
      <c r="I4" s="13" t="n">
        <v>11000</v>
      </c>
      <c r="J4" s="5" t="n">
        <v>50</v>
      </c>
      <c r="K4" s="14" t="n">
        <v>101.05</v>
      </c>
      <c r="L4" s="14" t="n">
        <v>89.5</v>
      </c>
      <c r="M4" s="5">
        <f>K4*J4</f>
        <v/>
      </c>
      <c r="N4" s="8">
        <f>(L4-K4)*J4</f>
        <v/>
      </c>
      <c r="O4" s="8" t="n">
        <v>-826.12</v>
      </c>
      <c r="P4" s="7">
        <f>O4/M4*100</f>
        <v/>
      </c>
      <c r="Q4" s="9" t="n">
        <v>1.899</v>
      </c>
      <c r="R4" s="11" t="inlineStr">
        <is>
          <t>2025_H1</t>
        </is>
      </c>
    </row>
    <row r="5">
      <c r="A5" s="11" t="inlineStr">
        <is>
          <t>2025-01-17</t>
        </is>
      </c>
      <c r="B5" s="11" t="inlineStr">
        <is>
          <t>INFY</t>
        </is>
      </c>
      <c r="C5" s="11" t="inlineStr">
        <is>
          <t>PE</t>
        </is>
      </c>
      <c r="D5" s="11" t="inlineStr">
        <is>
          <t>large</t>
        </is>
      </c>
      <c r="E5" s="12" t="n">
        <v>11.6</v>
      </c>
      <c r="F5" s="12" t="n">
        <v>4.7</v>
      </c>
      <c r="G5" s="12" t="n">
        <v>7.6</v>
      </c>
      <c r="H5" s="11" t="inlineStr">
        <is>
          <t>2025-01-30</t>
        </is>
      </c>
      <c r="I5" s="13" t="n">
        <v>1780</v>
      </c>
      <c r="J5" s="5" t="n">
        <v>400</v>
      </c>
      <c r="K5" s="14" t="n">
        <v>15.05</v>
      </c>
      <c r="L5" s="14" t="n">
        <v>19.3</v>
      </c>
      <c r="M5" s="5">
        <f>K5*J5</f>
        <v/>
      </c>
      <c r="N5" s="8">
        <f>(L5-K5)*J5</f>
        <v/>
      </c>
      <c r="O5" s="8" t="n">
        <v>1497.85</v>
      </c>
      <c r="P5" s="7">
        <f>O5/M5*100</f>
        <v/>
      </c>
      <c r="Q5" s="9" t="n">
        <v>1.921</v>
      </c>
      <c r="R5" s="11" t="inlineStr">
        <is>
          <t>2025_H1</t>
        </is>
      </c>
    </row>
    <row r="6">
      <c r="A6" s="11" t="inlineStr">
        <is>
          <t>2025-01-17</t>
        </is>
      </c>
      <c r="B6" s="11" t="inlineStr">
        <is>
          <t>RELIANCE</t>
        </is>
      </c>
      <c r="C6" s="11" t="inlineStr">
        <is>
          <t>PE</t>
        </is>
      </c>
      <c r="D6" s="11" t="inlineStr">
        <is>
          <t>large</t>
        </is>
      </c>
      <c r="E6" s="12" t="n">
        <v>11.7</v>
      </c>
      <c r="F6" s="12" t="n">
        <v>13.5</v>
      </c>
      <c r="G6" s="12" t="n">
        <v>7</v>
      </c>
      <c r="H6" s="11" t="inlineStr">
        <is>
          <t>2025-01-30</t>
        </is>
      </c>
      <c r="I6" s="13" t="n">
        <v>1270</v>
      </c>
      <c r="J6" s="5" t="n">
        <v>500</v>
      </c>
      <c r="K6" s="14" t="n">
        <v>10.05</v>
      </c>
      <c r="L6" s="14" t="n">
        <v>7</v>
      </c>
      <c r="M6" s="5">
        <f>K6*J6</f>
        <v/>
      </c>
      <c r="N6" s="8">
        <f>(L6-K6)*J6</f>
        <v/>
      </c>
      <c r="O6" s="8" t="n">
        <v>-1666.43</v>
      </c>
      <c r="P6" s="7">
        <f>O6/M6*100</f>
        <v/>
      </c>
      <c r="Q6" s="9" t="n">
        <v>1.505</v>
      </c>
      <c r="R6" s="11" t="inlineStr">
        <is>
          <t>2025_H1</t>
        </is>
      </c>
    </row>
    <row r="7">
      <c r="A7" s="11" t="inlineStr">
        <is>
          <t>2025-01-20</t>
        </is>
      </c>
      <c r="B7" s="11" t="inlineStr">
        <is>
          <t>INDHOTEL</t>
        </is>
      </c>
      <c r="C7" s="11" t="inlineStr">
        <is>
          <t>PE</t>
        </is>
      </c>
      <c r="D7" s="11" t="inlineStr">
        <is>
          <t>mid</t>
        </is>
      </c>
      <c r="E7" s="12" t="n">
        <v>32.6</v>
      </c>
      <c r="F7" s="12" t="n">
        <v>8.5</v>
      </c>
      <c r="G7" s="12" t="n">
        <v>29</v>
      </c>
      <c r="H7" s="11" t="inlineStr">
        <is>
          <t>2025-01-30</t>
        </is>
      </c>
      <c r="I7" s="13" t="n">
        <v>780</v>
      </c>
      <c r="J7" s="5" t="n">
        <v>1000</v>
      </c>
      <c r="K7" s="14" t="n">
        <v>6.05</v>
      </c>
      <c r="L7" s="14" t="n">
        <v>9.1</v>
      </c>
      <c r="M7" s="5">
        <f>K7*J7</f>
        <v/>
      </c>
      <c r="N7" s="8">
        <f>(L7-K7)*J7</f>
        <v/>
      </c>
      <c r="O7" s="8" t="n">
        <v>2679.6</v>
      </c>
      <c r="P7" s="7">
        <f>O7/M7*100</f>
        <v/>
      </c>
      <c r="Q7" s="9" t="n">
        <v>4.071</v>
      </c>
      <c r="R7" s="11" t="inlineStr">
        <is>
          <t>2025_H1</t>
        </is>
      </c>
    </row>
    <row r="8">
      <c r="A8" s="11" t="inlineStr">
        <is>
          <t>2025-01-20</t>
        </is>
      </c>
      <c r="B8" s="11" t="inlineStr">
        <is>
          <t>WIPRO</t>
        </is>
      </c>
      <c r="C8" s="11" t="inlineStr">
        <is>
          <t>PE</t>
        </is>
      </c>
      <c r="D8" s="11" t="inlineStr">
        <is>
          <t>large</t>
        </is>
      </c>
      <c r="E8" s="12" t="n">
        <v>24.7</v>
      </c>
      <c r="F8" s="12" t="n">
        <v>4.3</v>
      </c>
      <c r="G8" s="12" t="n">
        <v>0.5</v>
      </c>
      <c r="H8" s="11" t="inlineStr">
        <is>
          <t>2025-01-30</t>
        </is>
      </c>
      <c r="I8" s="13" t="n">
        <v>282.5</v>
      </c>
      <c r="J8" s="5" t="n">
        <v>3000</v>
      </c>
      <c r="K8" s="14" t="n">
        <v>2.05</v>
      </c>
      <c r="L8" s="14" t="n">
        <v>0.9</v>
      </c>
      <c r="M8" s="5">
        <f>K8*J8</f>
        <v/>
      </c>
      <c r="N8" s="8">
        <f>(L8-K8)*J8</f>
        <v/>
      </c>
      <c r="O8" s="8" t="n">
        <v>-3593.65</v>
      </c>
      <c r="P8" s="7">
        <f>O8/M8*100</f>
        <v/>
      </c>
      <c r="Q8" s="9" t="n">
        <v>0.579</v>
      </c>
      <c r="R8" s="11" t="inlineStr">
        <is>
          <t>2025_H1</t>
        </is>
      </c>
    </row>
    <row r="9">
      <c r="A9" s="11" t="inlineStr">
        <is>
          <t>2025-01-21</t>
        </is>
      </c>
      <c r="B9" s="11" t="inlineStr">
        <is>
          <t>APLAPOLLO</t>
        </is>
      </c>
      <c r="C9" s="11" t="inlineStr">
        <is>
          <t>PE</t>
        </is>
      </c>
      <c r="D9" s="11" t="inlineStr">
        <is>
          <t>mid</t>
        </is>
      </c>
      <c r="E9" s="12" t="n">
        <v>31.1</v>
      </c>
      <c r="F9" s="12" t="n">
        <v>303.2</v>
      </c>
      <c r="G9" s="12" t="n">
        <v>30</v>
      </c>
      <c r="H9" s="11" t="inlineStr">
        <is>
          <t>2025-01-30</t>
        </is>
      </c>
      <c r="I9" s="13" t="n">
        <v>1560</v>
      </c>
      <c r="J9" s="5" t="n">
        <v>350</v>
      </c>
      <c r="K9" s="14" t="n">
        <v>20.35</v>
      </c>
      <c r="L9" s="14" t="n">
        <v>19.85</v>
      </c>
      <c r="M9" s="5">
        <f>K9*J9</f>
        <v/>
      </c>
      <c r="N9" s="8">
        <f>(L9-K9)*J9</f>
        <v/>
      </c>
      <c r="O9" s="8" t="n">
        <v>-520.16</v>
      </c>
      <c r="P9" s="7">
        <f>O9/M9*100</f>
        <v/>
      </c>
      <c r="Q9" s="9" t="n">
        <v>2.068</v>
      </c>
      <c r="R9" s="11" t="inlineStr">
        <is>
          <t>2025_H1</t>
        </is>
      </c>
    </row>
    <row r="10">
      <c r="A10" s="11" t="inlineStr">
        <is>
          <t>2025-01-21</t>
        </is>
      </c>
      <c r="B10" s="11" t="inlineStr">
        <is>
          <t>OBEROIRLTY</t>
        </is>
      </c>
      <c r="C10" s="11" t="inlineStr">
        <is>
          <t>PE</t>
        </is>
      </c>
      <c r="D10" s="11" t="inlineStr">
        <is>
          <t>mid</t>
        </is>
      </c>
      <c r="E10" s="12" t="n">
        <v>71.7</v>
      </c>
      <c r="F10" s="12" t="n">
        <v>4.9</v>
      </c>
      <c r="G10" s="12" t="n">
        <v>33.9</v>
      </c>
      <c r="H10" s="11" t="inlineStr">
        <is>
          <t>2025-01-30</t>
        </is>
      </c>
      <c r="I10" s="13" t="n">
        <v>1900</v>
      </c>
      <c r="J10" s="5" t="n">
        <v>350</v>
      </c>
      <c r="K10" s="14" t="n">
        <v>22.05</v>
      </c>
      <c r="L10" s="14" t="n">
        <v>89</v>
      </c>
      <c r="M10" s="5">
        <f>K10*J10</f>
        <v/>
      </c>
      <c r="N10" s="8">
        <f>(L10-K10)*J10</f>
        <v/>
      </c>
      <c r="O10" s="8" t="n">
        <v>22544.65</v>
      </c>
      <c r="P10" s="7">
        <f>O10/M10*100</f>
        <v/>
      </c>
      <c r="Q10" s="9" t="n">
        <v>7.61</v>
      </c>
      <c r="R10" s="11" t="inlineStr">
        <is>
          <t>2025_H1</t>
        </is>
      </c>
    </row>
    <row r="11">
      <c r="A11" s="11" t="inlineStr">
        <is>
          <t>2025-01-21</t>
        </is>
      </c>
      <c r="B11" s="11" t="inlineStr">
        <is>
          <t>SUPREMEIND</t>
        </is>
      </c>
      <c r="C11" s="11" t="inlineStr">
        <is>
          <t>CE</t>
        </is>
      </c>
      <c r="D11" s="11" t="inlineStr">
        <is>
          <t>mid</t>
        </is>
      </c>
      <c r="E11" s="12" t="n">
        <v>-27</v>
      </c>
      <c r="F11" s="12" t="n">
        <v>-9.5</v>
      </c>
      <c r="G11" s="12" t="n">
        <v>2.5</v>
      </c>
      <c r="H11" s="11" t="inlineStr">
        <is>
          <t>2025-01-30</t>
        </is>
      </c>
      <c r="I11" s="13" t="n">
        <v>4200</v>
      </c>
      <c r="J11" s="5" t="n">
        <v>125</v>
      </c>
      <c r="K11" s="14" t="n">
        <v>58.05</v>
      </c>
      <c r="L11" s="14" t="n">
        <v>28</v>
      </c>
      <c r="M11" s="5">
        <f>K11*J11</f>
        <v/>
      </c>
      <c r="N11" s="8">
        <f>(L11-K11)*J11</f>
        <v/>
      </c>
      <c r="O11" s="8" t="n">
        <v>-4028.56</v>
      </c>
      <c r="P11" s="7">
        <f>O11/M11*100</f>
        <v/>
      </c>
      <c r="Q11" s="9" t="n">
        <v>-1.052</v>
      </c>
      <c r="R11" s="11" t="inlineStr">
        <is>
          <t>2025_H1</t>
        </is>
      </c>
    </row>
    <row r="12">
      <c r="A12" s="11" t="inlineStr">
        <is>
          <t>2025-01-23</t>
        </is>
      </c>
      <c r="B12" s="11" t="inlineStr">
        <is>
          <t>HINDUNILVR</t>
        </is>
      </c>
      <c r="C12" s="11" t="inlineStr">
        <is>
          <t>PE</t>
        </is>
      </c>
      <c r="D12" s="11" t="inlineStr">
        <is>
          <t>large</t>
        </is>
      </c>
      <c r="E12" s="12" t="n">
        <v>19.2</v>
      </c>
      <c r="F12" s="12" t="n">
        <v>15.2</v>
      </c>
      <c r="G12" s="12" t="n">
        <v>1.6</v>
      </c>
      <c r="H12" s="11" t="inlineStr">
        <is>
          <t>2025-01-30</t>
        </is>
      </c>
      <c r="I12" s="13" t="n">
        <v>2260</v>
      </c>
      <c r="J12" s="5" t="n">
        <v>300</v>
      </c>
      <c r="K12" s="14" t="n">
        <v>23.8</v>
      </c>
      <c r="L12" s="14" t="n">
        <v>5.15</v>
      </c>
      <c r="M12" s="5">
        <f>K12*J12</f>
        <v/>
      </c>
      <c r="N12" s="8">
        <f>(L12-K12)*J12</f>
        <v/>
      </c>
      <c r="O12" s="8" t="n">
        <v>-5735.24</v>
      </c>
      <c r="P12" s="7">
        <f>O12/M12*100</f>
        <v/>
      </c>
      <c r="Q12" s="9" t="n">
        <v>-0.289</v>
      </c>
      <c r="R12" s="11" t="inlineStr">
        <is>
          <t>2025_H1</t>
        </is>
      </c>
    </row>
    <row r="13">
      <c r="A13" s="11" t="inlineStr">
        <is>
          <t>2025-01-23</t>
        </is>
      </c>
      <c r="B13" s="11" t="inlineStr">
        <is>
          <t>PERSISTENT</t>
        </is>
      </c>
      <c r="C13" s="11" t="inlineStr">
        <is>
          <t>PE</t>
        </is>
      </c>
      <c r="D13" s="11" t="inlineStr">
        <is>
          <t>mid</t>
        </is>
      </c>
      <c r="E13" s="12" t="n">
        <v>30.4</v>
      </c>
      <c r="F13" s="12" t="n">
        <v>14.8</v>
      </c>
      <c r="G13" s="12" t="n">
        <v>22.6</v>
      </c>
      <c r="H13" s="11" t="inlineStr">
        <is>
          <t>2025-01-30</t>
        </is>
      </c>
      <c r="I13" s="13" t="n">
        <v>5500</v>
      </c>
      <c r="J13" s="5" t="n">
        <v>100</v>
      </c>
      <c r="K13" s="14" t="n">
        <v>50.05</v>
      </c>
      <c r="L13" s="14" t="n">
        <v>5.3</v>
      </c>
      <c r="M13" s="5">
        <f>K13*J13</f>
        <v/>
      </c>
      <c r="N13" s="8">
        <f>(L13-K13)*J13</f>
        <v/>
      </c>
      <c r="O13" s="8" t="n">
        <v>-4636.18</v>
      </c>
      <c r="P13" s="7">
        <f>O13/M13*100</f>
        <v/>
      </c>
      <c r="Q13" s="9" t="n">
        <v>-8.596</v>
      </c>
      <c r="R13" s="11" t="inlineStr">
        <is>
          <t>2025_H1</t>
        </is>
      </c>
    </row>
    <row r="14">
      <c r="A14" s="11" t="inlineStr">
        <is>
          <t>2025-01-23</t>
        </is>
      </c>
      <c r="B14" s="11" t="inlineStr">
        <is>
          <t>POLYCAB</t>
        </is>
      </c>
      <c r="C14" s="11" t="inlineStr">
        <is>
          <t>PE</t>
        </is>
      </c>
      <c r="D14" s="11" t="inlineStr">
        <is>
          <t>mid</t>
        </is>
      </c>
      <c r="E14" s="12" t="n">
        <v>11.5</v>
      </c>
      <c r="F14" s="12" t="n">
        <v>4.3</v>
      </c>
      <c r="G14" s="12" t="n">
        <v>20.4</v>
      </c>
      <c r="H14" s="11" t="inlineStr">
        <is>
          <t>2025-01-30</t>
        </is>
      </c>
      <c r="I14" s="13" t="n">
        <v>5900</v>
      </c>
      <c r="J14" s="5" t="n">
        <v>125</v>
      </c>
      <c r="K14" s="14" t="n">
        <v>50.05</v>
      </c>
      <c r="L14" s="14" t="n">
        <v>23.05</v>
      </c>
      <c r="M14" s="5">
        <f>K14*J14</f>
        <v/>
      </c>
      <c r="N14" s="8">
        <f>(L14-K14)*J14</f>
        <v/>
      </c>
      <c r="O14" s="8" t="n">
        <v>-3613.29</v>
      </c>
      <c r="P14" s="7">
        <f>O14/M14*100</f>
        <v/>
      </c>
      <c r="Q14" s="9" t="n">
        <v>-1.148</v>
      </c>
      <c r="R14" s="11" t="inlineStr">
        <is>
          <t>2025_H1</t>
        </is>
      </c>
    </row>
    <row r="15">
      <c r="A15" s="11" t="inlineStr">
        <is>
          <t>2025-01-24</t>
        </is>
      </c>
      <c r="B15" s="11" t="inlineStr">
        <is>
          <t>HINDPETRO</t>
        </is>
      </c>
      <c r="C15" s="11" t="inlineStr">
        <is>
          <t>PE</t>
        </is>
      </c>
      <c r="D15" s="11" t="inlineStr">
        <is>
          <t>mid</t>
        </is>
      </c>
      <c r="E15" s="12" t="n">
        <v>256.8</v>
      </c>
      <c r="F15" s="12" t="n">
        <v>1682.9</v>
      </c>
      <c r="G15" s="12" t="n">
        <v>0.5</v>
      </c>
      <c r="H15" s="11" t="inlineStr">
        <is>
          <t>2025-01-30</t>
        </is>
      </c>
      <c r="I15" s="13" t="n">
        <v>355</v>
      </c>
      <c r="J15" s="5" t="n">
        <v>2025</v>
      </c>
      <c r="K15" s="14" t="n">
        <v>3.15</v>
      </c>
      <c r="L15" s="14" t="n">
        <v>7.75</v>
      </c>
      <c r="M15" s="5">
        <f>K15*J15</f>
        <v/>
      </c>
      <c r="N15" s="8">
        <f>(L15-K15)*J15</f>
        <v/>
      </c>
      <c r="O15" s="8" t="n">
        <v>8793.32</v>
      </c>
      <c r="P15" s="7">
        <f>O15/M15*100</f>
        <v/>
      </c>
      <c r="Q15" s="9" t="n">
        <v>5.706</v>
      </c>
      <c r="R15" s="11" t="inlineStr">
        <is>
          <t>2025_H1</t>
        </is>
      </c>
    </row>
    <row r="16">
      <c r="A16" s="11" t="inlineStr">
        <is>
          <t>2025-01-24</t>
        </is>
      </c>
      <c r="B16" s="11" t="inlineStr">
        <is>
          <t>INDUSTOWER</t>
        </is>
      </c>
      <c r="C16" s="11" t="inlineStr">
        <is>
          <t>PE</t>
        </is>
      </c>
      <c r="D16" s="11" t="inlineStr">
        <is>
          <t>mid</t>
        </is>
      </c>
      <c r="E16" s="12" t="n">
        <v>159.9</v>
      </c>
      <c r="F16" s="12" t="n">
        <v>80</v>
      </c>
      <c r="G16" s="12" t="n">
        <v>4.8</v>
      </c>
      <c r="H16" s="11" t="inlineStr">
        <is>
          <t>2025-01-30</t>
        </is>
      </c>
      <c r="I16" s="13" t="n">
        <v>355</v>
      </c>
      <c r="J16" s="5" t="n">
        <v>1700</v>
      </c>
      <c r="K16" s="14" t="n">
        <v>2.95</v>
      </c>
      <c r="L16" s="14" t="n">
        <v>1.45</v>
      </c>
      <c r="M16" s="5">
        <f>K16*J16</f>
        <v/>
      </c>
      <c r="N16" s="8">
        <f>(L16-K16)*J16</f>
        <v/>
      </c>
      <c r="O16" s="8" t="n">
        <v>-2753.8</v>
      </c>
      <c r="P16" s="7">
        <f>O16/M16*100</f>
        <v/>
      </c>
      <c r="Q16" s="9" t="n">
        <v>-0.204</v>
      </c>
      <c r="R16" s="11" t="inlineStr">
        <is>
          <t>2025_H1</t>
        </is>
      </c>
    </row>
    <row r="17">
      <c r="A17" s="11" t="inlineStr">
        <is>
          <t>2025-01-24</t>
        </is>
      </c>
      <c r="B17" s="11" t="inlineStr">
        <is>
          <t>MPHASIS</t>
        </is>
      </c>
      <c r="C17" s="11" t="inlineStr">
        <is>
          <t>PE</t>
        </is>
      </c>
      <c r="D17" s="11" t="inlineStr">
        <is>
          <t>mid</t>
        </is>
      </c>
      <c r="E17" s="12" t="n">
        <v>14.5</v>
      </c>
      <c r="F17" s="12" t="n">
        <v>1.1</v>
      </c>
      <c r="G17" s="12" t="n">
        <v>6.7</v>
      </c>
      <c r="H17" s="11" t="inlineStr">
        <is>
          <t>2025-01-30</t>
        </is>
      </c>
      <c r="I17" s="13" t="n">
        <v>2700</v>
      </c>
      <c r="J17" s="5" t="n">
        <v>275</v>
      </c>
      <c r="K17" s="14" t="n">
        <v>17.05</v>
      </c>
      <c r="L17" s="14" t="n">
        <v>2.6</v>
      </c>
      <c r="M17" s="5">
        <f>K17*J17</f>
        <v/>
      </c>
      <c r="N17" s="8">
        <f>(L17-K17)*J17</f>
        <v/>
      </c>
      <c r="O17" s="8" t="n">
        <v>-4132.51</v>
      </c>
      <c r="P17" s="7">
        <f>O17/M17*100</f>
        <v/>
      </c>
      <c r="Q17" s="9" t="n">
        <v>-5.184</v>
      </c>
      <c r="R17" s="11" t="inlineStr">
        <is>
          <t>2025_H1</t>
        </is>
      </c>
    </row>
    <row r="18">
      <c r="A18" s="11" t="inlineStr">
        <is>
          <t>2025-01-24</t>
        </is>
      </c>
      <c r="B18" s="11" t="inlineStr">
        <is>
          <t>SONACOMS</t>
        </is>
      </c>
      <c r="C18" s="11" t="inlineStr">
        <is>
          <t>PE</t>
        </is>
      </c>
      <c r="D18" s="11" t="inlineStr">
        <is>
          <t>mid</t>
        </is>
      </c>
      <c r="E18" s="12" t="n">
        <v>12.8</v>
      </c>
      <c r="F18" s="12" t="n">
        <v>5</v>
      </c>
      <c r="G18" s="12" t="n">
        <v>11.8</v>
      </c>
      <c r="H18" s="11" t="inlineStr">
        <is>
          <t>2025-01-30</t>
        </is>
      </c>
      <c r="I18" s="13" t="n">
        <v>510</v>
      </c>
      <c r="J18" s="5" t="n">
        <v>775</v>
      </c>
      <c r="K18" s="14" t="n">
        <v>9.1</v>
      </c>
      <c r="L18" s="14" t="n">
        <v>3.1</v>
      </c>
      <c r="M18" s="5">
        <f>K18*J18</f>
        <v/>
      </c>
      <c r="N18" s="8">
        <f>(L18-K18)*J18</f>
        <v/>
      </c>
      <c r="O18" s="8" t="n">
        <v>-4894.08</v>
      </c>
      <c r="P18" s="7">
        <f>O18/M18*100</f>
        <v/>
      </c>
      <c r="Q18" s="9" t="n">
        <v>-2.951</v>
      </c>
      <c r="R18" s="11" t="inlineStr">
        <is>
          <t>2025_H1</t>
        </is>
      </c>
    </row>
    <row r="19">
      <c r="A19" s="11" t="inlineStr">
        <is>
          <t>2025-01-27</t>
        </is>
      </c>
      <c r="B19" s="11" t="inlineStr">
        <is>
          <t>LAURUSLABS</t>
        </is>
      </c>
      <c r="C19" s="11" t="inlineStr">
        <is>
          <t>PE</t>
        </is>
      </c>
      <c r="D19" s="11" t="inlineStr">
        <is>
          <t>small</t>
        </is>
      </c>
      <c r="E19" s="12" t="n">
        <v>298.2</v>
      </c>
      <c r="F19" s="12" t="n">
        <v>365.9</v>
      </c>
      <c r="G19" s="12" t="n">
        <v>18.4</v>
      </c>
      <c r="H19" s="11" t="inlineStr">
        <is>
          <t>2025-01-30</t>
        </is>
      </c>
      <c r="I19" s="13" t="n">
        <v>560</v>
      </c>
      <c r="J19" s="5" t="n">
        <v>1700</v>
      </c>
      <c r="K19" s="14" t="n">
        <v>4.05</v>
      </c>
      <c r="L19" s="14" t="n">
        <v>29.5</v>
      </c>
      <c r="M19" s="5">
        <f>K19*J19</f>
        <v/>
      </c>
      <c r="N19" s="8">
        <f>(L19-K19)*J19</f>
        <v/>
      </c>
      <c r="O19" s="8" t="n">
        <v>41407.32</v>
      </c>
      <c r="P19" s="7">
        <f>O19/M19*100</f>
        <v/>
      </c>
      <c r="Q19" s="9" t="n">
        <v>12.352</v>
      </c>
      <c r="R19" s="11" t="inlineStr">
        <is>
          <t>2025_H1</t>
        </is>
      </c>
    </row>
    <row r="20">
      <c r="A20" s="11" t="inlineStr">
        <is>
          <t>2025-01-27</t>
        </is>
      </c>
      <c r="B20" s="11" t="inlineStr">
        <is>
          <t>LODHA</t>
        </is>
      </c>
      <c r="C20" s="11" t="inlineStr">
        <is>
          <t>PE</t>
        </is>
      </c>
      <c r="D20" s="11" t="inlineStr">
        <is>
          <t>large</t>
        </is>
      </c>
      <c r="E20" s="12" t="n">
        <v>87</v>
      </c>
      <c r="F20" s="12" t="n">
        <v>123.3</v>
      </c>
      <c r="G20" s="12" t="n">
        <v>39.3</v>
      </c>
      <c r="H20" s="11" t="inlineStr">
        <is>
          <t>2025-01-30</t>
        </is>
      </c>
      <c r="I20" s="13" t="n">
        <v>1060</v>
      </c>
      <c r="J20" s="5" t="n">
        <v>450</v>
      </c>
      <c r="K20" s="14" t="n">
        <v>3.15</v>
      </c>
      <c r="L20" s="14" t="n">
        <v>7.4</v>
      </c>
      <c r="M20" s="5">
        <f>K20*J20</f>
        <v/>
      </c>
      <c r="N20" s="8">
        <f>(L20-K20)*J20</f>
        <v/>
      </c>
      <c r="O20" s="8" t="n">
        <v>1810.81</v>
      </c>
      <c r="P20" s="7">
        <f>O20/M20*100</f>
        <v/>
      </c>
      <c r="Q20" s="9" t="n">
        <v>-0.318</v>
      </c>
      <c r="R20" s="11" t="inlineStr">
        <is>
          <t>2025_H1</t>
        </is>
      </c>
    </row>
    <row r="21">
      <c r="A21" s="11" t="inlineStr">
        <is>
          <t>2025-01-27</t>
        </is>
      </c>
      <c r="B21" s="11" t="inlineStr">
        <is>
          <t>SHRIRAMFIN</t>
        </is>
      </c>
      <c r="C21" s="11" t="inlineStr">
        <is>
          <t>PE</t>
        </is>
      </c>
      <c r="D21" s="11" t="inlineStr">
        <is>
          <t>large</t>
        </is>
      </c>
      <c r="E21" s="12" t="n">
        <v>73.40000000000001</v>
      </c>
      <c r="F21" s="12" t="n">
        <v>50.9</v>
      </c>
      <c r="G21" s="12" t="n">
        <v>15</v>
      </c>
      <c r="H21" s="11" t="inlineStr">
        <is>
          <t>2025-01-30</t>
        </is>
      </c>
      <c r="I21" s="13" t="n">
        <v>520</v>
      </c>
      <c r="J21" s="5" t="n">
        <v>750</v>
      </c>
      <c r="K21" s="14" t="n">
        <v>8.1</v>
      </c>
      <c r="L21" s="14" t="n">
        <v>13.65</v>
      </c>
      <c r="M21" s="5">
        <f>K21*J21</f>
        <v/>
      </c>
      <c r="N21" s="8">
        <f>(L21-K21)*J21</f>
        <v/>
      </c>
      <c r="O21" s="8" t="n">
        <v>3929.77</v>
      </c>
      <c r="P21" s="7">
        <f>O21/M21*100</f>
        <v/>
      </c>
      <c r="Q21" s="9" t="n">
        <v>2.71</v>
      </c>
      <c r="R21" s="11" t="inlineStr">
        <is>
          <t>2025_H1</t>
        </is>
      </c>
    </row>
    <row r="22">
      <c r="A22" s="11" t="inlineStr">
        <is>
          <t>2025-01-27</t>
        </is>
      </c>
      <c r="B22" s="11" t="inlineStr">
        <is>
          <t>TORNTPHARM</t>
        </is>
      </c>
      <c r="C22" s="11" t="inlineStr">
        <is>
          <t>PE</t>
        </is>
      </c>
      <c r="D22" s="11" t="inlineStr">
        <is>
          <t>large</t>
        </is>
      </c>
      <c r="E22" s="12" t="n">
        <v>13.5</v>
      </c>
      <c r="F22" s="12" t="n">
        <v>11</v>
      </c>
      <c r="G22" s="12" t="n">
        <v>2.8</v>
      </c>
      <c r="H22" s="11" t="inlineStr">
        <is>
          <t>2025-01-30</t>
        </is>
      </c>
      <c r="I22" s="13" t="n">
        <v>3200</v>
      </c>
      <c r="J22" s="5" t="n">
        <v>250</v>
      </c>
      <c r="K22" s="14" t="n">
        <v>20.05</v>
      </c>
      <c r="L22" s="14" t="n">
        <v>10.45</v>
      </c>
      <c r="M22" s="5">
        <f>K22*J22</f>
        <v/>
      </c>
      <c r="N22" s="8">
        <f>(L22-K22)*J22</f>
        <v/>
      </c>
      <c r="O22" s="8" t="n">
        <v>-2530.73</v>
      </c>
      <c r="P22" s="7">
        <f>O22/M22*100</f>
        <v/>
      </c>
      <c r="Q22" s="9" t="n">
        <v>-2.7</v>
      </c>
      <c r="R22" s="11" t="inlineStr">
        <is>
          <t>2025_H1</t>
        </is>
      </c>
    </row>
    <row r="23">
      <c r="A23" s="11" t="inlineStr">
        <is>
          <t>2025-01-29</t>
        </is>
      </c>
      <c r="B23" s="11" t="inlineStr">
        <is>
          <t>BOSCHLTD</t>
        </is>
      </c>
      <c r="C23" s="11" t="inlineStr">
        <is>
          <t>CE</t>
        </is>
      </c>
      <c r="D23" s="11" t="inlineStr">
        <is>
          <t>large</t>
        </is>
      </c>
      <c r="E23" s="12" t="n">
        <v>-11.5</v>
      </c>
      <c r="F23" s="12" t="n">
        <v>-14.5</v>
      </c>
      <c r="G23" s="12" t="n">
        <v>6.2</v>
      </c>
      <c r="H23" s="11" t="inlineStr">
        <is>
          <t>2025-02-27</t>
        </is>
      </c>
      <c r="I23" s="13" t="n">
        <v>32000</v>
      </c>
      <c r="J23" s="5" t="n">
        <v>25</v>
      </c>
      <c r="K23" s="14" t="n">
        <v>124.45</v>
      </c>
      <c r="L23" s="14" t="n">
        <v>94.8</v>
      </c>
      <c r="M23" s="5">
        <f>K23*J23</f>
        <v/>
      </c>
      <c r="N23" s="8">
        <f>(L23-K23)*J23</f>
        <v/>
      </c>
      <c r="O23" s="8" t="n">
        <v>-849.21</v>
      </c>
      <c r="P23" s="7">
        <f>O23/M23*100</f>
        <v/>
      </c>
      <c r="Q23" s="9" t="n">
        <v>-2.912</v>
      </c>
      <c r="R23" s="11" t="inlineStr">
        <is>
          <t>2025_H1</t>
        </is>
      </c>
    </row>
    <row r="24">
      <c r="A24" s="11" t="inlineStr">
        <is>
          <t>2025-01-29</t>
        </is>
      </c>
      <c r="B24" s="11" t="inlineStr">
        <is>
          <t>CIPLA</t>
        </is>
      </c>
      <c r="C24" s="11" t="inlineStr">
        <is>
          <t>PE</t>
        </is>
      </c>
      <c r="D24" s="11" t="inlineStr">
        <is>
          <t>large</t>
        </is>
      </c>
      <c r="E24" s="12" t="n">
        <v>47.4</v>
      </c>
      <c r="F24" s="12" t="n">
        <v>20.7</v>
      </c>
      <c r="G24" s="12" t="n">
        <v>7.1</v>
      </c>
      <c r="H24" s="11" t="inlineStr">
        <is>
          <t>2025-02-27</t>
        </is>
      </c>
      <c r="I24" s="13" t="n">
        <v>1360</v>
      </c>
      <c r="J24" s="5" t="n">
        <v>325</v>
      </c>
      <c r="K24" s="14" t="n">
        <v>18.8</v>
      </c>
      <c r="L24" s="14" t="n">
        <v>20.1</v>
      </c>
      <c r="M24" s="5">
        <f>K24*J24</f>
        <v/>
      </c>
      <c r="N24" s="8">
        <f>(L24-K24)*J24</f>
        <v/>
      </c>
      <c r="O24" s="8" t="n">
        <v>233.58</v>
      </c>
      <c r="P24" s="7">
        <f>O24/M24*100</f>
        <v/>
      </c>
      <c r="Q24" s="9" t="n">
        <v>1.115</v>
      </c>
      <c r="R24" s="11" t="inlineStr">
        <is>
          <t>2025_H1</t>
        </is>
      </c>
    </row>
    <row r="25">
      <c r="A25" s="11" t="inlineStr">
        <is>
          <t>2025-01-29</t>
        </is>
      </c>
      <c r="B25" s="11" t="inlineStr">
        <is>
          <t>JSWENERGY</t>
        </is>
      </c>
      <c r="C25" s="11" t="inlineStr">
        <is>
          <t>CE</t>
        </is>
      </c>
      <c r="D25" s="11" t="inlineStr">
        <is>
          <t>large</t>
        </is>
      </c>
      <c r="E25" s="12" t="n">
        <v>-32.2</v>
      </c>
      <c r="F25" s="12" t="n">
        <v>-82</v>
      </c>
      <c r="G25" s="12" t="n">
        <v>-4.1</v>
      </c>
      <c r="H25" s="11" t="inlineStr">
        <is>
          <t>2025-02-27</t>
        </is>
      </c>
      <c r="I25" s="13" t="n">
        <v>550</v>
      </c>
      <c r="J25" s="5" t="n">
        <v>750</v>
      </c>
      <c r="K25" s="14" t="n">
        <v>8.050000000000001</v>
      </c>
      <c r="L25" s="14" t="n">
        <v>6.4</v>
      </c>
      <c r="M25" s="5">
        <f>K25*J25</f>
        <v/>
      </c>
      <c r="N25" s="8">
        <f>(L25-K25)*J25</f>
        <v/>
      </c>
      <c r="O25" s="8" t="n">
        <v>-1405.03</v>
      </c>
      <c r="P25" s="7">
        <f>O25/M25*100</f>
        <v/>
      </c>
      <c r="Q25" s="9" t="n">
        <v>2.383</v>
      </c>
      <c r="R25" s="11" t="inlineStr">
        <is>
          <t>2025_H1</t>
        </is>
      </c>
    </row>
    <row r="26">
      <c r="A26" s="11" t="inlineStr">
        <is>
          <t>2025-01-29</t>
        </is>
      </c>
      <c r="B26" s="11" t="inlineStr">
        <is>
          <t>SBICARD</t>
        </is>
      </c>
      <c r="C26" s="11" t="inlineStr">
        <is>
          <t>CE</t>
        </is>
      </c>
      <c r="D26" s="11" t="inlineStr">
        <is>
          <t>mid</t>
        </is>
      </c>
      <c r="E26" s="12" t="n">
        <v>-30.2</v>
      </c>
      <c r="F26" s="12" t="n">
        <v>-5.2</v>
      </c>
      <c r="G26" s="12" t="n">
        <v>-0.1</v>
      </c>
      <c r="H26" s="11" t="inlineStr">
        <is>
          <t>2025-02-27</t>
        </is>
      </c>
      <c r="I26" s="13" t="n">
        <v>800</v>
      </c>
      <c r="J26" s="5" t="n">
        <v>800</v>
      </c>
      <c r="K26" s="14" t="n">
        <v>9.550000000000001</v>
      </c>
      <c r="L26" s="14" t="n">
        <v>10.75</v>
      </c>
      <c r="M26" s="5">
        <f>K26*J26</f>
        <v/>
      </c>
      <c r="N26" s="8">
        <f>(L26-K26)*J26</f>
        <v/>
      </c>
      <c r="O26" s="8" t="n">
        <v>568.04</v>
      </c>
      <c r="P26" s="7">
        <f>O26/M26*100</f>
        <v/>
      </c>
      <c r="Q26" s="9" t="n">
        <v>4.732</v>
      </c>
      <c r="R26" s="11" t="inlineStr">
        <is>
          <t>2025_H1</t>
        </is>
      </c>
    </row>
    <row r="27">
      <c r="A27" s="11" t="inlineStr">
        <is>
          <t>2025-01-29</t>
        </is>
      </c>
      <c r="B27" s="11" t="inlineStr">
        <is>
          <t>TVSMOTOR</t>
        </is>
      </c>
      <c r="C27" s="11" t="inlineStr">
        <is>
          <t>PE</t>
        </is>
      </c>
      <c r="D27" s="11" t="inlineStr">
        <is>
          <t>large</t>
        </is>
      </c>
      <c r="E27" s="12" t="n">
        <v>19.6</v>
      </c>
      <c r="F27" s="12" t="n">
        <v>3.6</v>
      </c>
      <c r="G27" s="12" t="n">
        <v>10.1</v>
      </c>
      <c r="H27" s="11" t="inlineStr">
        <is>
          <t>2025-02-27</t>
        </is>
      </c>
      <c r="I27" s="13" t="n">
        <v>2120</v>
      </c>
      <c r="J27" s="5" t="n">
        <v>350</v>
      </c>
      <c r="K27" s="14" t="n">
        <v>3.6</v>
      </c>
      <c r="L27" s="14" t="n">
        <v>7.1</v>
      </c>
      <c r="M27" s="5">
        <f>K27*J27</f>
        <v/>
      </c>
      <c r="N27" s="8">
        <f>(L27-K27)*J27</f>
        <v/>
      </c>
      <c r="O27" s="8" t="n">
        <v>1135.01</v>
      </c>
      <c r="P27" s="7">
        <f>O27/M27*100</f>
        <v/>
      </c>
      <c r="Q27" s="9" t="n">
        <v>-4.483</v>
      </c>
      <c r="R27" s="11" t="inlineStr">
        <is>
          <t>2025_H1</t>
        </is>
      </c>
    </row>
    <row r="28">
      <c r="A28" s="11" t="inlineStr">
        <is>
          <t>2025-01-30</t>
        </is>
      </c>
      <c r="B28" s="11" t="inlineStr">
        <is>
          <t>AMBUJACEM</t>
        </is>
      </c>
      <c r="C28" s="11" t="inlineStr">
        <is>
          <t>PE</t>
        </is>
      </c>
      <c r="D28" s="11" t="inlineStr">
        <is>
          <t>large</t>
        </is>
      </c>
      <c r="E28" s="12" t="n">
        <v>140.5</v>
      </c>
      <c r="F28" s="12" t="n">
        <v>454.1</v>
      </c>
      <c r="G28" s="12" t="n">
        <v>14.8</v>
      </c>
      <c r="H28" s="11" t="inlineStr">
        <is>
          <t>2025-02-27</t>
        </is>
      </c>
      <c r="I28" s="13" t="n">
        <v>470</v>
      </c>
      <c r="J28" s="5" t="n">
        <v>900</v>
      </c>
      <c r="K28" s="14" t="n">
        <v>8.25</v>
      </c>
      <c r="L28" s="14" t="n">
        <v>7.9</v>
      </c>
      <c r="M28" s="5">
        <f>K28*J28</f>
        <v/>
      </c>
      <c r="N28" s="8">
        <f>(L28-K28)*J28</f>
        <v/>
      </c>
      <c r="O28" s="8" t="n">
        <v>-524.5700000000001</v>
      </c>
      <c r="P28" s="7">
        <f>O28/M28*100</f>
        <v/>
      </c>
      <c r="Q28" s="9" t="n">
        <v>3.549</v>
      </c>
      <c r="R28" s="11" t="inlineStr">
        <is>
          <t>2025_H1</t>
        </is>
      </c>
    </row>
    <row r="29">
      <c r="A29" s="11" t="inlineStr">
        <is>
          <t>2025-01-30</t>
        </is>
      </c>
      <c r="B29" s="11" t="inlineStr">
        <is>
          <t>BAJFINANCE</t>
        </is>
      </c>
      <c r="C29" s="11" t="inlineStr">
        <is>
          <t>PE</t>
        </is>
      </c>
      <c r="D29" s="11" t="inlineStr">
        <is>
          <t>large</t>
        </is>
      </c>
      <c r="E29" s="12" t="n">
        <v>18.4</v>
      </c>
      <c r="F29" s="12" t="n">
        <v>7.3</v>
      </c>
      <c r="G29" s="12" t="n">
        <v>27.4</v>
      </c>
      <c r="H29" s="11" t="inlineStr">
        <is>
          <t>2025-02-27</t>
        </is>
      </c>
      <c r="I29" s="13" t="n">
        <v>7100</v>
      </c>
      <c r="J29" s="5" t="n">
        <v>125</v>
      </c>
      <c r="K29" s="14" t="n">
        <v>52.1</v>
      </c>
      <c r="L29" s="14" t="n">
        <v>35.85</v>
      </c>
      <c r="M29" s="5">
        <f>K29*J29</f>
        <v/>
      </c>
      <c r="N29" s="8">
        <f>(L29-K29)*J29</f>
        <v/>
      </c>
      <c r="O29" s="8" t="n">
        <v>-2199.93</v>
      </c>
      <c r="P29" s="7">
        <f>O29/M29*100</f>
        <v/>
      </c>
      <c r="Q29" s="9" t="n">
        <v>-0.656</v>
      </c>
      <c r="R29" s="11" t="inlineStr">
        <is>
          <t>2025_H1</t>
        </is>
      </c>
    </row>
    <row r="30">
      <c r="A30" s="11" t="inlineStr">
        <is>
          <t>2025-01-30</t>
        </is>
      </c>
      <c r="B30" s="11" t="inlineStr">
        <is>
          <t>CAMS</t>
        </is>
      </c>
      <c r="C30" s="11" t="inlineStr">
        <is>
          <t>PE</t>
        </is>
      </c>
      <c r="D30" s="11" t="inlineStr">
        <is>
          <t>small</t>
        </is>
      </c>
      <c r="E30" s="12" t="n">
        <v>40.2</v>
      </c>
      <c r="F30" s="12" t="n">
        <v>2.7</v>
      </c>
      <c r="G30" s="12" t="n">
        <v>27.6</v>
      </c>
      <c r="H30" s="11" t="inlineStr">
        <is>
          <t>2025-02-27</t>
        </is>
      </c>
      <c r="I30" s="13" t="n">
        <v>3300</v>
      </c>
      <c r="J30" s="5" t="n">
        <v>125</v>
      </c>
      <c r="K30" s="14" t="n">
        <v>48.7</v>
      </c>
      <c r="L30" s="14" t="n">
        <v>87.45</v>
      </c>
      <c r="M30" s="5">
        <f>K30*J30</f>
        <v/>
      </c>
      <c r="N30" s="8">
        <f>(L30-K30)*J30</f>
        <v/>
      </c>
      <c r="O30" s="8" t="n">
        <v>4262.26</v>
      </c>
      <c r="P30" s="7">
        <f>O30/M30*100</f>
        <v/>
      </c>
      <c r="Q30" s="9" t="n">
        <v>8.704000000000001</v>
      </c>
      <c r="R30" s="11" t="inlineStr">
        <is>
          <t>2025_H1</t>
        </is>
      </c>
    </row>
    <row r="31">
      <c r="A31" s="11" t="inlineStr">
        <is>
          <t>2025-01-30</t>
        </is>
      </c>
      <c r="B31" s="11" t="inlineStr">
        <is>
          <t>INDIANB</t>
        </is>
      </c>
      <c r="C31" s="11" t="inlineStr">
        <is>
          <t>PE</t>
        </is>
      </c>
      <c r="D31" s="11" t="inlineStr">
        <is>
          <t>mid</t>
        </is>
      </c>
      <c r="E31" s="12" t="n">
        <v>31.9</v>
      </c>
      <c r="F31" s="12" t="n">
        <v>3.9</v>
      </c>
      <c r="G31" s="12" t="n">
        <v>11</v>
      </c>
      <c r="H31" s="11" t="inlineStr">
        <is>
          <t>2025-02-27</t>
        </is>
      </c>
      <c r="I31" s="13" t="n">
        <v>480</v>
      </c>
      <c r="J31" s="5" t="n">
        <v>950</v>
      </c>
      <c r="K31" s="14" t="n">
        <v>5.05</v>
      </c>
      <c r="L31" s="14" t="n">
        <v>4.35</v>
      </c>
      <c r="M31" s="5">
        <f>K31*J31</f>
        <v/>
      </c>
      <c r="N31" s="8">
        <f>(L31-K31)*J31</f>
        <v/>
      </c>
      <c r="O31" s="8" t="n">
        <v>-900.89</v>
      </c>
      <c r="P31" s="7">
        <f>O31/M31*100</f>
        <v/>
      </c>
      <c r="Q31" s="9" t="n">
        <v>0.755</v>
      </c>
      <c r="R31" s="11" t="inlineStr">
        <is>
          <t>2025_H1</t>
        </is>
      </c>
    </row>
    <row r="32">
      <c r="A32" s="11" t="inlineStr">
        <is>
          <t>2025-01-30</t>
        </is>
      </c>
      <c r="B32" s="11" t="inlineStr">
        <is>
          <t>MARUTI</t>
        </is>
      </c>
      <c r="C32" s="11" t="inlineStr">
        <is>
          <t>PE</t>
        </is>
      </c>
      <c r="D32" s="11" t="inlineStr">
        <is>
          <t>large</t>
        </is>
      </c>
      <c r="E32" s="12" t="n">
        <v>16.2</v>
      </c>
      <c r="F32" s="12" t="n">
        <v>20.1</v>
      </c>
      <c r="G32" s="12" t="n">
        <v>15.7</v>
      </c>
      <c r="H32" s="11" t="inlineStr">
        <is>
          <t>2025-02-27</t>
        </is>
      </c>
      <c r="I32" s="13" t="n">
        <v>11400</v>
      </c>
      <c r="J32" s="5" t="n">
        <v>50</v>
      </c>
      <c r="K32" s="14" t="n">
        <v>125.65</v>
      </c>
      <c r="L32" s="14" t="n">
        <v>132.4</v>
      </c>
      <c r="M32" s="5">
        <f>K32*J32</f>
        <v/>
      </c>
      <c r="N32" s="8">
        <f>(L32-K32)*J32</f>
        <v/>
      </c>
      <c r="O32" s="8" t="n">
        <v>145.73</v>
      </c>
      <c r="P32" s="7">
        <f>O32/M32*100</f>
        <v/>
      </c>
      <c r="Q32" s="9" t="n">
        <v>0.175</v>
      </c>
      <c r="R32" s="11" t="inlineStr">
        <is>
          <t>2025_H1</t>
        </is>
      </c>
    </row>
    <row r="33">
      <c r="A33" s="11" t="inlineStr">
        <is>
          <t>2025-01-31</t>
        </is>
      </c>
      <c r="B33" s="11" t="inlineStr">
        <is>
          <t>ADANIENT</t>
        </is>
      </c>
      <c r="C33" s="11" t="inlineStr">
        <is>
          <t>CE</t>
        </is>
      </c>
      <c r="D33" s="11" t="inlineStr">
        <is>
          <t>large</t>
        </is>
      </c>
      <c r="E33" s="12" t="n">
        <v>-88.40000000000001</v>
      </c>
      <c r="F33" s="12" t="n">
        <v>-88.5</v>
      </c>
      <c r="G33" s="12" t="n">
        <v>-19.4</v>
      </c>
      <c r="H33" s="11" t="inlineStr">
        <is>
          <t>2025-02-27</t>
        </is>
      </c>
      <c r="I33" s="13" t="n">
        <v>2520</v>
      </c>
      <c r="J33" s="5" t="n">
        <v>300</v>
      </c>
      <c r="K33" s="14" t="n">
        <v>20.2</v>
      </c>
      <c r="L33" s="14" t="n">
        <v>29.65</v>
      </c>
      <c r="M33" s="5">
        <f>K33*J33</f>
        <v/>
      </c>
      <c r="N33" s="8">
        <f>(L33-K33)*J33</f>
        <v/>
      </c>
      <c r="O33" s="8" t="n">
        <v>2618.44</v>
      </c>
      <c r="P33" s="7">
        <f>O33/M33*100</f>
        <v/>
      </c>
      <c r="Q33" s="9" t="n">
        <v>2.186</v>
      </c>
      <c r="R33" s="11" t="inlineStr">
        <is>
          <t>2025_H1</t>
        </is>
      </c>
    </row>
    <row r="34">
      <c r="A34" s="11" t="inlineStr">
        <is>
          <t>2025-01-31</t>
        </is>
      </c>
      <c r="B34" s="11" t="inlineStr">
        <is>
          <t>ADANIPORTS</t>
        </is>
      </c>
      <c r="C34" s="11" t="inlineStr">
        <is>
          <t>PE</t>
        </is>
      </c>
      <c r="D34" s="11" t="inlineStr">
        <is>
          <t>large</t>
        </is>
      </c>
      <c r="E34" s="12" t="n">
        <v>14</v>
      </c>
      <c r="F34" s="12" t="n">
        <v>4.4</v>
      </c>
      <c r="G34" s="12" t="n">
        <v>15.1</v>
      </c>
      <c r="H34" s="11" t="inlineStr">
        <is>
          <t>2025-02-27</t>
        </is>
      </c>
      <c r="I34" s="13" t="n">
        <v>1000</v>
      </c>
      <c r="J34" s="5" t="n">
        <v>400</v>
      </c>
      <c r="K34" s="14" t="n">
        <v>18.85</v>
      </c>
      <c r="L34" s="14" t="n">
        <v>12</v>
      </c>
      <c r="M34" s="5">
        <f>K34*J34</f>
        <v/>
      </c>
      <c r="N34" s="8">
        <f>(L34-K34)*J34</f>
        <v/>
      </c>
      <c r="O34" s="8" t="n">
        <v>-2923.22</v>
      </c>
      <c r="P34" s="7">
        <f>O34/M34*100</f>
        <v/>
      </c>
      <c r="Q34" s="9" t="n">
        <v>-1.323</v>
      </c>
      <c r="R34" s="11" t="inlineStr">
        <is>
          <t>2025_H1</t>
        </is>
      </c>
    </row>
    <row r="35">
      <c r="A35" s="11" t="inlineStr">
        <is>
          <t>2025-01-31</t>
        </is>
      </c>
      <c r="B35" s="11" t="inlineStr">
        <is>
          <t>BEL</t>
        </is>
      </c>
      <c r="C35" s="11" t="inlineStr">
        <is>
          <t>PE</t>
        </is>
      </c>
      <c r="D35" s="11" t="inlineStr">
        <is>
          <t>large</t>
        </is>
      </c>
      <c r="E35" s="12" t="n">
        <v>52.5</v>
      </c>
      <c r="F35" s="12" t="n">
        <v>20</v>
      </c>
      <c r="G35" s="12" t="n">
        <v>38.6</v>
      </c>
      <c r="H35" s="11" t="inlineStr">
        <is>
          <t>2025-02-27</t>
        </is>
      </c>
      <c r="I35" s="13" t="n">
        <v>250</v>
      </c>
      <c r="J35" s="5" t="n">
        <v>2850</v>
      </c>
      <c r="K35" s="14" t="n">
        <v>2.75</v>
      </c>
      <c r="L35" s="14" t="n">
        <v>1.65</v>
      </c>
      <c r="M35" s="5">
        <f>K35*J35</f>
        <v/>
      </c>
      <c r="N35" s="8">
        <f>(L35-K35)*J35</f>
        <v/>
      </c>
      <c r="O35" s="8" t="n">
        <v>-3320.15</v>
      </c>
      <c r="P35" s="7">
        <f>O35/M35*100</f>
        <v/>
      </c>
      <c r="Q35" s="9" t="n">
        <v>-3.082</v>
      </c>
      <c r="R35" s="11" t="inlineStr">
        <is>
          <t>2025_H1</t>
        </is>
      </c>
    </row>
    <row r="36">
      <c r="A36" s="11" t="inlineStr">
        <is>
          <t>2025-01-31</t>
        </is>
      </c>
      <c r="B36" s="11" t="inlineStr">
        <is>
          <t>GAIL</t>
        </is>
      </c>
      <c r="C36" s="11" t="inlineStr">
        <is>
          <t>PE</t>
        </is>
      </c>
      <c r="D36" s="11" t="inlineStr">
        <is>
          <t>large</t>
        </is>
      </c>
      <c r="E36" s="12" t="n">
        <v>27.9</v>
      </c>
      <c r="F36" s="12" t="n">
        <v>51.8</v>
      </c>
      <c r="G36" s="12" t="n">
        <v>6.2</v>
      </c>
      <c r="H36" s="11" t="inlineStr">
        <is>
          <t>2025-02-27</t>
        </is>
      </c>
      <c r="I36" s="13" t="n">
        <v>155</v>
      </c>
      <c r="J36" s="5" t="n">
        <v>2350</v>
      </c>
      <c r="K36" s="14" t="n">
        <v>2.75</v>
      </c>
      <c r="L36" s="14" t="n">
        <v>0.95</v>
      </c>
      <c r="M36" s="5">
        <f>K36*J36</f>
        <v/>
      </c>
      <c r="N36" s="8">
        <f>(L36-K36)*J36</f>
        <v/>
      </c>
      <c r="O36" s="8" t="n">
        <v>-4371.34</v>
      </c>
      <c r="P36" s="7">
        <f>O36/M36*100</f>
        <v/>
      </c>
      <c r="Q36" s="9" t="n">
        <v>-4.65</v>
      </c>
      <c r="R36" s="11" t="inlineStr">
        <is>
          <t>2025_H1</t>
        </is>
      </c>
    </row>
    <row r="37">
      <c r="A37" s="11" t="inlineStr">
        <is>
          <t>2025-01-31</t>
        </is>
      </c>
      <c r="B37" s="11" t="inlineStr">
        <is>
          <t>KALYANKJIL</t>
        </is>
      </c>
      <c r="C37" s="11" t="inlineStr">
        <is>
          <t>PE</t>
        </is>
      </c>
      <c r="D37" s="11" t="inlineStr">
        <is>
          <t>mid</t>
        </is>
      </c>
      <c r="E37" s="12" t="n">
        <v>21.2</v>
      </c>
      <c r="F37" s="12" t="n">
        <v>67.8</v>
      </c>
      <c r="G37" s="12" t="n">
        <v>39.5</v>
      </c>
      <c r="H37" s="11" t="inlineStr">
        <is>
          <t>2025-02-27</t>
        </is>
      </c>
      <c r="I37" s="13" t="n">
        <v>360</v>
      </c>
      <c r="J37" s="5" t="n">
        <v>775</v>
      </c>
      <c r="K37" s="14" t="n">
        <v>10.05</v>
      </c>
      <c r="L37" s="14" t="n">
        <v>2.9</v>
      </c>
      <c r="M37" s="5">
        <f>K37*J37</f>
        <v/>
      </c>
      <c r="N37" s="8">
        <f>(L37-K37)*J37</f>
        <v/>
      </c>
      <c r="O37" s="8" t="n">
        <v>-5797</v>
      </c>
      <c r="P37" s="7">
        <f>O37/M37*100</f>
        <v/>
      </c>
      <c r="Q37" s="9" t="n">
        <v>-9.358000000000001</v>
      </c>
      <c r="R37" s="11" t="inlineStr">
        <is>
          <t>2025_H1</t>
        </is>
      </c>
    </row>
    <row r="38">
      <c r="A38" s="11" t="inlineStr">
        <is>
          <t>2025-01-31</t>
        </is>
      </c>
      <c r="B38" s="11" t="inlineStr">
        <is>
          <t>MAXHEALTH</t>
        </is>
      </c>
      <c r="C38" s="11" t="inlineStr">
        <is>
          <t>CE</t>
        </is>
      </c>
      <c r="D38" s="11" t="inlineStr">
        <is>
          <t>mid</t>
        </is>
      </c>
      <c r="E38" s="12" t="n">
        <v>-17.5</v>
      </c>
      <c r="F38" s="12" t="n">
        <v>-15.3</v>
      </c>
      <c r="G38" s="12" t="n">
        <v>40</v>
      </c>
      <c r="H38" s="11" t="inlineStr">
        <is>
          <t>2025-02-27</t>
        </is>
      </c>
      <c r="I38" s="13" t="n">
        <v>1200</v>
      </c>
      <c r="J38" s="5" t="n">
        <v>525</v>
      </c>
      <c r="K38" s="14" t="n">
        <v>12.05</v>
      </c>
      <c r="L38" s="14" t="n">
        <v>7.3</v>
      </c>
      <c r="M38" s="5">
        <f>K38*J38</f>
        <v/>
      </c>
      <c r="N38" s="8">
        <f>(L38-K38)*J38</f>
        <v/>
      </c>
      <c r="O38" s="8" t="n">
        <v>-2754.35</v>
      </c>
      <c r="P38" s="7">
        <f>O38/M38*100</f>
        <v/>
      </c>
      <c r="Q38" s="9" t="n">
        <v>1.458</v>
      </c>
      <c r="R38" s="11" t="inlineStr">
        <is>
          <t>2025_H1</t>
        </is>
      </c>
    </row>
    <row r="39">
      <c r="A39" s="11" t="inlineStr">
        <is>
          <t>2025-01-31</t>
        </is>
      </c>
      <c r="B39" s="11" t="inlineStr">
        <is>
          <t>POLICYBZR</t>
        </is>
      </c>
      <c r="C39" s="11" t="inlineStr">
        <is>
          <t>PE</t>
        </is>
      </c>
      <c r="D39" s="11" t="inlineStr">
        <is>
          <t>mid</t>
        </is>
      </c>
      <c r="E39" s="12" t="n">
        <v>92.2</v>
      </c>
      <c r="F39" s="12" t="n">
        <v>40.3</v>
      </c>
      <c r="G39" s="12" t="n">
        <v>48.3</v>
      </c>
      <c r="H39" s="11" t="inlineStr">
        <is>
          <t>2025-02-27</t>
        </is>
      </c>
      <c r="I39" s="13" t="n">
        <v>1450</v>
      </c>
      <c r="J39" s="5" t="n">
        <v>325</v>
      </c>
      <c r="K39" s="14" t="n">
        <v>22.35</v>
      </c>
      <c r="L39" s="14" t="n">
        <v>10.35</v>
      </c>
      <c r="M39" s="5">
        <f>K39*J39</f>
        <v/>
      </c>
      <c r="N39" s="8">
        <f>(L39-K39)*J39</f>
        <v/>
      </c>
      <c r="O39" s="8" t="n">
        <v>-4169.5</v>
      </c>
      <c r="P39" s="7">
        <f>O39/M39*100</f>
        <v/>
      </c>
      <c r="Q39" s="9" t="n">
        <v>-2.786</v>
      </c>
      <c r="R39" s="11" t="inlineStr">
        <is>
          <t>2025_H1</t>
        </is>
      </c>
    </row>
    <row r="40">
      <c r="A40" s="11" t="inlineStr">
        <is>
          <t>2025-01-31</t>
        </is>
      </c>
      <c r="B40" s="11" t="inlineStr">
        <is>
          <t>PRESTIGE</t>
        </is>
      </c>
      <c r="C40" s="11" t="inlineStr">
        <is>
          <t>CE</t>
        </is>
      </c>
      <c r="D40" s="11" t="inlineStr">
        <is>
          <t>mid</t>
        </is>
      </c>
      <c r="E40" s="12" t="n">
        <v>-80.40000000000001</v>
      </c>
      <c r="F40" s="12" t="n">
        <v>-86.3</v>
      </c>
      <c r="G40" s="12" t="n">
        <v>-7.9</v>
      </c>
      <c r="H40" s="11" t="inlineStr">
        <is>
          <t>2025-02-27</t>
        </is>
      </c>
      <c r="I40" s="13" t="n">
        <v>1500</v>
      </c>
      <c r="J40" s="5" t="n">
        <v>325</v>
      </c>
      <c r="K40" s="14" t="n">
        <v>13.7</v>
      </c>
      <c r="L40" s="14" t="n">
        <v>21.15</v>
      </c>
      <c r="M40" s="5">
        <f>K40*J40</f>
        <v/>
      </c>
      <c r="N40" s="8">
        <f>(L40-K40)*J40</f>
        <v/>
      </c>
      <c r="O40" s="8" t="n">
        <v>2132.32</v>
      </c>
      <c r="P40" s="7">
        <f>O40/M40*100</f>
        <v/>
      </c>
      <c r="Q40" s="9" t="n">
        <v>5.892</v>
      </c>
      <c r="R40" s="11" t="inlineStr">
        <is>
          <t>2025_H1</t>
        </is>
      </c>
    </row>
    <row r="41">
      <c r="A41" s="11" t="inlineStr">
        <is>
          <t>2025-02-01</t>
        </is>
      </c>
      <c r="B41" s="11" t="inlineStr">
        <is>
          <t>BANDHANBNK</t>
        </is>
      </c>
      <c r="C41" s="11" t="inlineStr">
        <is>
          <t>CE</t>
        </is>
      </c>
      <c r="D41" s="11" t="inlineStr">
        <is>
          <t>small</t>
        </is>
      </c>
      <c r="E41" s="12" t="n">
        <v>-41.8</v>
      </c>
      <c r="F41" s="12" t="n">
        <v>-54.5</v>
      </c>
      <c r="G41" s="12" t="n">
        <v>17.4</v>
      </c>
      <c r="H41" s="11" t="inlineStr">
        <is>
          <t>2025-02-27</t>
        </is>
      </c>
      <c r="I41" s="13" t="n">
        <v>162.5</v>
      </c>
      <c r="J41" s="5" t="n">
        <v>2800</v>
      </c>
      <c r="K41" s="14" t="n">
        <v>2.35</v>
      </c>
      <c r="L41" s="14" t="n">
        <v>2.2</v>
      </c>
      <c r="M41" s="5">
        <f>K41*J41</f>
        <v/>
      </c>
      <c r="N41" s="8">
        <f>(L41-K41)*J41</f>
        <v/>
      </c>
      <c r="O41" s="8" t="n">
        <v>-864.21</v>
      </c>
      <c r="P41" s="7">
        <f>O41/M41*100</f>
        <v/>
      </c>
      <c r="Q41" s="9" t="n">
        <v>0.007</v>
      </c>
      <c r="R41" s="11" t="inlineStr">
        <is>
          <t>2025_H1</t>
        </is>
      </c>
    </row>
    <row r="42">
      <c r="A42" s="11" t="inlineStr">
        <is>
          <t>2025-02-01</t>
        </is>
      </c>
      <c r="B42" s="11" t="inlineStr">
        <is>
          <t>CHOLAFIN</t>
        </is>
      </c>
      <c r="C42" s="11" t="inlineStr">
        <is>
          <t>PE</t>
        </is>
      </c>
      <c r="D42" s="11" t="inlineStr">
        <is>
          <t>large</t>
        </is>
      </c>
      <c r="E42" s="12" t="n">
        <v>24.8</v>
      </c>
      <c r="F42" s="12" t="n">
        <v>12.4</v>
      </c>
      <c r="G42" s="12" t="n">
        <v>34.5</v>
      </c>
      <c r="H42" s="11" t="inlineStr">
        <is>
          <t>2025-02-27</t>
        </is>
      </c>
      <c r="I42" s="13" t="n">
        <v>1100</v>
      </c>
      <c r="J42" s="5" t="n">
        <v>625</v>
      </c>
      <c r="K42" s="14" t="n">
        <v>7.05</v>
      </c>
      <c r="L42" s="14" t="n">
        <v>3.8</v>
      </c>
      <c r="M42" s="5">
        <f>K42*J42</f>
        <v/>
      </c>
      <c r="N42" s="8">
        <f>(L42-K42)*J42</f>
        <v/>
      </c>
      <c r="O42" s="8" t="n">
        <v>-2152.79</v>
      </c>
      <c r="P42" s="7">
        <f>O42/M42*100</f>
        <v/>
      </c>
      <c r="Q42" s="9" t="n">
        <v>2.372</v>
      </c>
      <c r="R42" s="11" t="inlineStr">
        <is>
          <t>2025_H1</t>
        </is>
      </c>
    </row>
    <row r="43">
      <c r="A43" s="11" t="inlineStr">
        <is>
          <t>2025-02-01</t>
        </is>
      </c>
      <c r="B43" s="11" t="inlineStr">
        <is>
          <t>LICHSGFIN</t>
        </is>
      </c>
      <c r="C43" s="11" t="inlineStr">
        <is>
          <t>PE</t>
        </is>
      </c>
      <c r="D43" s="11" t="inlineStr">
        <is>
          <t>mid</t>
        </is>
      </c>
      <c r="E43" s="12" t="n">
        <v>22.8</v>
      </c>
      <c r="F43" s="12" t="n">
        <v>8.1</v>
      </c>
      <c r="G43" s="12" t="n">
        <v>3.9</v>
      </c>
      <c r="H43" s="11" t="inlineStr">
        <is>
          <t>2025-02-27</t>
        </is>
      </c>
      <c r="I43" s="13" t="n">
        <v>550</v>
      </c>
      <c r="J43" s="5" t="n">
        <v>1000</v>
      </c>
      <c r="K43" s="14" t="n">
        <v>6.05</v>
      </c>
      <c r="L43" s="14" t="n">
        <v>6.3</v>
      </c>
      <c r="M43" s="5">
        <f>K43*J43</f>
        <v/>
      </c>
      <c r="N43" s="8">
        <f>(L43-K43)*J43</f>
        <v/>
      </c>
      <c r="O43" s="8" t="n">
        <v>-59.03</v>
      </c>
      <c r="P43" s="7">
        <f>O43/M43*100</f>
        <v/>
      </c>
      <c r="Q43" s="9" t="n">
        <v>2.387</v>
      </c>
      <c r="R43" s="11" t="inlineStr">
        <is>
          <t>2025_H1</t>
        </is>
      </c>
    </row>
    <row r="44">
      <c r="A44" s="11" t="inlineStr">
        <is>
          <t>2025-02-04</t>
        </is>
      </c>
      <c r="B44" s="11" t="inlineStr">
        <is>
          <t>DIVISLAB</t>
        </is>
      </c>
      <c r="C44" s="11" t="inlineStr">
        <is>
          <t>PE</t>
        </is>
      </c>
      <c r="D44" s="11" t="inlineStr">
        <is>
          <t>large</t>
        </is>
      </c>
      <c r="E44" s="12" t="n">
        <v>64.5</v>
      </c>
      <c r="F44" s="12" t="n">
        <v>15.5</v>
      </c>
      <c r="G44" s="12" t="n">
        <v>25</v>
      </c>
      <c r="H44" s="11" t="inlineStr">
        <is>
          <t>2025-02-27</t>
        </is>
      </c>
      <c r="I44" s="13" t="n">
        <v>5700</v>
      </c>
      <c r="J44" s="5" t="n">
        <v>100</v>
      </c>
      <c r="K44" s="14" t="n">
        <v>76</v>
      </c>
      <c r="L44" s="14" t="n">
        <v>40.6</v>
      </c>
      <c r="M44" s="5">
        <f>K44*J44</f>
        <v/>
      </c>
      <c r="N44" s="8">
        <f>(L44-K44)*J44</f>
        <v/>
      </c>
      <c r="O44" s="8" t="n">
        <v>-3715.02</v>
      </c>
      <c r="P44" s="7">
        <f>O44/M44*100</f>
        <v/>
      </c>
      <c r="Q44" s="9" t="n">
        <v>-0.765</v>
      </c>
      <c r="R44" s="11" t="inlineStr">
        <is>
          <t>2025_H1</t>
        </is>
      </c>
    </row>
    <row r="45">
      <c r="A45" s="11" t="inlineStr">
        <is>
          <t>2025-02-04</t>
        </is>
      </c>
      <c r="B45" s="11" t="inlineStr">
        <is>
          <t>TIINDIA</t>
        </is>
      </c>
      <c r="C45" s="11" t="inlineStr">
        <is>
          <t>CE</t>
        </is>
      </c>
      <c r="D45" s="11" t="inlineStr">
        <is>
          <t>mid</t>
        </is>
      </c>
      <c r="E45" s="12" t="n">
        <v>-66</v>
      </c>
      <c r="F45" s="12" t="n">
        <v>-6.4</v>
      </c>
      <c r="G45" s="12" t="n">
        <v>14.7</v>
      </c>
      <c r="H45" s="11" t="inlineStr">
        <is>
          <t>2025-02-27</t>
        </is>
      </c>
      <c r="I45" s="13" t="n">
        <v>3400</v>
      </c>
      <c r="J45" s="5" t="n">
        <v>150</v>
      </c>
      <c r="K45" s="14" t="n">
        <v>43.1</v>
      </c>
      <c r="L45" s="14" t="n">
        <v>21.35</v>
      </c>
      <c r="M45" s="5">
        <f>K45*J45</f>
        <v/>
      </c>
      <c r="N45" s="8">
        <f>(L45-K45)*J45</f>
        <v/>
      </c>
      <c r="O45" s="8" t="n">
        <v>-3512.11</v>
      </c>
      <c r="P45" s="7">
        <f>O45/M45*100</f>
        <v/>
      </c>
      <c r="Q45" s="9" t="n">
        <v>0.112</v>
      </c>
      <c r="R45" s="11" t="inlineStr">
        <is>
          <t>2025_H1</t>
        </is>
      </c>
    </row>
    <row r="46">
      <c r="A46" s="11" t="inlineStr">
        <is>
          <t>2025-02-05</t>
        </is>
      </c>
      <c r="B46" s="11" t="inlineStr">
        <is>
          <t>MFSL</t>
        </is>
      </c>
      <c r="C46" s="11" t="inlineStr">
        <is>
          <t>CE</t>
        </is>
      </c>
      <c r="D46" s="11" t="inlineStr">
        <is>
          <t>mid</t>
        </is>
      </c>
      <c r="E46" s="12" t="n">
        <v>-59.2</v>
      </c>
      <c r="F46" s="12" t="n">
        <v>-49.9</v>
      </c>
      <c r="G46" s="12" t="n">
        <v>-27.8</v>
      </c>
      <c r="H46" s="11" t="inlineStr">
        <is>
          <t>2025-02-27</t>
        </is>
      </c>
      <c r="I46" s="13" t="n">
        <v>1280</v>
      </c>
      <c r="J46" s="5" t="n">
        <v>800</v>
      </c>
      <c r="K46" s="14" t="n">
        <v>7.85</v>
      </c>
      <c r="L46" s="14" t="n">
        <v>3.15</v>
      </c>
      <c r="M46" s="5">
        <f>K46*J46</f>
        <v/>
      </c>
      <c r="N46" s="8">
        <f>(L46-K46)*J46</f>
        <v/>
      </c>
      <c r="O46" s="8" t="n">
        <v>-3990.87</v>
      </c>
      <c r="P46" s="7">
        <f>O46/M46*100</f>
        <v/>
      </c>
      <c r="Q46" s="9" t="n">
        <v>-1.28</v>
      </c>
      <c r="R46" s="11" t="inlineStr">
        <is>
          <t>2025_H1</t>
        </is>
      </c>
    </row>
    <row r="47">
      <c r="A47" s="11" t="inlineStr">
        <is>
          <t>2025-02-05</t>
        </is>
      </c>
      <c r="B47" s="11" t="inlineStr">
        <is>
          <t>TATAPOWER</t>
        </is>
      </c>
      <c r="C47" s="11" t="inlineStr">
        <is>
          <t>PE</t>
        </is>
      </c>
      <c r="D47" s="11" t="inlineStr">
        <is>
          <t>large</t>
        </is>
      </c>
      <c r="E47" s="12" t="n">
        <v>10.4</v>
      </c>
      <c r="F47" s="12" t="n">
        <v>8.6</v>
      </c>
      <c r="G47" s="12" t="n">
        <v>5.1</v>
      </c>
      <c r="H47" s="11" t="inlineStr">
        <is>
          <t>2025-02-27</t>
        </is>
      </c>
      <c r="I47" s="13" t="n">
        <v>350</v>
      </c>
      <c r="J47" s="5" t="n">
        <v>1350</v>
      </c>
      <c r="K47" s="14" t="n">
        <v>5.9</v>
      </c>
      <c r="L47" s="14" t="n">
        <v>5.05</v>
      </c>
      <c r="M47" s="5">
        <f>K47*J47</f>
        <v/>
      </c>
      <c r="N47" s="8">
        <f>(L47-K47)*J47</f>
        <v/>
      </c>
      <c r="O47" s="8" t="n">
        <v>-1359.22</v>
      </c>
      <c r="P47" s="7">
        <f>O47/M47*100</f>
        <v/>
      </c>
      <c r="Q47" s="9" t="n">
        <v>0.068</v>
      </c>
      <c r="R47" s="11" t="inlineStr">
        <is>
          <t>2025_H1</t>
        </is>
      </c>
    </row>
    <row r="48">
      <c r="A48" s="11" t="inlineStr">
        <is>
          <t>2025-02-06</t>
        </is>
      </c>
      <c r="B48" s="11" t="inlineStr">
        <is>
          <t>CUMMINSIND</t>
        </is>
      </c>
      <c r="C48" s="11" t="inlineStr">
        <is>
          <t>PE</t>
        </is>
      </c>
      <c r="D48" s="11" t="inlineStr">
        <is>
          <t>large</t>
        </is>
      </c>
      <c r="E48" s="12" t="n">
        <v>11.9</v>
      </c>
      <c r="F48" s="12" t="n">
        <v>24.3</v>
      </c>
      <c r="G48" s="12" t="n">
        <v>21.8</v>
      </c>
      <c r="H48" s="11" t="inlineStr">
        <is>
          <t>2025-02-27</t>
        </is>
      </c>
      <c r="I48" s="13" t="n">
        <v>2850</v>
      </c>
      <c r="J48" s="5" t="n">
        <v>150</v>
      </c>
      <c r="K48" s="14" t="n">
        <v>50.05</v>
      </c>
      <c r="L48" s="14" t="n">
        <v>56.75</v>
      </c>
      <c r="M48" s="5">
        <f>K48*J48</f>
        <v/>
      </c>
      <c r="N48" s="8">
        <f>(L48-K48)*J48</f>
        <v/>
      </c>
      <c r="O48" s="8" t="n">
        <v>777.86</v>
      </c>
      <c r="P48" s="7">
        <f>O48/M48*100</f>
        <v/>
      </c>
      <c r="Q48" s="9" t="n">
        <v>3.322</v>
      </c>
      <c r="R48" s="11" t="inlineStr">
        <is>
          <t>2025_H1</t>
        </is>
      </c>
    </row>
    <row r="49">
      <c r="A49" s="11" t="inlineStr">
        <is>
          <t>2025-02-06</t>
        </is>
      </c>
      <c r="B49" s="11" t="inlineStr">
        <is>
          <t>NAUKRI</t>
        </is>
      </c>
      <c r="C49" s="11" t="inlineStr">
        <is>
          <t>PE</t>
        </is>
      </c>
      <c r="D49" s="11" t="inlineStr">
        <is>
          <t>large</t>
        </is>
      </c>
      <c r="E49" s="12" t="n">
        <v>141.5</v>
      </c>
      <c r="F49" s="12" t="n">
        <v>240.4</v>
      </c>
      <c r="G49" s="12" t="n">
        <v>15.2</v>
      </c>
      <c r="H49" s="11" t="inlineStr">
        <is>
          <t>2025-02-27</t>
        </is>
      </c>
      <c r="I49" s="13" t="n">
        <v>7700</v>
      </c>
      <c r="J49" s="5" t="n">
        <v>75</v>
      </c>
      <c r="K49" s="14" t="n">
        <v>97.15000000000001</v>
      </c>
      <c r="L49" s="14" t="n">
        <v>100.95</v>
      </c>
      <c r="M49" s="5">
        <f>K49*J49</f>
        <v/>
      </c>
      <c r="N49" s="8">
        <f>(L49-K49)*J49</f>
        <v/>
      </c>
      <c r="O49" s="8" t="n">
        <v>71.38</v>
      </c>
      <c r="P49" s="7">
        <f>O49/M49*100</f>
        <v/>
      </c>
      <c r="Q49" s="9" t="n">
        <v>0.602</v>
      </c>
      <c r="R49" s="11" t="inlineStr">
        <is>
          <t>2025_H1</t>
        </is>
      </c>
    </row>
    <row r="50">
      <c r="A50" s="11" t="inlineStr">
        <is>
          <t>2025-02-06</t>
        </is>
      </c>
      <c r="B50" s="11" t="inlineStr">
        <is>
          <t>PAGEIND</t>
        </is>
      </c>
      <c r="C50" s="11" t="inlineStr">
        <is>
          <t>PE</t>
        </is>
      </c>
      <c r="D50" s="11" t="inlineStr">
        <is>
          <t>mid</t>
        </is>
      </c>
      <c r="E50" s="12" t="n">
        <v>34.3</v>
      </c>
      <c r="F50" s="12" t="n">
        <v>4.8</v>
      </c>
      <c r="G50" s="12" t="n">
        <v>6.9</v>
      </c>
      <c r="H50" s="11" t="inlineStr">
        <is>
          <t>2025-02-27</t>
        </is>
      </c>
      <c r="I50" s="13" t="n">
        <v>42000</v>
      </c>
      <c r="J50" s="5" t="n">
        <v>15</v>
      </c>
      <c r="K50" s="14" t="n">
        <v>375.05</v>
      </c>
      <c r="L50" s="14" t="n">
        <v>657.75</v>
      </c>
      <c r="M50" s="5">
        <f>K50*J50</f>
        <v/>
      </c>
      <c r="N50" s="8">
        <f>(L50-K50)*J50</f>
        <v/>
      </c>
      <c r="O50" s="8" t="n">
        <v>3861.97</v>
      </c>
      <c r="P50" s="7">
        <f>O50/M50*100</f>
        <v/>
      </c>
      <c r="Q50" s="9" t="n">
        <v>3.167</v>
      </c>
      <c r="R50" s="11" t="inlineStr">
        <is>
          <t>2025_H1</t>
        </is>
      </c>
    </row>
    <row r="51">
      <c r="A51" s="11" t="inlineStr">
        <is>
          <t>2025-02-06</t>
        </is>
      </c>
      <c r="B51" s="11" t="inlineStr">
        <is>
          <t>SOLARINDS</t>
        </is>
      </c>
      <c r="C51" s="11" t="inlineStr">
        <is>
          <t>PE</t>
        </is>
      </c>
      <c r="D51" s="11" t="inlineStr">
        <is>
          <t>mid</t>
        </is>
      </c>
      <c r="E51" s="12" t="n">
        <v>52.1</v>
      </c>
      <c r="F51" s="12" t="n">
        <v>11.1</v>
      </c>
      <c r="G51" s="12" t="n">
        <v>38.1</v>
      </c>
      <c r="H51" s="11" t="inlineStr">
        <is>
          <t>2025-02-27</t>
        </is>
      </c>
      <c r="I51" s="13" t="n">
        <v>8500</v>
      </c>
      <c r="J51" s="5" t="n">
        <v>75</v>
      </c>
      <c r="K51" s="14" t="n">
        <v>60.05</v>
      </c>
      <c r="L51" s="14" t="n">
        <v>168</v>
      </c>
      <c r="M51" s="5">
        <f>K51*J51</f>
        <v/>
      </c>
      <c r="N51" s="8">
        <f>(L51-K51)*J51</f>
        <v/>
      </c>
      <c r="O51" s="8" t="n">
        <v>7680.74</v>
      </c>
      <c r="P51" s="7">
        <f>O51/M51*100</f>
        <v/>
      </c>
      <c r="Q51" s="9" t="n">
        <v>6.99</v>
      </c>
      <c r="R51" s="11" t="inlineStr">
        <is>
          <t>2025_H1</t>
        </is>
      </c>
    </row>
    <row r="52">
      <c r="A52" s="11" t="inlineStr">
        <is>
          <t>2025-02-06</t>
        </is>
      </c>
      <c r="B52" s="11" t="inlineStr">
        <is>
          <t>ZYDUSLIFE</t>
        </is>
      </c>
      <c r="C52" s="11" t="inlineStr">
        <is>
          <t>PE</t>
        </is>
      </c>
      <c r="D52" s="11" t="inlineStr">
        <is>
          <t>large</t>
        </is>
      </c>
      <c r="E52" s="12" t="n">
        <v>29.9</v>
      </c>
      <c r="F52" s="12" t="n">
        <v>11.5</v>
      </c>
      <c r="G52" s="12" t="n">
        <v>17</v>
      </c>
      <c r="H52" s="11" t="inlineStr">
        <is>
          <t>2025-02-27</t>
        </is>
      </c>
      <c r="I52" s="13" t="n">
        <v>930</v>
      </c>
      <c r="J52" s="5" t="n">
        <v>900</v>
      </c>
      <c r="K52" s="14" t="n">
        <v>8.550000000000001</v>
      </c>
      <c r="L52" s="14" t="n">
        <v>3.8</v>
      </c>
      <c r="M52" s="5">
        <f>K52*J52</f>
        <v/>
      </c>
      <c r="N52" s="8">
        <f>(L52-K52)*J52</f>
        <v/>
      </c>
      <c r="O52" s="8" t="n">
        <v>-4443.38</v>
      </c>
      <c r="P52" s="7">
        <f>O52/M52*100</f>
        <v/>
      </c>
      <c r="Q52" s="9" t="n">
        <v>-2.459</v>
      </c>
      <c r="R52" s="11" t="inlineStr">
        <is>
          <t>2025_H1</t>
        </is>
      </c>
    </row>
    <row r="53">
      <c r="A53" s="11" t="inlineStr">
        <is>
          <t>2025-02-07</t>
        </is>
      </c>
      <c r="B53" s="11" t="inlineStr">
        <is>
          <t>BHARTIARTL</t>
        </is>
      </c>
      <c r="C53" s="11" t="inlineStr">
        <is>
          <t>PE</t>
        </is>
      </c>
      <c r="D53" s="11" t="inlineStr">
        <is>
          <t>large</t>
        </is>
      </c>
      <c r="E53" s="12" t="n">
        <v>460.9</v>
      </c>
      <c r="F53" s="12" t="n">
        <v>288.5</v>
      </c>
      <c r="G53" s="12" t="n">
        <v>19.1</v>
      </c>
      <c r="H53" s="11" t="inlineStr">
        <is>
          <t>2025-02-27</t>
        </is>
      </c>
      <c r="I53" s="13" t="n">
        <v>1580</v>
      </c>
      <c r="J53" s="5" t="n">
        <v>475</v>
      </c>
      <c r="K53" s="14" t="n">
        <v>12.05</v>
      </c>
      <c r="L53" s="14" t="n">
        <v>5.45</v>
      </c>
      <c r="M53" s="5">
        <f>K53*J53</f>
        <v/>
      </c>
      <c r="N53" s="8">
        <f>(L53-K53)*J53</f>
        <v/>
      </c>
      <c r="O53" s="8" t="n">
        <v>-3272.88</v>
      </c>
      <c r="P53" s="7">
        <f>O53/M53*100</f>
        <v/>
      </c>
      <c r="Q53" s="9" t="n">
        <v>-2.55</v>
      </c>
      <c r="R53" s="11" t="inlineStr">
        <is>
          <t>2025_H1</t>
        </is>
      </c>
    </row>
    <row r="54">
      <c r="A54" s="11" t="inlineStr">
        <is>
          <t>2025-02-07</t>
        </is>
      </c>
      <c r="B54" s="11" t="inlineStr">
        <is>
          <t>PIIND</t>
        </is>
      </c>
      <c r="C54" s="11" t="inlineStr">
        <is>
          <t>CE</t>
        </is>
      </c>
      <c r="D54" s="11" t="inlineStr">
        <is>
          <t>mid</t>
        </is>
      </c>
      <c r="E54" s="12" t="n">
        <v>-16.9</v>
      </c>
      <c r="F54" s="12" t="n">
        <v>-26.7</v>
      </c>
      <c r="G54" s="12" t="n">
        <v>0.2</v>
      </c>
      <c r="H54" s="11" t="inlineStr">
        <is>
          <t>2025-02-27</t>
        </is>
      </c>
      <c r="I54" s="13" t="n">
        <v>3700</v>
      </c>
      <c r="J54" s="5" t="n">
        <v>125</v>
      </c>
      <c r="K54" s="14" t="n">
        <v>60.1</v>
      </c>
      <c r="L54" s="14" t="n">
        <v>44.8</v>
      </c>
      <c r="M54" s="5">
        <f>K54*J54</f>
        <v/>
      </c>
      <c r="N54" s="8">
        <f>(L54-K54)*J54</f>
        <v/>
      </c>
      <c r="O54" s="8" t="n">
        <v>-2236.1</v>
      </c>
      <c r="P54" s="7">
        <f>O54/M54*100</f>
        <v/>
      </c>
      <c r="Q54" s="9" t="n">
        <v>0.439</v>
      </c>
      <c r="R54" s="11" t="inlineStr">
        <is>
          <t>2025_H1</t>
        </is>
      </c>
    </row>
    <row r="55">
      <c r="A55" s="11" t="inlineStr">
        <is>
          <t>2025-02-07</t>
        </is>
      </c>
      <c r="B55" s="11" t="inlineStr">
        <is>
          <t>RECLTD</t>
        </is>
      </c>
      <c r="C55" s="11" t="inlineStr">
        <is>
          <t>PE</t>
        </is>
      </c>
      <c r="D55" s="11" t="inlineStr">
        <is>
          <t>large</t>
        </is>
      </c>
      <c r="E55" s="12" t="n">
        <v>23.2</v>
      </c>
      <c r="F55" s="12" t="n">
        <v>1</v>
      </c>
      <c r="G55" s="12" t="n">
        <v>18.4</v>
      </c>
      <c r="H55" s="11" t="inlineStr">
        <is>
          <t>2025-02-27</t>
        </is>
      </c>
      <c r="I55" s="13" t="n">
        <v>400</v>
      </c>
      <c r="J55" s="5" t="n">
        <v>1000</v>
      </c>
      <c r="K55" s="14" t="n">
        <v>7.65</v>
      </c>
      <c r="L55" s="14" t="n">
        <v>3.95</v>
      </c>
      <c r="M55" s="5">
        <f>K55*J55</f>
        <v/>
      </c>
      <c r="N55" s="8">
        <f>(L55-K55)*J55</f>
        <v/>
      </c>
      <c r="O55" s="8" t="n">
        <v>-3874.22</v>
      </c>
      <c r="P55" s="7">
        <f>O55/M55*100</f>
        <v/>
      </c>
      <c r="Q55" s="9" t="n">
        <v>-2.557</v>
      </c>
      <c r="R55" s="11" t="inlineStr">
        <is>
          <t>2025_H1</t>
        </is>
      </c>
    </row>
    <row r="56">
      <c r="A56" s="11" t="inlineStr">
        <is>
          <t>2025-02-07</t>
        </is>
      </c>
      <c r="B56" s="11" t="inlineStr">
        <is>
          <t>TRENT</t>
        </is>
      </c>
      <c r="C56" s="11" t="inlineStr">
        <is>
          <t>PE</t>
        </is>
      </c>
      <c r="D56" s="11" t="inlineStr">
        <is>
          <t>large</t>
        </is>
      </c>
      <c r="E56" s="12" t="n">
        <v>34</v>
      </c>
      <c r="F56" s="12" t="n">
        <v>48.2</v>
      </c>
      <c r="G56" s="12" t="n">
        <v>34.3</v>
      </c>
      <c r="H56" s="11" t="inlineStr">
        <is>
          <t>2025-02-27</t>
        </is>
      </c>
      <c r="I56" s="13" t="n">
        <v>4800</v>
      </c>
      <c r="J56" s="5" t="n">
        <v>100</v>
      </c>
      <c r="K56" s="14" t="n">
        <v>74.55</v>
      </c>
      <c r="L56" s="14" t="n">
        <v>23.55</v>
      </c>
      <c r="M56" s="5">
        <f>K56*J56</f>
        <v/>
      </c>
      <c r="N56" s="8">
        <f>(L56-K56)*J56</f>
        <v/>
      </c>
      <c r="O56" s="8" t="n">
        <v>-5253.18</v>
      </c>
      <c r="P56" s="7">
        <f>O56/M56*100</f>
        <v/>
      </c>
      <c r="Q56" s="9" t="n">
        <v>-2.499</v>
      </c>
      <c r="R56" s="11" t="inlineStr">
        <is>
          <t>2025_H1</t>
        </is>
      </c>
    </row>
    <row r="57">
      <c r="A57" s="11" t="inlineStr">
        <is>
          <t>2025-02-10</t>
        </is>
      </c>
      <c r="B57" s="11" t="inlineStr">
        <is>
          <t>DELHIVERY</t>
        </is>
      </c>
      <c r="C57" s="11" t="inlineStr">
        <is>
          <t>PE</t>
        </is>
      </c>
      <c r="D57" s="11" t="inlineStr">
        <is>
          <t>small</t>
        </is>
      </c>
      <c r="E57" s="12" t="n">
        <v>113.4</v>
      </c>
      <c r="F57" s="12" t="n">
        <v>145</v>
      </c>
      <c r="G57" s="12" t="n">
        <v>8.4</v>
      </c>
      <c r="H57" s="11" t="inlineStr">
        <is>
          <t>2025-02-27</t>
        </is>
      </c>
      <c r="I57" s="13" t="n">
        <v>285</v>
      </c>
      <c r="J57" s="5" t="n">
        <v>1525</v>
      </c>
      <c r="K57" s="14" t="n">
        <v>3.4</v>
      </c>
      <c r="L57" s="14" t="n">
        <v>6</v>
      </c>
      <c r="M57" s="5">
        <f>K57*J57</f>
        <v/>
      </c>
      <c r="N57" s="8">
        <f>(L57-K57)*J57</f>
        <v/>
      </c>
      <c r="O57" s="8" t="n">
        <v>3467.84</v>
      </c>
      <c r="P57" s="7">
        <f>O57/M57*100</f>
        <v/>
      </c>
      <c r="Q57" s="9" t="n">
        <v>5.934</v>
      </c>
      <c r="R57" s="11" t="inlineStr">
        <is>
          <t>2025_H1</t>
        </is>
      </c>
    </row>
    <row r="58">
      <c r="A58" s="11" t="inlineStr">
        <is>
          <t>2025-02-10</t>
        </is>
      </c>
      <c r="B58" s="11" t="inlineStr">
        <is>
          <t>M&amp;M</t>
        </is>
      </c>
      <c r="C58" s="11" t="inlineStr">
        <is>
          <t>PE</t>
        </is>
      </c>
      <c r="D58" s="11" t="inlineStr">
        <is>
          <t>large</t>
        </is>
      </c>
      <c r="E58" s="12" t="n">
        <v>21.7</v>
      </c>
      <c r="F58" s="12" t="n">
        <v>7.8</v>
      </c>
      <c r="G58" s="12" t="n">
        <v>17.5</v>
      </c>
      <c r="H58" s="11" t="inlineStr">
        <is>
          <t>2025-02-27</t>
        </is>
      </c>
      <c r="I58" s="13" t="n">
        <v>3150</v>
      </c>
      <c r="J58" s="5" t="n">
        <v>175</v>
      </c>
      <c r="K58" s="14" t="n">
        <v>43.4</v>
      </c>
      <c r="L58" s="14" t="n">
        <v>78.84999999999999</v>
      </c>
      <c r="M58" s="5">
        <f>K58*J58</f>
        <v/>
      </c>
      <c r="N58" s="8">
        <f>(L58-K58)*J58</f>
        <v/>
      </c>
      <c r="O58" s="8" t="n">
        <v>5912.69</v>
      </c>
      <c r="P58" s="7">
        <f>O58/M58*100</f>
        <v/>
      </c>
      <c r="Q58" s="9" t="n">
        <v>2.242</v>
      </c>
      <c r="R58" s="11" t="inlineStr">
        <is>
          <t>2025_H1</t>
        </is>
      </c>
    </row>
    <row r="59">
      <c r="A59" s="11" t="inlineStr">
        <is>
          <t>2025-02-10</t>
        </is>
      </c>
      <c r="B59" s="11" t="inlineStr">
        <is>
          <t>OIL</t>
        </is>
      </c>
      <c r="C59" s="11" t="inlineStr">
        <is>
          <t>CE</t>
        </is>
      </c>
      <c r="D59" s="11" t="inlineStr">
        <is>
          <t>mid</t>
        </is>
      </c>
      <c r="E59" s="12" t="n">
        <v>-44.1</v>
      </c>
      <c r="F59" s="12" t="n">
        <v>-29.6</v>
      </c>
      <c r="G59" s="12" t="n">
        <v>-16.7</v>
      </c>
      <c r="H59" s="11" t="inlineStr">
        <is>
          <t>2025-02-27</t>
        </is>
      </c>
      <c r="I59" s="13" t="n">
        <v>440</v>
      </c>
      <c r="J59" s="5" t="n">
        <v>1075</v>
      </c>
      <c r="K59" s="14" t="n">
        <v>5.1</v>
      </c>
      <c r="L59" s="14" t="n">
        <v>3</v>
      </c>
      <c r="M59" s="5">
        <f>K59*J59</f>
        <v/>
      </c>
      <c r="N59" s="8">
        <f>(L59-K59)*J59</f>
        <v/>
      </c>
      <c r="O59" s="8" t="n">
        <v>-2487.52</v>
      </c>
      <c r="P59" s="7">
        <f>O59/M59*100</f>
        <v/>
      </c>
      <c r="Q59" s="9" t="n">
        <v>-2.302</v>
      </c>
      <c r="R59" s="11" t="inlineStr">
        <is>
          <t>2025_H1</t>
        </is>
      </c>
    </row>
    <row r="60">
      <c r="A60" s="11" t="inlineStr">
        <is>
          <t>2025-02-11</t>
        </is>
      </c>
      <c r="B60" s="11" t="inlineStr">
        <is>
          <t>EICHERMOT</t>
        </is>
      </c>
      <c r="C60" s="11" t="inlineStr">
        <is>
          <t>PE</t>
        </is>
      </c>
      <c r="D60" s="11" t="inlineStr">
        <is>
          <t>large</t>
        </is>
      </c>
      <c r="E60" s="12" t="n">
        <v>17.5</v>
      </c>
      <c r="F60" s="12" t="n">
        <v>6.4</v>
      </c>
      <c r="G60" s="12" t="n">
        <v>19</v>
      </c>
      <c r="H60" s="11" t="inlineStr">
        <is>
          <t>2025-02-27</t>
        </is>
      </c>
      <c r="I60" s="13" t="n">
        <v>4800</v>
      </c>
      <c r="J60" s="5" t="n">
        <v>175</v>
      </c>
      <c r="K60" s="14" t="n">
        <v>34.05</v>
      </c>
      <c r="L60" s="14" t="n">
        <v>45.6</v>
      </c>
      <c r="M60" s="5">
        <f>K60*J60</f>
        <v/>
      </c>
      <c r="N60" s="8">
        <f>(L60-K60)*J60</f>
        <v/>
      </c>
      <c r="O60" s="8" t="n">
        <v>1816.64</v>
      </c>
      <c r="P60" s="7">
        <f>O60/M60*100</f>
        <v/>
      </c>
      <c r="Q60" s="9" t="n">
        <v>3.24</v>
      </c>
      <c r="R60" s="11" t="inlineStr">
        <is>
          <t>2025_H1</t>
        </is>
      </c>
    </row>
    <row r="61">
      <c r="A61" s="11" t="inlineStr">
        <is>
          <t>2025-02-11</t>
        </is>
      </c>
      <c r="B61" s="11" t="inlineStr">
        <is>
          <t>NYKAA</t>
        </is>
      </c>
      <c r="C61" s="11" t="inlineStr">
        <is>
          <t>PE</t>
        </is>
      </c>
      <c r="D61" s="11" t="inlineStr">
        <is>
          <t>mid</t>
        </is>
      </c>
      <c r="E61" s="12" t="n">
        <v>51.3</v>
      </c>
      <c r="F61" s="12" t="n">
        <v>103.6</v>
      </c>
      <c r="G61" s="12" t="n">
        <v>26.7</v>
      </c>
      <c r="H61" s="11" t="inlineStr">
        <is>
          <t>2025-02-27</t>
        </is>
      </c>
      <c r="I61" s="13" t="n">
        <v>165</v>
      </c>
      <c r="J61" s="5" t="n">
        <v>2950</v>
      </c>
      <c r="K61" s="14" t="n">
        <v>2.65</v>
      </c>
      <c r="L61" s="14" t="n">
        <v>4.4</v>
      </c>
      <c r="M61" s="5">
        <f>K61*J61</f>
        <v/>
      </c>
      <c r="N61" s="8">
        <f>(L61-K61)*J61</f>
        <v/>
      </c>
      <c r="O61" s="8" t="n">
        <v>4670.91</v>
      </c>
      <c r="P61" s="7">
        <f>O61/M61*100</f>
        <v/>
      </c>
      <c r="Q61" s="9" t="n">
        <v>2.17</v>
      </c>
      <c r="R61" s="11" t="inlineStr">
        <is>
          <t>2025_H1</t>
        </is>
      </c>
    </row>
    <row r="62">
      <c r="A62" s="11" t="inlineStr">
        <is>
          <t>2025-02-13</t>
        </is>
      </c>
      <c r="B62" s="11" t="inlineStr">
        <is>
          <t>ASHOKLEY</t>
        </is>
      </c>
      <c r="C62" s="11" t="inlineStr">
        <is>
          <t>PE</t>
        </is>
      </c>
      <c r="D62" s="11" t="inlineStr">
        <is>
          <t>mid</t>
        </is>
      </c>
      <c r="E62" s="12" t="n">
        <v>34.6</v>
      </c>
      <c r="F62" s="12" t="n">
        <v>6.9</v>
      </c>
      <c r="G62" s="12" t="n">
        <v>8.1</v>
      </c>
      <c r="H62" s="11" t="inlineStr">
        <is>
          <t>2025-02-27</t>
        </is>
      </c>
      <c r="I62" s="13" t="n">
        <v>215</v>
      </c>
      <c r="J62" s="5" t="n">
        <v>2500</v>
      </c>
      <c r="K62" s="14" t="n">
        <v>3.15</v>
      </c>
      <c r="L62" s="14" t="n">
        <v>4</v>
      </c>
      <c r="M62" s="5">
        <f>K62*J62</f>
        <v/>
      </c>
      <c r="N62" s="8">
        <f>(L62-K62)*J62</f>
        <v/>
      </c>
      <c r="O62" s="8" t="n">
        <v>1697.54</v>
      </c>
      <c r="P62" s="7">
        <f>O62/M62*100</f>
        <v/>
      </c>
      <c r="Q62" s="9" t="n">
        <v>1.587</v>
      </c>
      <c r="R62" s="11" t="inlineStr">
        <is>
          <t>2025_H1</t>
        </is>
      </c>
    </row>
    <row r="63">
      <c r="A63" s="11" t="inlineStr">
        <is>
          <t>2025-02-13</t>
        </is>
      </c>
      <c r="B63" s="11" t="inlineStr">
        <is>
          <t>BHARATFORG</t>
        </is>
      </c>
      <c r="C63" s="11" t="inlineStr">
        <is>
          <t>CE</t>
        </is>
      </c>
      <c r="D63" s="11" t="inlineStr">
        <is>
          <t>mid</t>
        </is>
      </c>
      <c r="E63" s="12" t="n">
        <v>-16.4</v>
      </c>
      <c r="F63" s="12" t="n">
        <v>-12.5</v>
      </c>
      <c r="G63" s="12" t="n">
        <v>-10.1</v>
      </c>
      <c r="H63" s="11" t="inlineStr">
        <is>
          <t>2025-02-27</t>
        </is>
      </c>
      <c r="I63" s="13" t="n">
        <v>1120</v>
      </c>
      <c r="J63" s="5" t="n">
        <v>500</v>
      </c>
      <c r="K63" s="14" t="n">
        <v>15.05</v>
      </c>
      <c r="L63" s="14" t="n">
        <v>12.6</v>
      </c>
      <c r="M63" s="5">
        <f>K63*J63</f>
        <v/>
      </c>
      <c r="N63" s="8">
        <f>(L63-K63)*J63</f>
        <v/>
      </c>
      <c r="O63" s="8" t="n">
        <v>-1564.19</v>
      </c>
      <c r="P63" s="7">
        <f>O63/M63*100</f>
        <v/>
      </c>
      <c r="Q63" s="9" t="n">
        <v>0.112</v>
      </c>
      <c r="R63" s="11" t="inlineStr">
        <is>
          <t>2025_H1</t>
        </is>
      </c>
    </row>
    <row r="64">
      <c r="A64" s="11" t="inlineStr">
        <is>
          <t>2025-02-13</t>
        </is>
      </c>
      <c r="B64" s="11" t="inlineStr">
        <is>
          <t>JUBLFOOD</t>
        </is>
      </c>
      <c r="C64" s="11" t="inlineStr">
        <is>
          <t>CE</t>
        </is>
      </c>
      <c r="D64" s="11" t="inlineStr">
        <is>
          <t>mid</t>
        </is>
      </c>
      <c r="E64" s="12" t="n">
        <v>-34.2</v>
      </c>
      <c r="F64" s="12" t="n">
        <v>-35</v>
      </c>
      <c r="G64" s="12" t="n">
        <v>56.1</v>
      </c>
      <c r="H64" s="11" t="inlineStr">
        <is>
          <t>2025-02-27</t>
        </is>
      </c>
      <c r="I64" s="13" t="n">
        <v>680</v>
      </c>
      <c r="J64" s="5" t="n">
        <v>1250</v>
      </c>
      <c r="K64" s="14" t="n">
        <v>5</v>
      </c>
      <c r="L64" s="14" t="n">
        <v>10.15</v>
      </c>
      <c r="M64" s="5">
        <f>K64*J64</f>
        <v/>
      </c>
      <c r="N64" s="8">
        <f>(L64-K64)*J64</f>
        <v/>
      </c>
      <c r="O64" s="8" t="n">
        <v>5984.37</v>
      </c>
      <c r="P64" s="7">
        <f>O64/M64*100</f>
        <v/>
      </c>
      <c r="Q64" s="9" t="n">
        <v>3.453</v>
      </c>
      <c r="R64" s="11" t="inlineStr">
        <is>
          <t>2025_H1</t>
        </is>
      </c>
    </row>
    <row r="65">
      <c r="A65" s="11" t="inlineStr">
        <is>
          <t>2025-02-13</t>
        </is>
      </c>
      <c r="B65" s="11" t="inlineStr">
        <is>
          <t>MUTHOOTFIN</t>
        </is>
      </c>
      <c r="C65" s="11" t="inlineStr">
        <is>
          <t>PE</t>
        </is>
      </c>
      <c r="D65" s="11" t="inlineStr">
        <is>
          <t>mid</t>
        </is>
      </c>
      <c r="E65" s="12" t="n">
        <v>21.5</v>
      </c>
      <c r="F65" s="12" t="n">
        <v>5.3</v>
      </c>
      <c r="G65" s="12" t="n">
        <v>35.9</v>
      </c>
      <c r="H65" s="11" t="inlineStr">
        <is>
          <t>2025-02-27</t>
        </is>
      </c>
      <c r="I65" s="13" t="n">
        <v>2160</v>
      </c>
      <c r="J65" s="5" t="n">
        <v>275</v>
      </c>
      <c r="K65" s="14" t="n">
        <v>28.1</v>
      </c>
      <c r="L65" s="14" t="n">
        <v>10.35</v>
      </c>
      <c r="M65" s="5">
        <f>K65*J65</f>
        <v/>
      </c>
      <c r="N65" s="8">
        <f>(L65-K65)*J65</f>
        <v/>
      </c>
      <c r="O65" s="8" t="n">
        <v>-5148.88</v>
      </c>
      <c r="P65" s="7">
        <f>O65/M65*100</f>
        <v/>
      </c>
      <c r="Q65" s="9" t="n">
        <v>-3.068</v>
      </c>
      <c r="R65" s="11" t="inlineStr">
        <is>
          <t>2025_H1</t>
        </is>
      </c>
    </row>
    <row r="66">
      <c r="A66" s="11" t="inlineStr">
        <is>
          <t>2025-02-13</t>
        </is>
      </c>
      <c r="B66" s="11" t="inlineStr">
        <is>
          <t>PFC</t>
        </is>
      </c>
      <c r="C66" s="11" t="inlineStr">
        <is>
          <t>PE</t>
        </is>
      </c>
      <c r="D66" s="11" t="inlineStr">
        <is>
          <t>large</t>
        </is>
      </c>
      <c r="E66" s="12" t="n">
        <v>12228.5</v>
      </c>
      <c r="F66" s="12" t="n">
        <v>7.5</v>
      </c>
      <c r="G66" s="12" t="n">
        <v>11268.6</v>
      </c>
      <c r="H66" s="11" t="inlineStr">
        <is>
          <t>2025-02-27</t>
        </is>
      </c>
      <c r="I66" s="13" t="n">
        <v>350</v>
      </c>
      <c r="J66" s="5" t="n">
        <v>1300</v>
      </c>
      <c r="K66" s="14" t="n">
        <v>4.55</v>
      </c>
      <c r="L66" s="14" t="n">
        <v>2.8</v>
      </c>
      <c r="M66" s="5">
        <f>K66*J66</f>
        <v/>
      </c>
      <c r="N66" s="8">
        <f>(L66-K66)*J66</f>
        <v/>
      </c>
      <c r="O66" s="8" t="n">
        <v>-2427.4</v>
      </c>
      <c r="P66" s="7">
        <f>O66/M66*100</f>
        <v/>
      </c>
      <c r="Q66" s="9" t="n">
        <v>-1.989</v>
      </c>
      <c r="R66" s="11" t="inlineStr">
        <is>
          <t>2025_H1</t>
        </is>
      </c>
    </row>
    <row r="67">
      <c r="A67" s="11" t="inlineStr">
        <is>
          <t>2025-02-17</t>
        </is>
      </c>
      <c r="B67" s="11" t="inlineStr">
        <is>
          <t>MOTHERSON</t>
        </is>
      </c>
      <c r="C67" s="11" t="inlineStr">
        <is>
          <t>PE</t>
        </is>
      </c>
      <c r="D67" s="11" t="inlineStr">
        <is>
          <t>large</t>
        </is>
      </c>
      <c r="E67" s="12" t="n">
        <v>55.4</v>
      </c>
      <c r="F67" s="12" t="n">
        <v>3.7</v>
      </c>
      <c r="G67" s="12" t="n">
        <v>7.7</v>
      </c>
      <c r="H67" s="11" t="inlineStr">
        <is>
          <t>2025-02-27</t>
        </is>
      </c>
      <c r="I67" s="13" t="n">
        <v>117.5</v>
      </c>
      <c r="J67" s="5" t="n">
        <v>3550</v>
      </c>
      <c r="K67" s="14" t="n">
        <v>2.05</v>
      </c>
      <c r="L67" s="14" t="n">
        <v>0.9</v>
      </c>
      <c r="M67" s="5">
        <f>K67*J67</f>
        <v/>
      </c>
      <c r="N67" s="8">
        <f>(L67-K67)*J67</f>
        <v/>
      </c>
      <c r="O67" s="8" t="n">
        <v>-4243.85</v>
      </c>
      <c r="P67" s="7">
        <f>O67/M67*100</f>
        <v/>
      </c>
      <c r="Q67" s="9" t="n">
        <v>1.129</v>
      </c>
      <c r="R67" s="11" t="inlineStr">
        <is>
          <t>2025_H1</t>
        </is>
      </c>
    </row>
    <row r="68">
      <c r="A68" s="11" t="inlineStr">
        <is>
          <t>2025-04-29</t>
        </is>
      </c>
      <c r="B68" s="11" t="inlineStr">
        <is>
          <t>KPITTECH</t>
        </is>
      </c>
      <c r="C68" s="11" t="inlineStr">
        <is>
          <t>PE</t>
        </is>
      </c>
      <c r="D68" s="11" t="inlineStr">
        <is>
          <t>mid</t>
        </is>
      </c>
      <c r="E68" s="12" t="n">
        <v>47.5</v>
      </c>
      <c r="F68" s="12" t="n">
        <v>30.9</v>
      </c>
      <c r="G68" s="12" t="n">
        <v>16</v>
      </c>
      <c r="H68" s="11" t="inlineStr">
        <is>
          <t>2025-05-29</t>
        </is>
      </c>
      <c r="I68" s="13" t="n">
        <v>1080</v>
      </c>
      <c r="J68" s="5" t="n">
        <v>400</v>
      </c>
      <c r="K68" s="14" t="n">
        <v>17.05</v>
      </c>
      <c r="L68" s="14" t="n">
        <v>9.6</v>
      </c>
      <c r="M68" s="5">
        <f>K68*J68</f>
        <v/>
      </c>
      <c r="N68" s="8">
        <f>(L68-K68)*J68</f>
        <v/>
      </c>
      <c r="O68" s="8" t="n">
        <v>-3250.84</v>
      </c>
      <c r="P68" s="7">
        <f>O68/M68*100</f>
        <v/>
      </c>
      <c r="Q68" s="9" t="n">
        <v>-2.913</v>
      </c>
      <c r="R68" s="11" t="inlineStr">
        <is>
          <t>2025_H1</t>
        </is>
      </c>
    </row>
    <row r="69">
      <c r="A69" s="11" t="inlineStr">
        <is>
          <t>2025-04-30</t>
        </is>
      </c>
      <c r="B69" s="11" t="inlineStr">
        <is>
          <t>BAJFINANCE</t>
        </is>
      </c>
      <c r="C69" s="11" t="inlineStr">
        <is>
          <t>PE</t>
        </is>
      </c>
      <c r="D69" s="11" t="inlineStr">
        <is>
          <t>large</t>
        </is>
      </c>
      <c r="E69" s="12" t="n">
        <v>18.9</v>
      </c>
      <c r="F69" s="12" t="n">
        <v>5.5</v>
      </c>
      <c r="G69" s="12" t="n">
        <v>23.7</v>
      </c>
      <c r="H69" s="11" t="inlineStr">
        <is>
          <t>2025-05-29</t>
        </is>
      </c>
      <c r="I69" s="13" t="n">
        <v>8100</v>
      </c>
      <c r="J69" s="5" t="n">
        <v>125</v>
      </c>
      <c r="K69" s="14" t="n">
        <v>50.1</v>
      </c>
      <c r="L69" s="14" t="n">
        <v>80.3</v>
      </c>
      <c r="M69" s="5">
        <f>K69*J69</f>
        <v/>
      </c>
      <c r="N69" s="8">
        <f>(L69-K69)*J69</f>
        <v/>
      </c>
      <c r="O69" s="8" t="n">
        <v>3542.69</v>
      </c>
      <c r="P69" s="7">
        <f>O69/M69*100</f>
        <v/>
      </c>
      <c r="Q69" s="9" t="n">
        <v>2.325</v>
      </c>
      <c r="R69" s="11" t="inlineStr">
        <is>
          <t>2025_H1</t>
        </is>
      </c>
    </row>
    <row r="70">
      <c r="A70" s="11" t="inlineStr">
        <is>
          <t>2025-05-02</t>
        </is>
      </c>
      <c r="B70" s="11" t="inlineStr">
        <is>
          <t>VBL</t>
        </is>
      </c>
      <c r="C70" s="11" t="inlineStr">
        <is>
          <t>PE</t>
        </is>
      </c>
      <c r="D70" s="11" t="inlineStr">
        <is>
          <t>large</t>
        </is>
      </c>
      <c r="E70" s="12" t="n">
        <v>33.5</v>
      </c>
      <c r="F70" s="12" t="n">
        <v>273.8</v>
      </c>
      <c r="G70" s="12" t="n">
        <v>29.2</v>
      </c>
      <c r="H70" s="11" t="inlineStr">
        <is>
          <t>2025-05-29</t>
        </is>
      </c>
      <c r="I70" s="13" t="n">
        <v>480</v>
      </c>
      <c r="J70" s="5" t="n">
        <v>875</v>
      </c>
      <c r="K70" s="14" t="n">
        <v>8.699999999999999</v>
      </c>
      <c r="L70" s="14" t="n">
        <v>6.4</v>
      </c>
      <c r="M70" s="5">
        <f>K70*J70</f>
        <v/>
      </c>
      <c r="N70" s="8">
        <f>(L70-K70)*J70</f>
        <v/>
      </c>
      <c r="O70" s="8" t="n">
        <v>-2206.01</v>
      </c>
      <c r="P70" s="7">
        <f>O70/M70*100</f>
        <v/>
      </c>
      <c r="Q70" s="9" t="n">
        <v>0.456</v>
      </c>
      <c r="R70" s="11" t="inlineStr">
        <is>
          <t>2025_H1</t>
        </is>
      </c>
    </row>
    <row r="71">
      <c r="A71" s="11" t="inlineStr">
        <is>
          <t>2025-05-05</t>
        </is>
      </c>
      <c r="B71" s="11" t="inlineStr">
        <is>
          <t>CDSL</t>
        </is>
      </c>
      <c r="C71" s="11" t="inlineStr">
        <is>
          <t>CE</t>
        </is>
      </c>
      <c r="D71" s="11" t="inlineStr">
        <is>
          <t>small</t>
        </is>
      </c>
      <c r="E71" s="12" t="n">
        <v>-22.4</v>
      </c>
      <c r="F71" s="12" t="n">
        <v>-22.7</v>
      </c>
      <c r="G71" s="12" t="n">
        <v>-6.8</v>
      </c>
      <c r="H71" s="11" t="inlineStr">
        <is>
          <t>2025-05-29</t>
        </is>
      </c>
      <c r="I71" s="13" t="n">
        <v>1360</v>
      </c>
      <c r="J71" s="5" t="n">
        <v>350</v>
      </c>
      <c r="K71" s="14" t="n">
        <v>17.1</v>
      </c>
      <c r="L71" s="14" t="n">
        <v>29.85</v>
      </c>
      <c r="M71" s="5">
        <f>K71*J71</f>
        <v/>
      </c>
      <c r="N71" s="8">
        <f>(L71-K71)*J71</f>
        <v/>
      </c>
      <c r="O71" s="8" t="n">
        <v>3899.57</v>
      </c>
      <c r="P71" s="7">
        <f>O71/M71*100</f>
        <v/>
      </c>
      <c r="Q71" s="9" t="n">
        <v>2.625</v>
      </c>
      <c r="R71" s="11" t="inlineStr">
        <is>
          <t>2025_H1</t>
        </is>
      </c>
    </row>
    <row r="72">
      <c r="A72" s="11" t="inlineStr">
        <is>
          <t>2025-05-05</t>
        </is>
      </c>
      <c r="B72" s="11" t="inlineStr">
        <is>
          <t>INDIANB</t>
        </is>
      </c>
      <c r="C72" s="11" t="inlineStr">
        <is>
          <t>PE</t>
        </is>
      </c>
      <c r="D72" s="11" t="inlineStr">
        <is>
          <t>mid</t>
        </is>
      </c>
      <c r="E72" s="12" t="n">
        <v>29.9</v>
      </c>
      <c r="F72" s="12" t="n">
        <v>2.5</v>
      </c>
      <c r="G72" s="12" t="n">
        <v>8.4</v>
      </c>
      <c r="H72" s="11" t="inlineStr">
        <is>
          <t>2025-05-29</t>
        </is>
      </c>
      <c r="I72" s="13" t="n">
        <v>530</v>
      </c>
      <c r="J72" s="5" t="n">
        <v>950</v>
      </c>
      <c r="K72" s="14" t="n">
        <v>7.55</v>
      </c>
      <c r="L72" s="14" t="n">
        <v>4.8</v>
      </c>
      <c r="M72" s="5">
        <f>K72*J72</f>
        <v/>
      </c>
      <c r="N72" s="8">
        <f>(L72-K72)*J72</f>
        <v/>
      </c>
      <c r="O72" s="8" t="n">
        <v>-2906.34</v>
      </c>
      <c r="P72" s="7">
        <f>O72/M72*100</f>
        <v/>
      </c>
      <c r="Q72" s="9" t="n">
        <v>-1.318</v>
      </c>
      <c r="R72" s="11" t="inlineStr">
        <is>
          <t>2025_H1</t>
        </is>
      </c>
    </row>
    <row r="73">
      <c r="A73" s="11" t="inlineStr">
        <is>
          <t>2025-05-06</t>
        </is>
      </c>
      <c r="B73" s="11" t="inlineStr">
        <is>
          <t>COFORGE</t>
        </is>
      </c>
      <c r="C73" s="11" t="inlineStr">
        <is>
          <t>PE</t>
        </is>
      </c>
      <c r="D73" s="11" t="inlineStr">
        <is>
          <t>mid</t>
        </is>
      </c>
      <c r="E73" s="12" t="n">
        <v>34.1</v>
      </c>
      <c r="F73" s="12" t="n">
        <v>20.1</v>
      </c>
      <c r="G73" s="12" t="n">
        <v>44.6</v>
      </c>
      <c r="H73" s="11" t="inlineStr">
        <is>
          <t>2025-05-29</t>
        </is>
      </c>
      <c r="I73" s="13" t="n">
        <v>7300</v>
      </c>
      <c r="J73" s="5" t="n">
        <v>75</v>
      </c>
      <c r="K73" s="14" t="n">
        <v>92.75</v>
      </c>
      <c r="L73" s="14" t="n">
        <v>241.3</v>
      </c>
      <c r="M73" s="5">
        <f>K73*J73</f>
        <v/>
      </c>
      <c r="N73" s="8">
        <f>(L73-K73)*J73</f>
        <v/>
      </c>
      <c r="O73" s="8" t="n">
        <v>10555.07</v>
      </c>
      <c r="P73" s="7">
        <f>O73/M73*100</f>
        <v/>
      </c>
      <c r="Q73" s="9" t="n">
        <v>5.401</v>
      </c>
      <c r="R73" s="11" t="inlineStr">
        <is>
          <t>2025_H1</t>
        </is>
      </c>
    </row>
    <row r="74">
      <c r="A74" s="11" t="inlineStr">
        <is>
          <t>2025-05-19</t>
        </is>
      </c>
      <c r="B74" s="11" t="inlineStr">
        <is>
          <t>DIVISLAB</t>
        </is>
      </c>
      <c r="C74" s="11" t="inlineStr">
        <is>
          <t>PE</t>
        </is>
      </c>
      <c r="D74" s="11" t="inlineStr">
        <is>
          <t>large</t>
        </is>
      </c>
      <c r="E74" s="12" t="n">
        <v>23</v>
      </c>
      <c r="F74" s="12" t="n">
        <v>12.4</v>
      </c>
      <c r="G74" s="12" t="n">
        <v>12.2</v>
      </c>
      <c r="H74" s="11" t="inlineStr">
        <is>
          <t>2025-05-29</t>
        </is>
      </c>
      <c r="I74" s="13" t="n">
        <v>6150</v>
      </c>
      <c r="J74" s="5" t="n">
        <v>100</v>
      </c>
      <c r="K74" s="14" t="n">
        <v>62.6</v>
      </c>
      <c r="L74" s="14" t="n">
        <v>28.75</v>
      </c>
      <c r="M74" s="5">
        <f>K74*J74</f>
        <v/>
      </c>
      <c r="N74" s="8">
        <f>(L74-K74)*J74</f>
        <v/>
      </c>
      <c r="O74" s="8" t="n">
        <v>-3531.88</v>
      </c>
      <c r="P74" s="7">
        <f>O74/M74*100</f>
        <v/>
      </c>
      <c r="Q74" s="9" t="n">
        <v>-2.812</v>
      </c>
      <c r="R74" s="11" t="inlineStr">
        <is>
          <t>2025_H1</t>
        </is>
      </c>
    </row>
    <row r="75">
      <c r="A75" s="11" t="inlineStr">
        <is>
          <t>2025-05-20</t>
        </is>
      </c>
      <c r="B75" s="11" t="inlineStr">
        <is>
          <t>BEL</t>
        </is>
      </c>
      <c r="C75" s="11" t="inlineStr">
        <is>
          <t>PE</t>
        </is>
      </c>
      <c r="D75" s="11" t="inlineStr">
        <is>
          <t>large</t>
        </is>
      </c>
      <c r="E75" s="12" t="n">
        <v>18.4</v>
      </c>
      <c r="F75" s="12" t="n">
        <v>62.2</v>
      </c>
      <c r="G75" s="12" t="n">
        <v>6.8</v>
      </c>
      <c r="H75" s="11" t="inlineStr">
        <is>
          <t>2025-05-29</t>
        </is>
      </c>
      <c r="I75" s="13" t="n">
        <v>345</v>
      </c>
      <c r="J75" s="5" t="n">
        <v>2850</v>
      </c>
      <c r="K75" s="14" t="n">
        <v>2.55</v>
      </c>
      <c r="L75" s="14" t="n">
        <v>2.25</v>
      </c>
      <c r="M75" s="5">
        <f>K75*J75</f>
        <v/>
      </c>
      <c r="N75" s="8">
        <f>(L75-K75)*J75</f>
        <v/>
      </c>
      <c r="O75" s="8" t="n">
        <v>-1054.6</v>
      </c>
      <c r="P75" s="7">
        <f>O75/M75*100</f>
        <v/>
      </c>
      <c r="Q75" s="9" t="n">
        <v>1.516</v>
      </c>
      <c r="R75" s="11" t="inlineStr">
        <is>
          <t>2025_H1</t>
        </is>
      </c>
    </row>
    <row r="76">
      <c r="A76" s="11" t="inlineStr">
        <is>
          <t>2025-05-20</t>
        </is>
      </c>
      <c r="B76" s="11" t="inlineStr">
        <is>
          <t>DLF</t>
        </is>
      </c>
      <c r="C76" s="11" t="inlineStr">
        <is>
          <t>PE</t>
        </is>
      </c>
      <c r="D76" s="11" t="inlineStr">
        <is>
          <t>large</t>
        </is>
      </c>
      <c r="E76" s="12" t="n">
        <v>39.4</v>
      </c>
      <c r="F76" s="12" t="n">
        <v>21.1</v>
      </c>
      <c r="G76" s="12" t="n">
        <v>46.5</v>
      </c>
      <c r="H76" s="11" t="inlineStr">
        <is>
          <t>2025-05-29</t>
        </is>
      </c>
      <c r="I76" s="13" t="n">
        <v>740</v>
      </c>
      <c r="J76" s="5" t="n">
        <v>825</v>
      </c>
      <c r="K76" s="14" t="n">
        <v>9.5</v>
      </c>
      <c r="L76" s="14" t="n">
        <v>9.35</v>
      </c>
      <c r="M76" s="5">
        <f>K76*J76</f>
        <v/>
      </c>
      <c r="N76" s="8">
        <f>(L76-K76)*J76</f>
        <v/>
      </c>
      <c r="O76" s="8" t="n">
        <v>-344.8</v>
      </c>
      <c r="P76" s="7">
        <f>O76/M76*100</f>
        <v/>
      </c>
      <c r="Q76" s="9" t="n">
        <v>2.143</v>
      </c>
      <c r="R76" s="11" t="inlineStr">
        <is>
          <t>2025_H1</t>
        </is>
      </c>
    </row>
    <row r="77">
      <c r="A77" s="11" t="inlineStr">
        <is>
          <t>2025-05-20</t>
        </is>
      </c>
      <c r="B77" s="11" t="inlineStr">
        <is>
          <t>PIIND</t>
        </is>
      </c>
      <c r="C77" s="11" t="inlineStr">
        <is>
          <t>CE</t>
        </is>
      </c>
      <c r="D77" s="11" t="inlineStr">
        <is>
          <t>mid</t>
        </is>
      </c>
      <c r="E77" s="12" t="n">
        <v>-10.6</v>
      </c>
      <c r="F77" s="12" t="n">
        <v>-11.3</v>
      </c>
      <c r="G77" s="12" t="n">
        <v>2.6</v>
      </c>
      <c r="H77" s="11" t="inlineStr">
        <is>
          <t>2025-05-29</t>
        </is>
      </c>
      <c r="I77" s="13" t="n">
        <v>3850</v>
      </c>
      <c r="J77" s="5" t="n">
        <v>125</v>
      </c>
      <c r="K77" s="14" t="n">
        <v>48</v>
      </c>
      <c r="L77" s="14" t="n">
        <v>41.9</v>
      </c>
      <c r="M77" s="5">
        <f>K77*J77</f>
        <v/>
      </c>
      <c r="N77" s="8">
        <f>(L77-K77)*J77</f>
        <v/>
      </c>
      <c r="O77" s="8" t="n">
        <v>-1047.22</v>
      </c>
      <c r="P77" s="7">
        <f>O77/M77*100</f>
        <v/>
      </c>
      <c r="Q77" s="9" t="n">
        <v>0.789</v>
      </c>
      <c r="R77" s="11" t="inlineStr">
        <is>
          <t>2025_H1</t>
        </is>
      </c>
    </row>
    <row r="78">
      <c r="A78" s="11" t="inlineStr">
        <is>
          <t>2025-05-21</t>
        </is>
      </c>
      <c r="B78" s="11" t="inlineStr">
        <is>
          <t>DIXON</t>
        </is>
      </c>
      <c r="C78" s="11" t="inlineStr">
        <is>
          <t>PE</t>
        </is>
      </c>
      <c r="D78" s="11" t="inlineStr">
        <is>
          <t>mid</t>
        </is>
      </c>
      <c r="E78" s="12" t="n">
        <v>377.9</v>
      </c>
      <c r="F78" s="12" t="n">
        <v>115</v>
      </c>
      <c r="G78" s="12" t="n">
        <v>121</v>
      </c>
      <c r="H78" s="11" t="inlineStr">
        <is>
          <t>2025-05-29</t>
        </is>
      </c>
      <c r="I78" s="13" t="n">
        <v>15250</v>
      </c>
      <c r="J78" s="5" t="n">
        <v>50</v>
      </c>
      <c r="K78" s="14" t="n">
        <v>115.9</v>
      </c>
      <c r="L78" s="14" t="n">
        <v>273.95</v>
      </c>
      <c r="M78" s="5">
        <f>K78*J78</f>
        <v/>
      </c>
      <c r="N78" s="8">
        <f>(L78-K78)*J78</f>
        <v/>
      </c>
      <c r="O78" s="8" t="n">
        <v>7436.53</v>
      </c>
      <c r="P78" s="7">
        <f>O78/M78*100</f>
        <v/>
      </c>
      <c r="Q78" s="9" t="n">
        <v>5.764</v>
      </c>
      <c r="R78" s="11" t="inlineStr">
        <is>
          <t>2025_H1</t>
        </is>
      </c>
    </row>
    <row r="79">
      <c r="A79" s="11" t="inlineStr">
        <is>
          <t>2025-05-21</t>
        </is>
      </c>
      <c r="B79" s="11" t="inlineStr">
        <is>
          <t>HINDALCO</t>
        </is>
      </c>
      <c r="C79" s="11" t="inlineStr">
        <is>
          <t>PE</t>
        </is>
      </c>
      <c r="D79" s="11" t="inlineStr">
        <is>
          <t>large</t>
        </is>
      </c>
      <c r="E79" s="12" t="n">
        <v>66.5</v>
      </c>
      <c r="F79" s="12" t="n">
        <v>41.5</v>
      </c>
      <c r="G79" s="12" t="n">
        <v>15.9</v>
      </c>
      <c r="H79" s="11" t="inlineStr">
        <is>
          <t>2025-05-29</t>
        </is>
      </c>
      <c r="I79" s="13" t="n">
        <v>640</v>
      </c>
      <c r="J79" s="5" t="n">
        <v>1400</v>
      </c>
      <c r="K79" s="14" t="n">
        <v>5.15</v>
      </c>
      <c r="L79" s="14" t="n">
        <v>3.75</v>
      </c>
      <c r="M79" s="5">
        <f>K79*J79</f>
        <v/>
      </c>
      <c r="N79" s="8">
        <f>(L79-K79)*J79</f>
        <v/>
      </c>
      <c r="O79" s="8" t="n">
        <v>-2145.15</v>
      </c>
      <c r="P79" s="7">
        <f>O79/M79*100</f>
        <v/>
      </c>
      <c r="Q79" s="9" t="n">
        <v>0.615</v>
      </c>
      <c r="R79" s="11" t="inlineStr">
        <is>
          <t>2025_H1</t>
        </is>
      </c>
    </row>
    <row r="80">
      <c r="A80" s="11" t="inlineStr">
        <is>
          <t>2025-05-21</t>
        </is>
      </c>
      <c r="B80" s="11" t="inlineStr">
        <is>
          <t>MAXHEALTH</t>
        </is>
      </c>
      <c r="C80" s="11" t="inlineStr">
        <is>
          <t>PE</t>
        </is>
      </c>
      <c r="D80" s="11" t="inlineStr">
        <is>
          <t>mid</t>
        </is>
      </c>
      <c r="E80" s="12" t="n">
        <v>26.8</v>
      </c>
      <c r="F80" s="12" t="n">
        <v>33.6</v>
      </c>
      <c r="G80" s="12" t="n">
        <v>34.2</v>
      </c>
      <c r="H80" s="11" t="inlineStr">
        <is>
          <t>2025-05-29</t>
        </is>
      </c>
      <c r="I80" s="13" t="n">
        <v>1140</v>
      </c>
      <c r="J80" s="5" t="n">
        <v>525</v>
      </c>
      <c r="K80" s="14" t="n">
        <v>14.05</v>
      </c>
      <c r="L80" s="14" t="n">
        <v>22.55</v>
      </c>
      <c r="M80" s="5">
        <f>K80*J80</f>
        <v/>
      </c>
      <c r="N80" s="8">
        <f>(L80-K80)*J80</f>
        <v/>
      </c>
      <c r="O80" s="8" t="n">
        <v>4004.94</v>
      </c>
      <c r="P80" s="7">
        <f>O80/M80*100</f>
        <v/>
      </c>
      <c r="Q80" s="9" t="n">
        <v>2.543</v>
      </c>
      <c r="R80" s="11" t="inlineStr">
        <is>
          <t>2025_H1</t>
        </is>
      </c>
    </row>
    <row r="81">
      <c r="A81" s="11" t="inlineStr">
        <is>
          <t>2025-05-21</t>
        </is>
      </c>
      <c r="B81" s="11" t="inlineStr">
        <is>
          <t>UNITDSPR</t>
        </is>
      </c>
      <c r="C81" s="11" t="inlineStr">
        <is>
          <t>PE</t>
        </is>
      </c>
      <c r="D81" s="11" t="inlineStr">
        <is>
          <t>large</t>
        </is>
      </c>
      <c r="E81" s="12" t="n">
        <v>74.7</v>
      </c>
      <c r="F81" s="12" t="n">
        <v>25.7</v>
      </c>
      <c r="G81" s="12" t="n">
        <v>1.9</v>
      </c>
      <c r="H81" s="11" t="inlineStr">
        <is>
          <t>2025-05-29</t>
        </is>
      </c>
      <c r="I81" s="13" t="n">
        <v>1540</v>
      </c>
      <c r="J81" s="5" t="n">
        <v>350</v>
      </c>
      <c r="K81" s="14" t="n">
        <v>22.7</v>
      </c>
      <c r="L81" s="14" t="n">
        <v>18.35</v>
      </c>
      <c r="M81" s="5">
        <f>K81*J81</f>
        <v/>
      </c>
      <c r="N81" s="8">
        <f>(L81-K81)*J81</f>
        <v/>
      </c>
      <c r="O81" s="8" t="n">
        <v>-1729.28</v>
      </c>
      <c r="P81" s="7">
        <f>O81/M81*100</f>
        <v/>
      </c>
      <c r="Q81" s="9" t="n">
        <v>0.803</v>
      </c>
      <c r="R81" s="11" t="inlineStr">
        <is>
          <t>2025_H1</t>
        </is>
      </c>
    </row>
    <row r="82">
      <c r="A82" s="11" t="inlineStr">
        <is>
          <t>2025-05-22</t>
        </is>
      </c>
      <c r="B82" s="11" t="inlineStr">
        <is>
          <t>INDIGO</t>
        </is>
      </c>
      <c r="C82" s="11" t="inlineStr">
        <is>
          <t>PE</t>
        </is>
      </c>
      <c r="D82" s="11" t="inlineStr">
        <is>
          <t>large</t>
        </is>
      </c>
      <c r="E82" s="12" t="n">
        <v>61.9</v>
      </c>
      <c r="F82" s="12" t="n">
        <v>25.3</v>
      </c>
      <c r="G82" s="12" t="n">
        <v>24.3</v>
      </c>
      <c r="H82" s="11" t="inlineStr">
        <is>
          <t>2025-05-29</t>
        </is>
      </c>
      <c r="I82" s="13" t="n">
        <v>5150</v>
      </c>
      <c r="J82" s="5" t="n">
        <v>150</v>
      </c>
      <c r="K82" s="14" t="n">
        <v>39.95</v>
      </c>
      <c r="L82" s="14" t="n">
        <v>11.05</v>
      </c>
      <c r="M82" s="5">
        <f>K82*J82</f>
        <v/>
      </c>
      <c r="N82" s="8">
        <f>(L82-K82)*J82</f>
        <v/>
      </c>
      <c r="O82" s="8" t="n">
        <v>-4464.59</v>
      </c>
      <c r="P82" s="7">
        <f>O82/M82*100</f>
        <v/>
      </c>
      <c r="Q82" s="9" t="n">
        <v>-0.695</v>
      </c>
      <c r="R82" s="11" t="inlineStr">
        <is>
          <t>2025_H1</t>
        </is>
      </c>
    </row>
    <row r="83">
      <c r="A83" s="11" t="inlineStr">
        <is>
          <t>2025-05-22</t>
        </is>
      </c>
      <c r="B83" s="11" t="inlineStr">
        <is>
          <t>INDUSINDBK</t>
        </is>
      </c>
      <c r="C83" s="11" t="inlineStr">
        <is>
          <t>CE</t>
        </is>
      </c>
      <c r="D83" s="11" t="inlineStr">
        <is>
          <t>mid</t>
        </is>
      </c>
      <c r="E83" s="12" t="n">
        <v>-199.1</v>
      </c>
      <c r="F83" s="12" t="n">
        <v>-266.1</v>
      </c>
      <c r="G83" s="12" t="n">
        <v>-12.8</v>
      </c>
      <c r="H83" s="11" t="inlineStr">
        <is>
          <t>2025-05-29</t>
        </is>
      </c>
      <c r="I83" s="13" t="n">
        <v>780</v>
      </c>
      <c r="J83" s="5" t="n">
        <v>500</v>
      </c>
      <c r="K83" s="14" t="n">
        <v>15</v>
      </c>
      <c r="L83" s="14" t="n">
        <v>24.55</v>
      </c>
      <c r="M83" s="5">
        <f>K83*J83</f>
        <v/>
      </c>
      <c r="N83" s="8">
        <f>(L83-K83)*J83</f>
        <v/>
      </c>
      <c r="O83" s="8" t="n">
        <v>4305.35</v>
      </c>
      <c r="P83" s="7">
        <f>O83/M83*100</f>
        <v/>
      </c>
      <c r="Q83" s="9" t="n">
        <v>4.667</v>
      </c>
      <c r="R83" s="11" t="inlineStr">
        <is>
          <t>2025_H1</t>
        </is>
      </c>
    </row>
    <row r="84">
      <c r="A84" s="11" t="inlineStr">
        <is>
          <t>2025-05-22</t>
        </is>
      </c>
      <c r="B84" s="11" t="inlineStr">
        <is>
          <t>NATIONALUM</t>
        </is>
      </c>
      <c r="C84" s="11" t="inlineStr">
        <is>
          <t>PE</t>
        </is>
      </c>
      <c r="D84" s="11" t="inlineStr">
        <is>
          <t>mid</t>
        </is>
      </c>
      <c r="E84" s="12" t="n">
        <v>107.4</v>
      </c>
      <c r="F84" s="12" t="n">
        <v>32</v>
      </c>
      <c r="G84" s="12" t="n">
        <v>47.2</v>
      </c>
      <c r="H84" s="11" t="inlineStr">
        <is>
          <t>2025-05-29</t>
        </is>
      </c>
      <c r="I84" s="13" t="n">
        <v>180</v>
      </c>
      <c r="J84" s="5" t="n">
        <v>3750</v>
      </c>
      <c r="K84" s="14" t="n">
        <v>2.05</v>
      </c>
      <c r="L84" s="14" t="n">
        <v>1.8</v>
      </c>
      <c r="M84" s="5">
        <f>K84*J84</f>
        <v/>
      </c>
      <c r="N84" s="8">
        <f>(L84-K84)*J84</f>
        <v/>
      </c>
      <c r="O84" s="8" t="n">
        <v>-1289.87</v>
      </c>
      <c r="P84" s="7">
        <f>O84/M84*100</f>
        <v/>
      </c>
      <c r="Q84" s="9" t="n">
        <v>2.658</v>
      </c>
      <c r="R84" s="11" t="inlineStr">
        <is>
          <t>2025_H1</t>
        </is>
      </c>
    </row>
    <row r="85">
      <c r="A85" s="11" t="inlineStr">
        <is>
          <t>2025-05-22</t>
        </is>
      </c>
      <c r="B85" s="11" t="inlineStr">
        <is>
          <t>ONGC</t>
        </is>
      </c>
      <c r="C85" s="11" t="inlineStr">
        <is>
          <t>CE</t>
        </is>
      </c>
      <c r="D85" s="11" t="inlineStr">
        <is>
          <t>large</t>
        </is>
      </c>
      <c r="E85" s="12" t="n">
        <v>-23.2</v>
      </c>
      <c r="F85" s="12" t="n">
        <v>-9.5</v>
      </c>
      <c r="G85" s="12" t="n">
        <v>2.4</v>
      </c>
      <c r="H85" s="11" t="inlineStr">
        <is>
          <t>2025-05-29</t>
        </is>
      </c>
      <c r="I85" s="13" t="n">
        <v>250</v>
      </c>
      <c r="J85" s="5" t="n">
        <v>1925</v>
      </c>
      <c r="K85" s="14" t="n">
        <v>3.6</v>
      </c>
      <c r="L85" s="14" t="n">
        <v>1.1</v>
      </c>
      <c r="M85" s="5">
        <f>K85*J85</f>
        <v/>
      </c>
      <c r="N85" s="8">
        <f>(L85-K85)*J85</f>
        <v/>
      </c>
      <c r="O85" s="8" t="n">
        <v>-4957.37</v>
      </c>
      <c r="P85" s="7">
        <f>O85/M85*100</f>
        <v/>
      </c>
      <c r="Q85" s="9" t="n">
        <v>-2.819</v>
      </c>
      <c r="R85" s="11" t="inlineStr">
        <is>
          <t>2025_H1</t>
        </is>
      </c>
    </row>
    <row r="86">
      <c r="A86" s="11" t="inlineStr">
        <is>
          <t>2025-05-23</t>
        </is>
      </c>
      <c r="B86" s="11" t="inlineStr">
        <is>
          <t>ITC</t>
        </is>
      </c>
      <c r="C86" s="11" t="inlineStr">
        <is>
          <t>PE</t>
        </is>
      </c>
      <c r="D86" s="11" t="inlineStr">
        <is>
          <t>large</t>
        </is>
      </c>
      <c r="E86" s="12" t="n">
        <v>281.6</v>
      </c>
      <c r="F86" s="12" t="n">
        <v>295.1</v>
      </c>
      <c r="G86" s="12" t="n">
        <v>4.8</v>
      </c>
      <c r="H86" s="11" t="inlineStr">
        <is>
          <t>2025-05-29</t>
        </is>
      </c>
      <c r="I86" s="13" t="n">
        <v>420</v>
      </c>
      <c r="J86" s="5" t="n">
        <v>1600</v>
      </c>
      <c r="K86" s="14" t="n">
        <v>3.5</v>
      </c>
      <c r="L86" s="14" t="n">
        <v>1</v>
      </c>
      <c r="M86" s="5">
        <f>K86*J86</f>
        <v/>
      </c>
      <c r="N86" s="8">
        <f>(L86-K86)*J86</f>
        <v/>
      </c>
      <c r="O86" s="8" t="n">
        <v>-4124.8</v>
      </c>
      <c r="P86" s="7">
        <f>O86/M86*100</f>
        <v/>
      </c>
      <c r="Q86" s="9" t="n">
        <v>-0.53</v>
      </c>
      <c r="R86" s="11" t="inlineStr">
        <is>
          <t>2025_H1</t>
        </is>
      </c>
    </row>
    <row r="87">
      <c r="A87" s="11" t="inlineStr">
        <is>
          <t>2025-05-23</t>
        </is>
      </c>
      <c r="B87" s="11" t="inlineStr">
        <is>
          <t>SUNPHARMA</t>
        </is>
      </c>
      <c r="C87" s="11" t="inlineStr">
        <is>
          <t>CE</t>
        </is>
      </c>
      <c r="D87" s="11" t="inlineStr">
        <is>
          <t>large</t>
        </is>
      </c>
      <c r="E87" s="12" t="n">
        <v>-19</v>
      </c>
      <c r="F87" s="12" t="n">
        <v>-26.1</v>
      </c>
      <c r="G87" s="12" t="n">
        <v>8.1</v>
      </c>
      <c r="H87" s="11" t="inlineStr">
        <is>
          <t>2025-05-29</t>
        </is>
      </c>
      <c r="I87" s="13" t="n">
        <v>1720</v>
      </c>
      <c r="J87" s="5" t="n">
        <v>350</v>
      </c>
      <c r="K87" s="14" t="n">
        <v>4.25</v>
      </c>
      <c r="L87" s="14" t="n">
        <v>5.7</v>
      </c>
      <c r="M87" s="5">
        <f>K87*J87</f>
        <v/>
      </c>
      <c r="N87" s="8">
        <f>(L87-K87)*J87</f>
        <v/>
      </c>
      <c r="O87" s="8" t="n">
        <v>420.98</v>
      </c>
      <c r="P87" s="7">
        <f>O87/M87*100</f>
        <v/>
      </c>
      <c r="Q87" s="9" t="n">
        <v>1.544</v>
      </c>
      <c r="R87" s="11" t="inlineStr">
        <is>
          <t>2025_H1</t>
        </is>
      </c>
    </row>
    <row r="88">
      <c r="A88" s="11" t="inlineStr">
        <is>
          <t>2025-05-26</t>
        </is>
      </c>
      <c r="B88" s="11" t="inlineStr">
        <is>
          <t>NTPC</t>
        </is>
      </c>
      <c r="C88" s="11" t="inlineStr">
        <is>
          <t>PE</t>
        </is>
      </c>
      <c r="D88" s="11" t="inlineStr">
        <is>
          <t>large</t>
        </is>
      </c>
      <c r="E88" s="12" t="n">
        <v>21.7</v>
      </c>
      <c r="F88" s="12" t="n">
        <v>52.8</v>
      </c>
      <c r="G88" s="12" t="n">
        <v>4.6</v>
      </c>
      <c r="H88" s="11" t="inlineStr">
        <is>
          <t>2025-05-29</t>
        </is>
      </c>
      <c r="I88" s="13" t="n">
        <v>345</v>
      </c>
      <c r="J88" s="5" t="n">
        <v>1500</v>
      </c>
      <c r="K88" s="14" t="n">
        <v>3.55</v>
      </c>
      <c r="L88" s="14" t="n">
        <v>3.9</v>
      </c>
      <c r="M88" s="5">
        <f>K88*J88</f>
        <v/>
      </c>
      <c r="N88" s="8">
        <f>(L88-K88)*J88</f>
        <v/>
      </c>
      <c r="O88" s="8" t="n">
        <v>352.4</v>
      </c>
      <c r="P88" s="7">
        <f>O88/M88*100</f>
        <v/>
      </c>
      <c r="Q88" s="9" t="n">
        <v>2.137</v>
      </c>
      <c r="R88" s="11" t="inlineStr">
        <is>
          <t>2025_H1</t>
        </is>
      </c>
    </row>
    <row r="89">
      <c r="A89" s="11" t="inlineStr">
        <is>
          <t>2025-05-28</t>
        </is>
      </c>
      <c r="B89" s="11" t="inlineStr">
        <is>
          <t>NAUKRI</t>
        </is>
      </c>
      <c r="C89" s="11" t="inlineStr">
        <is>
          <t>PE</t>
        </is>
      </c>
      <c r="D89" s="11" t="inlineStr">
        <is>
          <t>large</t>
        </is>
      </c>
      <c r="E89" s="12" t="n">
        <v>670.7</v>
      </c>
      <c r="F89" s="12" t="n">
        <v>135</v>
      </c>
      <c r="G89" s="12" t="n">
        <v>14</v>
      </c>
      <c r="H89" s="11" t="inlineStr">
        <is>
          <t>2025-06-26</t>
        </is>
      </c>
      <c r="I89" s="13" t="n">
        <v>1300</v>
      </c>
      <c r="J89" s="5" t="n">
        <v>375</v>
      </c>
      <c r="K89" s="14" t="n">
        <v>14.35</v>
      </c>
      <c r="L89" s="14" t="n">
        <v>11.95</v>
      </c>
      <c r="M89" s="5">
        <f>K89*J89</f>
        <v/>
      </c>
      <c r="N89" s="8">
        <f>(L89-K89)*J89</f>
        <v/>
      </c>
      <c r="O89" s="8" t="n">
        <v>-1056.86</v>
      </c>
      <c r="P89" s="7">
        <f>O89/M89*100</f>
        <v/>
      </c>
      <c r="Q89" s="9" t="n">
        <v>1.512</v>
      </c>
      <c r="R89" s="11" t="inlineStr">
        <is>
          <t>2025_H1</t>
        </is>
      </c>
    </row>
    <row r="90">
      <c r="A90" s="11" t="inlineStr">
        <is>
          <t>2025-05-30</t>
        </is>
      </c>
      <c r="B90" s="11" t="inlineStr">
        <is>
          <t>BAJAJ-AUTO</t>
        </is>
      </c>
      <c r="C90" s="11" t="inlineStr">
        <is>
          <t>CE</t>
        </is>
      </c>
      <c r="D90" s="11" t="inlineStr">
        <is>
          <t>large</t>
        </is>
      </c>
      <c r="E90" s="12" t="n">
        <v>-10.4</v>
      </c>
      <c r="F90" s="12" t="n">
        <v>-17.9</v>
      </c>
      <c r="G90" s="12" t="n">
        <v>9.4</v>
      </c>
      <c r="H90" s="11" t="inlineStr">
        <is>
          <t>2025-06-26</t>
        </is>
      </c>
      <c r="I90" s="13" t="n">
        <v>9500</v>
      </c>
      <c r="J90" s="5" t="n">
        <v>75</v>
      </c>
      <c r="K90" s="14" t="n">
        <v>84.05</v>
      </c>
      <c r="L90" s="14" t="n">
        <v>38.45</v>
      </c>
      <c r="M90" s="5">
        <f>K90*J90</f>
        <v/>
      </c>
      <c r="N90" s="8">
        <f>(L90-K90)*J90</f>
        <v/>
      </c>
      <c r="O90" s="8" t="n">
        <v>-3567.44</v>
      </c>
      <c r="P90" s="7">
        <f>O90/M90*100</f>
        <v/>
      </c>
      <c r="Q90" s="9" t="n">
        <v>-2.048</v>
      </c>
      <c r="R90" s="11" t="inlineStr">
        <is>
          <t>2025_H1</t>
        </is>
      </c>
    </row>
    <row r="91">
      <c r="A91" s="11" t="inlineStr">
        <is>
          <t>2025-06-02</t>
        </is>
      </c>
      <c r="B91" s="11" t="inlineStr">
        <is>
          <t>APOLLOHOSP</t>
        </is>
      </c>
      <c r="C91" s="11" t="inlineStr">
        <is>
          <t>PE</t>
        </is>
      </c>
      <c r="D91" s="11" t="inlineStr">
        <is>
          <t>mid</t>
        </is>
      </c>
      <c r="E91" s="12" t="n">
        <v>60.4</v>
      </c>
      <c r="F91" s="12" t="n">
        <v>9.300000000000001</v>
      </c>
      <c r="G91" s="12" t="n">
        <v>13.1</v>
      </c>
      <c r="H91" s="11" t="inlineStr">
        <is>
          <t>2025-06-26</t>
        </is>
      </c>
      <c r="I91" s="13" t="n">
        <v>6650</v>
      </c>
      <c r="J91" s="5" t="n">
        <v>125</v>
      </c>
      <c r="K91" s="14" t="n">
        <v>38.7</v>
      </c>
      <c r="L91" s="14" t="n">
        <v>65.3</v>
      </c>
      <c r="M91" s="5">
        <f>K91*J91</f>
        <v/>
      </c>
      <c r="N91" s="8">
        <f>(L91-K91)*J91</f>
        <v/>
      </c>
      <c r="O91" s="8" t="n">
        <v>2999.95</v>
      </c>
      <c r="P91" s="7">
        <f>O91/M91*100</f>
        <v/>
      </c>
      <c r="Q91" s="9" t="n">
        <v>0.41</v>
      </c>
      <c r="R91" s="11" t="inlineStr">
        <is>
          <t>2025_H1</t>
        </is>
      </c>
    </row>
    <row r="92">
      <c r="A92" s="11" t="inlineStr">
        <is>
          <t>2025-07-11</t>
        </is>
      </c>
      <c r="B92" s="11" t="inlineStr">
        <is>
          <t>TATAELXSI</t>
        </is>
      </c>
      <c r="C92" s="11" t="inlineStr">
        <is>
          <t>CE</t>
        </is>
      </c>
      <c r="D92" s="11" t="inlineStr">
        <is>
          <t>mid</t>
        </is>
      </c>
      <c r="E92" s="12" t="n">
        <v>-21.6</v>
      </c>
      <c r="F92" s="12" t="n">
        <v>-16.3</v>
      </c>
      <c r="G92" s="12" t="n">
        <v>-3.7</v>
      </c>
      <c r="H92" s="11" t="inlineStr">
        <is>
          <t>2025-07-31</t>
        </is>
      </c>
      <c r="I92" s="13" t="n">
        <v>6200</v>
      </c>
      <c r="J92" s="5" t="n">
        <v>100</v>
      </c>
      <c r="K92" s="14" t="n">
        <v>57.2</v>
      </c>
      <c r="L92" s="14" t="n">
        <v>119.2</v>
      </c>
      <c r="M92" s="5">
        <f>K92*J92</f>
        <v/>
      </c>
      <c r="N92" s="8">
        <f>(L92-K92)*J92</f>
        <v/>
      </c>
      <c r="O92" s="8" t="n">
        <v>5774.53</v>
      </c>
      <c r="P92" s="7">
        <f>O92/M92*100</f>
        <v/>
      </c>
      <c r="Q92" s="9" t="n">
        <v>7.06</v>
      </c>
      <c r="R92" s="11" t="inlineStr">
        <is>
          <t>2025_H2</t>
        </is>
      </c>
    </row>
    <row r="93">
      <c r="A93" s="11" t="inlineStr">
        <is>
          <t>2025-07-18</t>
        </is>
      </c>
      <c r="B93" s="11" t="inlineStr">
        <is>
          <t>HDFCAMC</t>
        </is>
      </c>
      <c r="C93" s="11" t="inlineStr">
        <is>
          <t>PE</t>
        </is>
      </c>
      <c r="D93" s="11" t="inlineStr">
        <is>
          <t>mid</t>
        </is>
      </c>
      <c r="E93" s="12" t="n">
        <v>23.8</v>
      </c>
      <c r="F93" s="12" t="n">
        <v>17.1</v>
      </c>
      <c r="G93" s="12" t="n">
        <v>24.9</v>
      </c>
      <c r="H93" s="11" t="inlineStr">
        <is>
          <t>2025-07-31</t>
        </is>
      </c>
      <c r="I93" s="13" t="n">
        <v>5360</v>
      </c>
      <c r="J93" s="5" t="n">
        <v>150</v>
      </c>
      <c r="K93" s="14" t="n">
        <v>37.55</v>
      </c>
      <c r="L93" s="14" t="n">
        <v>27</v>
      </c>
      <c r="M93" s="5">
        <f>K93*J93</f>
        <v/>
      </c>
      <c r="N93" s="8">
        <f>(L93-K93)*J93</f>
        <v/>
      </c>
      <c r="O93" s="8" t="n">
        <v>-1833.67</v>
      </c>
      <c r="P93" s="7">
        <f>O93/M93*100</f>
        <v/>
      </c>
      <c r="Q93" s="9" t="n">
        <v>-1.112</v>
      </c>
      <c r="R93" s="11" t="inlineStr">
        <is>
          <t>2025_H2</t>
        </is>
      </c>
    </row>
    <row r="94">
      <c r="A94" s="11" t="inlineStr">
        <is>
          <t>2025-07-21</t>
        </is>
      </c>
      <c r="B94" s="11" t="inlineStr">
        <is>
          <t>AUBANK</t>
        </is>
      </c>
      <c r="C94" s="11" t="inlineStr">
        <is>
          <t>PE</t>
        </is>
      </c>
      <c r="D94" s="11" t="inlineStr">
        <is>
          <t>mid</t>
        </is>
      </c>
      <c r="E94" s="12" t="n">
        <v>15.6</v>
      </c>
      <c r="F94" s="12" t="n">
        <v>15.3</v>
      </c>
      <c r="G94" s="12" t="n">
        <v>16.2</v>
      </c>
      <c r="H94" s="11" t="inlineStr">
        <is>
          <t>2025-07-31</t>
        </is>
      </c>
      <c r="I94" s="13" t="n">
        <v>730</v>
      </c>
      <c r="J94" s="5" t="n">
        <v>1000</v>
      </c>
      <c r="K94" s="14" t="n">
        <v>5.05</v>
      </c>
      <c r="L94" s="14" t="n">
        <v>4.6</v>
      </c>
      <c r="M94" s="5">
        <f>K94*J94</f>
        <v/>
      </c>
      <c r="N94" s="8">
        <f>(L94-K94)*J94</f>
        <v/>
      </c>
      <c r="O94" s="8" t="n">
        <v>-701.3</v>
      </c>
      <c r="P94" s="7">
        <f>O94/M94*100</f>
        <v/>
      </c>
      <c r="Q94" s="9" t="n">
        <v>2.221</v>
      </c>
      <c r="R94" s="11" t="inlineStr">
        <is>
          <t>2025_H2</t>
        </is>
      </c>
    </row>
    <row r="95">
      <c r="A95" s="11" t="inlineStr">
        <is>
          <t>2025-07-21</t>
        </is>
      </c>
      <c r="B95" s="11" t="inlineStr">
        <is>
          <t>ICICIBANK</t>
        </is>
      </c>
      <c r="C95" s="11" t="inlineStr">
        <is>
          <t>PE</t>
        </is>
      </c>
      <c r="D95" s="11" t="inlineStr">
        <is>
          <t>large</t>
        </is>
      </c>
      <c r="E95" s="12" t="n">
        <v>15.9</v>
      </c>
      <c r="F95" s="12" t="n">
        <v>0.4</v>
      </c>
      <c r="G95" s="12" t="n">
        <v>10.1</v>
      </c>
      <c r="H95" s="11" t="inlineStr">
        <is>
          <t>2025-07-31</t>
        </is>
      </c>
      <c r="I95" s="13" t="n">
        <v>1410</v>
      </c>
      <c r="J95" s="5" t="n">
        <v>700</v>
      </c>
      <c r="K95" s="14" t="n">
        <v>10</v>
      </c>
      <c r="L95" s="14" t="n">
        <v>2.45</v>
      </c>
      <c r="M95" s="5">
        <f>K95*J95</f>
        <v/>
      </c>
      <c r="N95" s="8">
        <f>(L95-K95)*J95</f>
        <v/>
      </c>
      <c r="O95" s="8" t="n">
        <v>-5425.8</v>
      </c>
      <c r="P95" s="7">
        <f>O95/M95*100</f>
        <v/>
      </c>
      <c r="Q95" s="9" t="n">
        <v>-1.229</v>
      </c>
      <c r="R95" s="11" t="inlineStr">
        <is>
          <t>2025_H2</t>
        </is>
      </c>
    </row>
    <row r="96">
      <c r="A96" s="11" t="inlineStr">
        <is>
          <t>2025-07-21</t>
        </is>
      </c>
      <c r="B96" s="11" t="inlineStr">
        <is>
          <t>RELIANCE</t>
        </is>
      </c>
      <c r="C96" s="11" t="inlineStr">
        <is>
          <t>PE</t>
        </is>
      </c>
      <c r="D96" s="11" t="inlineStr">
        <is>
          <t>large</t>
        </is>
      </c>
      <c r="E96" s="12" t="n">
        <v>76.5</v>
      </c>
      <c r="F96" s="12" t="n">
        <v>36.1</v>
      </c>
      <c r="G96" s="12" t="n">
        <v>5.3</v>
      </c>
      <c r="H96" s="11" t="inlineStr">
        <is>
          <t>2025-07-31</t>
        </is>
      </c>
      <c r="I96" s="13" t="n">
        <v>1460</v>
      </c>
      <c r="J96" s="5" t="n">
        <v>500</v>
      </c>
      <c r="K96" s="14" t="n">
        <v>14.45</v>
      </c>
      <c r="L96" s="14" t="n">
        <v>34.5</v>
      </c>
      <c r="M96" s="5">
        <f>K96*J96</f>
        <v/>
      </c>
      <c r="N96" s="8">
        <f>(L96-K96)*J96</f>
        <v/>
      </c>
      <c r="O96" s="8" t="n">
        <v>9696.65</v>
      </c>
      <c r="P96" s="7">
        <f>O96/M96*100</f>
        <v/>
      </c>
      <c r="Q96" s="9" t="n">
        <v>2.485</v>
      </c>
      <c r="R96" s="11" t="inlineStr">
        <is>
          <t>2025_H2</t>
        </is>
      </c>
    </row>
    <row r="97">
      <c r="A97" s="11" t="inlineStr">
        <is>
          <t>2025-07-22</t>
        </is>
      </c>
      <c r="B97" s="11" t="inlineStr">
        <is>
          <t>HAVELLS</t>
        </is>
      </c>
      <c r="C97" s="11" t="inlineStr">
        <is>
          <t>CE</t>
        </is>
      </c>
      <c r="D97" s="11" t="inlineStr">
        <is>
          <t>large</t>
        </is>
      </c>
      <c r="E97" s="12" t="n">
        <v>-14.7</v>
      </c>
      <c r="F97" s="12" t="n">
        <v>-32.8</v>
      </c>
      <c r="G97" s="12" t="n">
        <v>-6</v>
      </c>
      <c r="H97" s="11" t="inlineStr">
        <is>
          <t>2025-07-31</t>
        </is>
      </c>
      <c r="I97" s="13" t="n">
        <v>1580</v>
      </c>
      <c r="J97" s="5" t="n">
        <v>500</v>
      </c>
      <c r="K97" s="14" t="n">
        <v>15.05</v>
      </c>
      <c r="L97" s="14" t="n">
        <v>23.85</v>
      </c>
      <c r="M97" s="5">
        <f>K97*J97</f>
        <v/>
      </c>
      <c r="N97" s="8">
        <f>(L97-K97)*J97</f>
        <v/>
      </c>
      <c r="O97" s="8" t="n">
        <v>4132.01</v>
      </c>
      <c r="P97" s="7">
        <f>O97/M97*100</f>
        <v/>
      </c>
      <c r="Q97" s="9" t="n">
        <v>1.518</v>
      </c>
      <c r="R97" s="11" t="inlineStr">
        <is>
          <t>2025_H2</t>
        </is>
      </c>
    </row>
    <row r="98">
      <c r="A98" s="11" t="inlineStr">
        <is>
          <t>2025-07-22</t>
        </is>
      </c>
      <c r="B98" s="11" t="inlineStr">
        <is>
          <t>OBEROIRLTY</t>
        </is>
      </c>
      <c r="C98" s="11" t="inlineStr">
        <is>
          <t>CE</t>
        </is>
      </c>
      <c r="D98" s="11" t="inlineStr">
        <is>
          <t>mid</t>
        </is>
      </c>
      <c r="E98" s="12" t="n">
        <v>-27.9</v>
      </c>
      <c r="F98" s="12" t="n">
        <v>-2.8</v>
      </c>
      <c r="G98" s="12" t="n">
        <v>-29.7</v>
      </c>
      <c r="H98" s="11" t="inlineStr">
        <is>
          <t>2025-07-31</t>
        </is>
      </c>
      <c r="I98" s="13" t="n">
        <v>1840</v>
      </c>
      <c r="J98" s="5" t="n">
        <v>350</v>
      </c>
      <c r="K98" s="14" t="n">
        <v>13.4</v>
      </c>
      <c r="L98" s="14" t="n">
        <v>25.85</v>
      </c>
      <c r="M98" s="5">
        <f>K98*J98</f>
        <v/>
      </c>
      <c r="N98" s="8">
        <f>(L98-K98)*J98</f>
        <v/>
      </c>
      <c r="O98" s="8" t="n">
        <v>4016.07</v>
      </c>
      <c r="P98" s="7">
        <f>O98/M98*100</f>
        <v/>
      </c>
      <c r="Q98" s="9" t="n">
        <v>2.538</v>
      </c>
      <c r="R98" s="11" t="inlineStr">
        <is>
          <t>2025_H2</t>
        </is>
      </c>
    </row>
    <row r="99">
      <c r="A99" s="11" t="inlineStr">
        <is>
          <t>2025-07-23</t>
        </is>
      </c>
      <c r="B99" s="11" t="inlineStr">
        <is>
          <t>COLPAL</t>
        </is>
      </c>
      <c r="C99" s="11" t="inlineStr">
        <is>
          <t>CE</t>
        </is>
      </c>
      <c r="D99" s="11" t="inlineStr">
        <is>
          <t>mid</t>
        </is>
      </c>
      <c r="E99" s="12" t="n">
        <v>-11.9</v>
      </c>
      <c r="F99" s="12" t="n">
        <v>-9.699999999999999</v>
      </c>
      <c r="G99" s="12" t="n">
        <v>-4.2</v>
      </c>
      <c r="H99" s="11" t="inlineStr">
        <is>
          <t>2025-07-31</t>
        </is>
      </c>
      <c r="I99" s="13" t="n">
        <v>2380</v>
      </c>
      <c r="J99" s="5" t="n">
        <v>225</v>
      </c>
      <c r="K99" s="14" t="n">
        <v>22.05</v>
      </c>
      <c r="L99" s="14" t="n">
        <v>4.95</v>
      </c>
      <c r="M99" s="5">
        <f>K99*J99</f>
        <v/>
      </c>
      <c r="N99" s="8">
        <f>(L99-K99)*J99</f>
        <v/>
      </c>
      <c r="O99" s="8" t="n">
        <v>-4020.57</v>
      </c>
      <c r="P99" s="7">
        <f>O99/M99*100</f>
        <v/>
      </c>
      <c r="Q99" s="9" t="n">
        <v>-2.753</v>
      </c>
      <c r="R99" s="11" t="inlineStr">
        <is>
          <t>2025_H2</t>
        </is>
      </c>
    </row>
    <row r="100">
      <c r="A100" s="11" t="inlineStr">
        <is>
          <t>2025-07-24</t>
        </is>
      </c>
      <c r="B100" s="11" t="inlineStr">
        <is>
          <t>COFORGE</t>
        </is>
      </c>
      <c r="C100" s="11" t="inlineStr">
        <is>
          <t>PE</t>
        </is>
      </c>
      <c r="D100" s="11" t="inlineStr">
        <is>
          <t>mid</t>
        </is>
      </c>
      <c r="E100" s="12" t="n">
        <v>155.9</v>
      </c>
      <c r="F100" s="12" t="n">
        <v>16</v>
      </c>
      <c r="G100" s="12" t="n">
        <v>53.6</v>
      </c>
      <c r="H100" s="11" t="inlineStr">
        <is>
          <t>2025-07-31</t>
        </is>
      </c>
      <c r="I100" s="13" t="n">
        <v>1740</v>
      </c>
      <c r="J100" s="5" t="n">
        <v>375</v>
      </c>
      <c r="K100" s="14" t="n">
        <v>15.2</v>
      </c>
      <c r="L100" s="14" t="n">
        <v>75.25</v>
      </c>
      <c r="M100" s="5">
        <f>K100*J100</f>
        <v/>
      </c>
      <c r="N100" s="8">
        <f>(L100-K100)*J100</f>
        <v/>
      </c>
      <c r="O100" s="8" t="n">
        <v>21736.4</v>
      </c>
      <c r="P100" s="7">
        <f>O100/M100*100</f>
        <v/>
      </c>
      <c r="Q100" s="9" t="n">
        <v>8.565</v>
      </c>
      <c r="R100" s="11" t="inlineStr">
        <is>
          <t>2025_H2</t>
        </is>
      </c>
    </row>
    <row r="101">
      <c r="A101" s="11" t="inlineStr">
        <is>
          <t>2025-07-24</t>
        </is>
      </c>
      <c r="B101" s="11" t="inlineStr">
        <is>
          <t>PERSISTENT</t>
        </is>
      </c>
      <c r="C101" s="11" t="inlineStr">
        <is>
          <t>PE</t>
        </is>
      </c>
      <c r="D101" s="11" t="inlineStr">
        <is>
          <t>mid</t>
        </is>
      </c>
      <c r="E101" s="12" t="n">
        <v>38.7</v>
      </c>
      <c r="F101" s="12" t="n">
        <v>7.4</v>
      </c>
      <c r="G101" s="12" t="n">
        <v>21.8</v>
      </c>
      <c r="H101" s="11" t="inlineStr">
        <is>
          <t>2025-07-31</t>
        </is>
      </c>
      <c r="I101" s="13" t="n">
        <v>5300</v>
      </c>
      <c r="J101" s="5" t="n">
        <v>100</v>
      </c>
      <c r="K101" s="14" t="n">
        <v>63.65</v>
      </c>
      <c r="L101" s="14" t="n">
        <v>177.55</v>
      </c>
      <c r="M101" s="5">
        <f>K101*J101</f>
        <v/>
      </c>
      <c r="N101" s="8">
        <f>(L101-K101)*J101</f>
        <v/>
      </c>
      <c r="O101" s="8" t="n">
        <v>10823.43</v>
      </c>
      <c r="P101" s="7">
        <f>O101/M101*100</f>
        <v/>
      </c>
      <c r="Q101" s="9" t="n">
        <v>6.353</v>
      </c>
      <c r="R101" s="11" t="inlineStr">
        <is>
          <t>2025_H2</t>
        </is>
      </c>
    </row>
    <row r="102">
      <c r="A102" s="11" t="inlineStr">
        <is>
          <t>2025-07-25</t>
        </is>
      </c>
      <c r="B102" s="11" t="inlineStr">
        <is>
          <t>BAJFINANCE</t>
        </is>
      </c>
      <c r="C102" s="11" t="inlineStr">
        <is>
          <t>PE</t>
        </is>
      </c>
      <c r="D102" s="11" t="inlineStr">
        <is>
          <t>large</t>
        </is>
      </c>
      <c r="E102" s="12" t="n">
        <v>21.8</v>
      </c>
      <c r="F102" s="12" t="n">
        <v>4.8</v>
      </c>
      <c r="G102" s="12" t="n">
        <v>21.3</v>
      </c>
      <c r="H102" s="11" t="inlineStr">
        <is>
          <t>2025-07-31</t>
        </is>
      </c>
      <c r="I102" s="13" t="n">
        <v>890</v>
      </c>
      <c r="J102" s="5" t="n">
        <v>750</v>
      </c>
      <c r="K102" s="14" t="n">
        <v>7.25</v>
      </c>
      <c r="L102" s="14" t="n">
        <v>3.55</v>
      </c>
      <c r="M102" s="5">
        <f>K102*J102</f>
        <v/>
      </c>
      <c r="N102" s="8">
        <f>(L102-K102)*J102</f>
        <v/>
      </c>
      <c r="O102" s="8" t="n">
        <v>-2910.76</v>
      </c>
      <c r="P102" s="7">
        <f>O102/M102*100</f>
        <v/>
      </c>
      <c r="Q102" s="9" t="n">
        <v>-0.8110000000000001</v>
      </c>
      <c r="R102" s="11" t="inlineStr">
        <is>
          <t>2025_H2</t>
        </is>
      </c>
    </row>
    <row r="103">
      <c r="A103" s="11" t="inlineStr">
        <is>
          <t>2025-07-25</t>
        </is>
      </c>
      <c r="B103" s="11" t="inlineStr">
        <is>
          <t>INDIANB</t>
        </is>
      </c>
      <c r="C103" s="11" t="inlineStr">
        <is>
          <t>CE</t>
        </is>
      </c>
      <c r="D103" s="11" t="inlineStr">
        <is>
          <t>mid</t>
        </is>
      </c>
      <c r="E103" s="12" t="n">
        <v>-11.4</v>
      </c>
      <c r="F103" s="12" t="n">
        <v>-23.7</v>
      </c>
      <c r="G103" s="12" t="n">
        <v>8.300000000000001</v>
      </c>
      <c r="H103" s="11" t="inlineStr">
        <is>
          <t>2025-07-31</t>
        </is>
      </c>
      <c r="I103" s="13" t="n">
        <v>673.75</v>
      </c>
      <c r="J103" s="5" t="n">
        <v>1000</v>
      </c>
      <c r="K103" s="14" t="n">
        <v>5.55</v>
      </c>
      <c r="L103" s="14" t="n">
        <v>1.55</v>
      </c>
      <c r="M103" s="5">
        <f>K103*J103</f>
        <v/>
      </c>
      <c r="N103" s="8">
        <f>(L103-K103)*J103</f>
        <v/>
      </c>
      <c r="O103" s="8" t="n">
        <v>-4194.69</v>
      </c>
      <c r="P103" s="7">
        <f>O103/M103*100</f>
        <v/>
      </c>
      <c r="Q103" s="9" t="n">
        <v>-2.336</v>
      </c>
      <c r="R103" s="11" t="inlineStr">
        <is>
          <t>2025_H2</t>
        </is>
      </c>
    </row>
    <row r="104">
      <c r="A104" s="11" t="inlineStr">
        <is>
          <t>2025-07-25</t>
        </is>
      </c>
      <c r="B104" s="11" t="inlineStr">
        <is>
          <t>SUPREMEIND</t>
        </is>
      </c>
      <c r="C104" s="11" t="inlineStr">
        <is>
          <t>CE</t>
        </is>
      </c>
      <c r="D104" s="11" t="inlineStr">
        <is>
          <t>mid</t>
        </is>
      </c>
      <c r="E104" s="12" t="n">
        <v>-26</v>
      </c>
      <c r="F104" s="12" t="n">
        <v>-31.2</v>
      </c>
      <c r="G104" s="12" t="n">
        <v>-1</v>
      </c>
      <c r="H104" s="11" t="inlineStr">
        <is>
          <t>2025-07-31</t>
        </is>
      </c>
      <c r="I104" s="13" t="n">
        <v>4350</v>
      </c>
      <c r="J104" s="5" t="n">
        <v>175</v>
      </c>
      <c r="K104" s="14" t="n">
        <v>32</v>
      </c>
      <c r="L104" s="14" t="n">
        <v>51.9</v>
      </c>
      <c r="M104" s="5">
        <f>K104*J104</f>
        <v/>
      </c>
      <c r="N104" s="8">
        <f>(L104-K104)*J104</f>
        <v/>
      </c>
      <c r="O104" s="8" t="n">
        <v>3121.68</v>
      </c>
      <c r="P104" s="7">
        <f>O104/M104*100</f>
        <v/>
      </c>
      <c r="Q104" s="9" t="n">
        <v>2.63</v>
      </c>
      <c r="R104" s="11" t="inlineStr">
        <is>
          <t>2025_H2</t>
        </is>
      </c>
    </row>
    <row r="105">
      <c r="A105" s="11" t="inlineStr">
        <is>
          <t>2025-07-28</t>
        </is>
      </c>
      <c r="B105" s="11" t="inlineStr">
        <is>
          <t>BAJAJFINSV</t>
        </is>
      </c>
      <c r="C105" s="11" t="inlineStr">
        <is>
          <t>PE</t>
        </is>
      </c>
      <c r="D105" s="11" t="inlineStr">
        <is>
          <t>large</t>
        </is>
      </c>
      <c r="E105" s="12" t="n">
        <v>26.6</v>
      </c>
      <c r="F105" s="12" t="n">
        <v>12</v>
      </c>
      <c r="G105" s="12" t="n">
        <v>12.6</v>
      </c>
      <c r="H105" s="11" t="inlineStr">
        <is>
          <t>2025-07-31</t>
        </is>
      </c>
      <c r="I105" s="13" t="n">
        <v>1960</v>
      </c>
      <c r="J105" s="5" t="n">
        <v>500</v>
      </c>
      <c r="K105" s="14" t="n">
        <v>12.6</v>
      </c>
      <c r="L105" s="14" t="n">
        <v>13.05</v>
      </c>
      <c r="M105" s="5">
        <f>K105*J105</f>
        <v/>
      </c>
      <c r="N105" s="8">
        <f>(L105-K105)*J105</f>
        <v/>
      </c>
      <c r="O105" s="8" t="n">
        <v>34.17</v>
      </c>
      <c r="P105" s="7">
        <f>O105/M105*100</f>
        <v/>
      </c>
      <c r="Q105" s="9" t="n">
        <v>0.613</v>
      </c>
      <c r="R105" s="11" t="inlineStr">
        <is>
          <t>2025_H2</t>
        </is>
      </c>
    </row>
    <row r="106">
      <c r="A106" s="11" t="inlineStr">
        <is>
          <t>2025-07-28</t>
        </is>
      </c>
      <c r="B106" s="11" t="inlineStr">
        <is>
          <t>KOTAKBANK</t>
        </is>
      </c>
      <c r="C106" s="11" t="inlineStr">
        <is>
          <t>CE</t>
        </is>
      </c>
      <c r="D106" s="11" t="inlineStr">
        <is>
          <t>large</t>
        </is>
      </c>
      <c r="E106" s="12" t="n">
        <v>-40</v>
      </c>
      <c r="F106" s="12" t="n">
        <v>-9.300000000000001</v>
      </c>
      <c r="G106" s="12" t="n">
        <v>8.9</v>
      </c>
      <c r="H106" s="11" t="inlineStr">
        <is>
          <t>2025-07-31</t>
        </is>
      </c>
      <c r="I106" s="13" t="n">
        <v>2120</v>
      </c>
      <c r="J106" s="5" t="n">
        <v>400</v>
      </c>
      <c r="K106" s="14" t="n">
        <v>8.199999999999999</v>
      </c>
      <c r="L106" s="14" t="n">
        <v>0.8</v>
      </c>
      <c r="M106" s="5">
        <f>K106*J106</f>
        <v/>
      </c>
      <c r="N106" s="8">
        <f>(L106-K106)*J106</f>
        <v/>
      </c>
      <c r="O106" s="8" t="n">
        <v>-3045.29</v>
      </c>
      <c r="P106" s="7">
        <f>O106/M106*100</f>
        <v/>
      </c>
      <c r="Q106" s="9" t="n">
        <v>-2.901</v>
      </c>
      <c r="R106" s="11" t="inlineStr">
        <is>
          <t>2025_H2</t>
        </is>
      </c>
    </row>
    <row r="107">
      <c r="A107" s="11" t="inlineStr">
        <is>
          <t>2025-07-28</t>
        </is>
      </c>
      <c r="B107" s="11" t="inlineStr">
        <is>
          <t>PETRONET</t>
        </is>
      </c>
      <c r="C107" s="11" t="inlineStr">
        <is>
          <t>CE</t>
        </is>
      </c>
      <c r="D107" s="11" t="inlineStr">
        <is>
          <t>mid</t>
        </is>
      </c>
      <c r="E107" s="12" t="n">
        <v>-23.8</v>
      </c>
      <c r="F107" s="12" t="n">
        <v>-23.1</v>
      </c>
      <c r="G107" s="12" t="n">
        <v>-11.4</v>
      </c>
      <c r="H107" s="11" t="inlineStr">
        <is>
          <t>2025-07-31</t>
        </is>
      </c>
      <c r="I107" s="13" t="n">
        <v>300</v>
      </c>
      <c r="J107" s="5" t="n">
        <v>1800</v>
      </c>
      <c r="K107" s="14" t="n">
        <v>3.05</v>
      </c>
      <c r="L107" s="14" t="n">
        <v>4.05</v>
      </c>
      <c r="M107" s="5">
        <f>K107*J107</f>
        <v/>
      </c>
      <c r="N107" s="8">
        <f>(L107-K107)*J107</f>
        <v/>
      </c>
      <c r="O107" s="8" t="n">
        <v>1480.72</v>
      </c>
      <c r="P107" s="7">
        <f>O107/M107*100</f>
        <v/>
      </c>
      <c r="Q107" s="9" t="n">
        <v>1.277</v>
      </c>
      <c r="R107" s="11" t="inlineStr">
        <is>
          <t>2025_H2</t>
        </is>
      </c>
    </row>
    <row r="108">
      <c r="A108" s="11" t="inlineStr">
        <is>
          <t>2025-07-29</t>
        </is>
      </c>
      <c r="B108" s="11" t="inlineStr">
        <is>
          <t>TORNTPHARM</t>
        </is>
      </c>
      <c r="C108" s="11" t="inlineStr">
        <is>
          <t>PE</t>
        </is>
      </c>
      <c r="D108" s="11" t="inlineStr">
        <is>
          <t>large</t>
        </is>
      </c>
      <c r="E108" s="12" t="n">
        <v>19.9</v>
      </c>
      <c r="F108" s="12" t="n">
        <v>10</v>
      </c>
      <c r="G108" s="12" t="n">
        <v>11.2</v>
      </c>
      <c r="H108" s="11" t="inlineStr">
        <is>
          <t>2025-07-31</t>
        </is>
      </c>
      <c r="I108" s="13" t="n">
        <v>3550</v>
      </c>
      <c r="J108" s="5" t="n">
        <v>250</v>
      </c>
      <c r="K108" s="14" t="n">
        <v>18.05</v>
      </c>
      <c r="L108" s="14" t="n">
        <v>2.05</v>
      </c>
      <c r="M108" s="5">
        <f>K108*J108</f>
        <v/>
      </c>
      <c r="N108" s="8">
        <f>(L108-K108)*J108</f>
        <v/>
      </c>
      <c r="O108" s="8" t="n">
        <v>-4100.46</v>
      </c>
      <c r="P108" s="7">
        <f>O108/M108*100</f>
        <v/>
      </c>
      <c r="Q108" s="9" t="n">
        <v>-2.948</v>
      </c>
      <c r="R108" s="11" t="inlineStr">
        <is>
          <t>2025_H2</t>
        </is>
      </c>
    </row>
    <row r="109">
      <c r="A109" s="11" t="inlineStr">
        <is>
          <t>2025-07-31</t>
        </is>
      </c>
      <c r="B109" s="11" t="inlineStr">
        <is>
          <t>INDIGO</t>
        </is>
      </c>
      <c r="C109" s="11" t="inlineStr">
        <is>
          <t>CE</t>
        </is>
      </c>
      <c r="D109" s="11" t="inlineStr">
        <is>
          <t>large</t>
        </is>
      </c>
      <c r="E109" s="12" t="n">
        <v>-20.2</v>
      </c>
      <c r="F109" s="12" t="n">
        <v>-29.1</v>
      </c>
      <c r="G109" s="12" t="n">
        <v>4.7</v>
      </c>
      <c r="H109" s="11" t="inlineStr">
        <is>
          <t>2025-08-28</t>
        </is>
      </c>
      <c r="I109" s="13" t="n">
        <v>6200</v>
      </c>
      <c r="J109" s="5" t="n">
        <v>150</v>
      </c>
      <c r="K109" s="14" t="n">
        <v>28.05</v>
      </c>
      <c r="L109" s="14" t="n">
        <v>43.3</v>
      </c>
      <c r="M109" s="5">
        <f>K109*J109</f>
        <v/>
      </c>
      <c r="N109" s="8">
        <f>(L109-K109)*J109</f>
        <v/>
      </c>
      <c r="O109" s="8" t="n">
        <v>2118.9</v>
      </c>
      <c r="P109" s="7">
        <f>O109/M109*100</f>
        <v/>
      </c>
      <c r="Q109" s="9" t="n">
        <v>5.076</v>
      </c>
      <c r="R109" s="11" t="inlineStr">
        <is>
          <t>2025_H2</t>
        </is>
      </c>
    </row>
    <row r="110">
      <c r="A110" s="11" t="inlineStr">
        <is>
          <t>2025-07-31</t>
        </is>
      </c>
      <c r="B110" s="11" t="inlineStr">
        <is>
          <t>KPITTECH</t>
        </is>
      </c>
      <c r="C110" s="11" t="inlineStr">
        <is>
          <t>CE</t>
        </is>
      </c>
      <c r="D110" s="11" t="inlineStr">
        <is>
          <t>mid</t>
        </is>
      </c>
      <c r="E110" s="12" t="n">
        <v>-15.8</v>
      </c>
      <c r="F110" s="12" t="n">
        <v>-29.8</v>
      </c>
      <c r="G110" s="12" t="n">
        <v>12.8</v>
      </c>
      <c r="H110" s="11" t="inlineStr">
        <is>
          <t>2025-08-28</t>
        </is>
      </c>
      <c r="I110" s="13" t="n">
        <v>1320</v>
      </c>
      <c r="J110" s="5" t="n">
        <v>400</v>
      </c>
      <c r="K110" s="14" t="n">
        <v>18.1</v>
      </c>
      <c r="L110" s="14" t="n">
        <v>12.55</v>
      </c>
      <c r="M110" s="5">
        <f>K110*J110</f>
        <v/>
      </c>
      <c r="N110" s="8">
        <f>(L110-K110)*J110</f>
        <v/>
      </c>
      <c r="O110" s="8" t="n">
        <v>-2525.3</v>
      </c>
      <c r="P110" s="7">
        <f>O110/M110*100</f>
        <v/>
      </c>
      <c r="Q110" s="9" t="n">
        <v>-1.089</v>
      </c>
      <c r="R110" s="11" t="inlineStr">
        <is>
          <t>2025_H2</t>
        </is>
      </c>
    </row>
    <row r="111">
      <c r="A111" s="11" t="inlineStr">
        <is>
          <t>2025-07-31</t>
        </is>
      </c>
      <c r="B111" s="11" t="inlineStr">
        <is>
          <t>M&amp;M</t>
        </is>
      </c>
      <c r="C111" s="11" t="inlineStr">
        <is>
          <t>PE</t>
        </is>
      </c>
      <c r="D111" s="11" t="inlineStr">
        <is>
          <t>large</t>
        </is>
      </c>
      <c r="E111" s="12" t="n">
        <v>23.4</v>
      </c>
      <c r="F111" s="12" t="n">
        <v>23.6</v>
      </c>
      <c r="G111" s="12" t="n">
        <v>22.3</v>
      </c>
      <c r="H111" s="11" t="inlineStr">
        <is>
          <t>2025-08-28</t>
        </is>
      </c>
      <c r="I111" s="13" t="n">
        <v>2950</v>
      </c>
      <c r="J111" s="5" t="n">
        <v>200</v>
      </c>
      <c r="K111" s="14" t="n">
        <v>30.65</v>
      </c>
      <c r="L111" s="14" t="n">
        <v>22.85</v>
      </c>
      <c r="M111" s="5">
        <f>K111*J111</f>
        <v/>
      </c>
      <c r="N111" s="8">
        <f>(L111-K111)*J111</f>
        <v/>
      </c>
      <c r="O111" s="8" t="n">
        <v>-1725.73</v>
      </c>
      <c r="P111" s="7">
        <f>O111/M111*100</f>
        <v/>
      </c>
      <c r="Q111" s="9" t="n">
        <v>0.679</v>
      </c>
      <c r="R111" s="11" t="inlineStr">
        <is>
          <t>2025_H2</t>
        </is>
      </c>
    </row>
    <row r="112">
      <c r="A112" s="11" t="inlineStr">
        <is>
          <t>2025-08-01</t>
        </is>
      </c>
      <c r="B112" s="11" t="inlineStr">
        <is>
          <t>ADANIENT</t>
        </is>
      </c>
      <c r="C112" s="11" t="inlineStr">
        <is>
          <t>CE</t>
        </is>
      </c>
      <c r="D112" s="11" t="inlineStr">
        <is>
          <t>large</t>
        </is>
      </c>
      <c r="E112" s="12" t="n">
        <v>-44.9</v>
      </c>
      <c r="F112" s="12" t="n">
        <v>-29.4</v>
      </c>
      <c r="G112" s="12" t="n">
        <v>-13.8</v>
      </c>
      <c r="H112" s="11" t="inlineStr">
        <is>
          <t>2025-08-28</t>
        </is>
      </c>
      <c r="I112" s="13" t="n">
        <v>2600</v>
      </c>
      <c r="J112" s="5" t="n">
        <v>300</v>
      </c>
      <c r="K112" s="14" t="n">
        <v>18.05</v>
      </c>
      <c r="L112" s="14" t="n">
        <v>8.949999999999999</v>
      </c>
      <c r="M112" s="5">
        <f>K112*J112</f>
        <v/>
      </c>
      <c r="N112" s="8">
        <f>(L112-K112)*J112</f>
        <v/>
      </c>
      <c r="O112" s="8" t="n">
        <v>-2865.79</v>
      </c>
      <c r="P112" s="7">
        <f>O112/M112*100</f>
        <v/>
      </c>
      <c r="Q112" s="9" t="n">
        <v>-3.056</v>
      </c>
      <c r="R112" s="11" t="inlineStr">
        <is>
          <t>2025_H2</t>
        </is>
      </c>
    </row>
    <row r="113">
      <c r="A113" s="11" t="inlineStr">
        <is>
          <t>2025-08-01</t>
        </is>
      </c>
      <c r="B113" s="11" t="inlineStr">
        <is>
          <t>JSWENERGY</t>
        </is>
      </c>
      <c r="C113" s="11" t="inlineStr">
        <is>
          <t>PE</t>
        </is>
      </c>
      <c r="D113" s="11" t="inlineStr">
        <is>
          <t>mid</t>
        </is>
      </c>
      <c r="E113" s="12" t="n">
        <v>56.5</v>
      </c>
      <c r="F113" s="12" t="n">
        <v>101.7</v>
      </c>
      <c r="G113" s="12" t="n">
        <v>78.59999999999999</v>
      </c>
      <c r="H113" s="11" t="inlineStr">
        <is>
          <t>2025-08-28</t>
        </is>
      </c>
      <c r="I113" s="13" t="n">
        <v>500</v>
      </c>
      <c r="J113" s="5" t="n">
        <v>1000</v>
      </c>
      <c r="K113" s="14" t="n">
        <v>8</v>
      </c>
      <c r="L113" s="14" t="n">
        <v>13.7</v>
      </c>
      <c r="M113" s="5">
        <f>K113*J113</f>
        <v/>
      </c>
      <c r="N113" s="8">
        <f>(L113-K113)*J113</f>
        <v/>
      </c>
      <c r="O113" s="8" t="n">
        <v>5188.89</v>
      </c>
      <c r="P113" s="7">
        <f>O113/M113*100</f>
        <v/>
      </c>
      <c r="Q113" s="9" t="n">
        <v>3.462</v>
      </c>
      <c r="R113" s="11" t="inlineStr">
        <is>
          <t>2025_H2</t>
        </is>
      </c>
    </row>
    <row r="114">
      <c r="A114" s="11" t="inlineStr">
        <is>
          <t>2025-08-01</t>
        </is>
      </c>
      <c r="B114" s="11" t="inlineStr">
        <is>
          <t>VEDL</t>
        </is>
      </c>
      <c r="C114" s="11" t="inlineStr">
        <is>
          <t>CE</t>
        </is>
      </c>
      <c r="D114" s="11" t="inlineStr">
        <is>
          <t>large</t>
        </is>
      </c>
      <c r="E114" s="12" t="n">
        <v>-12.5</v>
      </c>
      <c r="F114" s="12" t="n">
        <v>-10.2</v>
      </c>
      <c r="G114" s="12" t="n">
        <v>5.8</v>
      </c>
      <c r="H114" s="11" t="inlineStr">
        <is>
          <t>2025-08-28</t>
        </is>
      </c>
      <c r="I114" s="13" t="n">
        <v>450</v>
      </c>
      <c r="J114" s="5" t="n">
        <v>1150</v>
      </c>
      <c r="K114" s="14" t="n">
        <v>4.3</v>
      </c>
      <c r="L114" s="14" t="n">
        <v>3.7</v>
      </c>
      <c r="M114" s="5">
        <f>K114*J114</f>
        <v/>
      </c>
      <c r="N114" s="8">
        <f>(L114-K114)*J114</f>
        <v/>
      </c>
      <c r="O114" s="8" t="n">
        <v>-839.59</v>
      </c>
      <c r="P114" s="7">
        <f>O114/M114*100</f>
        <v/>
      </c>
      <c r="Q114" s="9" t="n">
        <v>-0.153</v>
      </c>
      <c r="R114" s="11" t="inlineStr">
        <is>
          <t>2025_H2</t>
        </is>
      </c>
    </row>
    <row r="115">
      <c r="A115" s="11" t="inlineStr">
        <is>
          <t>2025-08-04</t>
        </is>
      </c>
      <c r="B115" s="11" t="inlineStr">
        <is>
          <t>DELHIVERY</t>
        </is>
      </c>
      <c r="C115" s="11" t="inlineStr">
        <is>
          <t>PE</t>
        </is>
      </c>
      <c r="D115" s="11" t="inlineStr">
        <is>
          <t>small</t>
        </is>
      </c>
      <c r="E115" s="12" t="n">
        <v>67.5</v>
      </c>
      <c r="F115" s="12" t="n">
        <v>25.5</v>
      </c>
      <c r="G115" s="12" t="n">
        <v>5.6</v>
      </c>
      <c r="H115" s="11" t="inlineStr">
        <is>
          <t>2025-08-28</t>
        </is>
      </c>
      <c r="I115" s="13" t="n">
        <v>395</v>
      </c>
      <c r="J115" s="5" t="n">
        <v>2075</v>
      </c>
      <c r="K115" s="14" t="n">
        <v>2.2</v>
      </c>
      <c r="L115" s="14" t="n">
        <v>1.1</v>
      </c>
      <c r="M115" s="5">
        <f>K115*J115</f>
        <v/>
      </c>
      <c r="N115" s="8">
        <f>(L115-K115)*J115</f>
        <v/>
      </c>
      <c r="O115" s="8" t="n">
        <v>-2541.56</v>
      </c>
      <c r="P115" s="7">
        <f>O115/M115*100</f>
        <v/>
      </c>
      <c r="Q115" s="9" t="n">
        <v>-4.909</v>
      </c>
      <c r="R115" s="11" t="inlineStr">
        <is>
          <t>2025_H2</t>
        </is>
      </c>
    </row>
    <row r="116">
      <c r="A116" s="11" t="inlineStr">
        <is>
          <t>2025-08-05</t>
        </is>
      </c>
      <c r="B116" s="11" t="inlineStr">
        <is>
          <t>AUROPHARMA</t>
        </is>
      </c>
      <c r="C116" s="11" t="inlineStr">
        <is>
          <t>CE</t>
        </is>
      </c>
      <c r="D116" s="11" t="inlineStr">
        <is>
          <t>mid</t>
        </is>
      </c>
      <c r="E116" s="12" t="n">
        <v>-10.2</v>
      </c>
      <c r="F116" s="12" t="n">
        <v>-8.699999999999999</v>
      </c>
      <c r="G116" s="12" t="n">
        <v>4</v>
      </c>
      <c r="H116" s="11" t="inlineStr">
        <is>
          <t>2025-08-28</t>
        </is>
      </c>
      <c r="I116" s="13" t="n">
        <v>1140</v>
      </c>
      <c r="J116" s="5" t="n">
        <v>550</v>
      </c>
      <c r="K116" s="14" t="n">
        <v>10.05</v>
      </c>
      <c r="L116" s="14" t="n">
        <v>11.2</v>
      </c>
      <c r="M116" s="5">
        <f>K116*J116</f>
        <v/>
      </c>
      <c r="N116" s="8">
        <f>(L116-K116)*J116</f>
        <v/>
      </c>
      <c r="O116" s="8" t="n">
        <v>337.22</v>
      </c>
      <c r="P116" s="7">
        <f>O116/M116*100</f>
        <v/>
      </c>
      <c r="Q116" s="9" t="n">
        <v>0.578</v>
      </c>
      <c r="R116" s="11" t="inlineStr">
        <is>
          <t>2025_H2</t>
        </is>
      </c>
    </row>
    <row r="117">
      <c r="A117" s="11" t="inlineStr">
        <is>
          <t>2025-08-05</t>
        </is>
      </c>
      <c r="B117" s="11" t="inlineStr">
        <is>
          <t>SHREECEM</t>
        </is>
      </c>
      <c r="C117" s="11" t="inlineStr">
        <is>
          <t>PE</t>
        </is>
      </c>
      <c r="D117" s="11" t="inlineStr">
        <is>
          <t>large</t>
        </is>
      </c>
      <c r="E117" s="12" t="n">
        <v>131.2</v>
      </c>
      <c r="F117" s="12" t="n">
        <v>11.9</v>
      </c>
      <c r="G117" s="12" t="n">
        <v>3.1</v>
      </c>
      <c r="H117" s="11" t="inlineStr">
        <is>
          <t>2025-08-28</t>
        </is>
      </c>
      <c r="I117" s="13" t="n">
        <v>29000</v>
      </c>
      <c r="J117" s="5" t="n">
        <v>25</v>
      </c>
      <c r="K117" s="14" t="n">
        <v>221.1</v>
      </c>
      <c r="L117" s="14" t="n">
        <v>254.3</v>
      </c>
      <c r="M117" s="5">
        <f>K117*J117</f>
        <v/>
      </c>
      <c r="N117" s="8">
        <f>(L117-K117)*J117</f>
        <v/>
      </c>
      <c r="O117" s="8" t="n">
        <v>649.24</v>
      </c>
      <c r="P117" s="7">
        <f>O117/M117*100</f>
        <v/>
      </c>
      <c r="Q117" s="9" t="n">
        <v>2.186</v>
      </c>
      <c r="R117" s="11" t="inlineStr">
        <is>
          <t>2025_H2</t>
        </is>
      </c>
    </row>
    <row r="118">
      <c r="A118" s="11" t="inlineStr">
        <is>
          <t>2025-08-05</t>
        </is>
      </c>
      <c r="B118" s="11" t="inlineStr">
        <is>
          <t>SONACOMS</t>
        </is>
      </c>
      <c r="C118" s="11" t="inlineStr">
        <is>
          <t>CE</t>
        </is>
      </c>
      <c r="D118" s="11" t="inlineStr">
        <is>
          <t>mid</t>
        </is>
      </c>
      <c r="E118" s="12" t="n">
        <v>-14.1</v>
      </c>
      <c r="F118" s="12" t="n">
        <v>-25.6</v>
      </c>
      <c r="G118" s="12" t="n">
        <v>-4.7</v>
      </c>
      <c r="H118" s="11" t="inlineStr">
        <is>
          <t>2025-08-28</t>
        </is>
      </c>
      <c r="I118" s="13" t="n">
        <v>470</v>
      </c>
      <c r="J118" s="5" t="n">
        <v>1050</v>
      </c>
      <c r="K118" s="14" t="n">
        <v>6</v>
      </c>
      <c r="L118" s="14" t="n">
        <v>8.050000000000001</v>
      </c>
      <c r="M118" s="5">
        <f>K118*J118</f>
        <v/>
      </c>
      <c r="N118" s="8">
        <f>(L118-K118)*J118</f>
        <v/>
      </c>
      <c r="O118" s="8" t="n">
        <v>1791.18</v>
      </c>
      <c r="P118" s="7">
        <f>O118/M118*100</f>
        <v/>
      </c>
      <c r="Q118" s="9" t="n">
        <v>3.256</v>
      </c>
      <c r="R118" s="11" t="inlineStr">
        <is>
          <t>2025_H2</t>
        </is>
      </c>
    </row>
    <row r="119">
      <c r="A119" s="11" t="inlineStr">
        <is>
          <t>2025-08-06</t>
        </is>
      </c>
      <c r="B119" s="11" t="inlineStr">
        <is>
          <t>LUPIN</t>
        </is>
      </c>
      <c r="C119" s="11" t="inlineStr">
        <is>
          <t>PE</t>
        </is>
      </c>
      <c r="D119" s="11" t="inlineStr">
        <is>
          <t>large</t>
        </is>
      </c>
      <c r="E119" s="12" t="n">
        <v>51.6</v>
      </c>
      <c r="F119" s="12" t="n">
        <v>56.1</v>
      </c>
      <c r="G119" s="12" t="n">
        <v>11.9</v>
      </c>
      <c r="H119" s="11" t="inlineStr">
        <is>
          <t>2025-08-28</t>
        </is>
      </c>
      <c r="I119" s="13" t="n">
        <v>1780</v>
      </c>
      <c r="J119" s="5" t="n">
        <v>425</v>
      </c>
      <c r="K119" s="14" t="n">
        <v>17.05</v>
      </c>
      <c r="L119" s="14" t="n">
        <v>23.75</v>
      </c>
      <c r="M119" s="5">
        <f>K119*J119</f>
        <v/>
      </c>
      <c r="N119" s="8">
        <f>(L119-K119)*J119</f>
        <v/>
      </c>
      <c r="O119" s="8" t="n">
        <v>2604.25</v>
      </c>
      <c r="P119" s="7">
        <f>O119/M119*100</f>
        <v/>
      </c>
      <c r="Q119" s="9" t="n">
        <v>2.945</v>
      </c>
      <c r="R119" s="11" t="inlineStr">
        <is>
          <t>2025_H2</t>
        </is>
      </c>
    </row>
    <row r="120">
      <c r="A120" s="11" t="inlineStr">
        <is>
          <t>2025-08-07</t>
        </is>
      </c>
      <c r="B120" s="11" t="inlineStr">
        <is>
          <t>BAJAJ-AUTO</t>
        </is>
      </c>
      <c r="C120" s="11" t="inlineStr">
        <is>
          <t>PE</t>
        </is>
      </c>
      <c r="D120" s="11" t="inlineStr">
        <is>
          <t>large</t>
        </is>
      </c>
      <c r="E120" s="12" t="n">
        <v>13.8</v>
      </c>
      <c r="F120" s="12" t="n">
        <v>22.7</v>
      </c>
      <c r="G120" s="12" t="n">
        <v>10.1</v>
      </c>
      <c r="H120" s="11" t="inlineStr">
        <is>
          <t>2025-08-28</t>
        </is>
      </c>
      <c r="I120" s="13" t="n">
        <v>8000</v>
      </c>
      <c r="J120" s="5" t="n">
        <v>75</v>
      </c>
      <c r="K120" s="14" t="n">
        <v>105.4</v>
      </c>
      <c r="L120" s="14" t="n">
        <v>68.8</v>
      </c>
      <c r="M120" s="5">
        <f>K120*J120</f>
        <v/>
      </c>
      <c r="N120" s="8">
        <f>(L120-K120)*J120</f>
        <v/>
      </c>
      <c r="O120" s="8" t="n">
        <v>-2936.33</v>
      </c>
      <c r="P120" s="7">
        <f>O120/M120*100</f>
        <v/>
      </c>
      <c r="Q120" s="9" t="n">
        <v>-1.97</v>
      </c>
      <c r="R120" s="11" t="inlineStr">
        <is>
          <t>2025_H2</t>
        </is>
      </c>
    </row>
    <row r="121">
      <c r="A121" s="11" t="inlineStr">
        <is>
          <t>2025-08-07</t>
        </is>
      </c>
      <c r="B121" s="11" t="inlineStr">
        <is>
          <t>BLUESTARCO</t>
        </is>
      </c>
      <c r="C121" s="11" t="inlineStr">
        <is>
          <t>CE</t>
        </is>
      </c>
      <c r="D121" s="11" t="inlineStr">
        <is>
          <t>mid</t>
        </is>
      </c>
      <c r="E121" s="12" t="n">
        <v>-28.4</v>
      </c>
      <c r="F121" s="12" t="n">
        <v>-37.7</v>
      </c>
      <c r="G121" s="12" t="n">
        <v>4.1</v>
      </c>
      <c r="H121" s="11" t="inlineStr">
        <is>
          <t>2025-08-28</t>
        </is>
      </c>
      <c r="I121" s="13" t="n">
        <v>1860</v>
      </c>
      <c r="J121" s="5" t="n">
        <v>325</v>
      </c>
      <c r="K121" s="14" t="n">
        <v>20.4</v>
      </c>
      <c r="L121" s="14" t="n">
        <v>41</v>
      </c>
      <c r="M121" s="5">
        <f>K121*J121</f>
        <v/>
      </c>
      <c r="N121" s="8">
        <f>(L121-K121)*J121</f>
        <v/>
      </c>
      <c r="O121" s="8" t="n">
        <v>6220.12</v>
      </c>
      <c r="P121" s="7">
        <f>O121/M121*100</f>
        <v/>
      </c>
      <c r="Q121" s="9" t="n">
        <v>5.319</v>
      </c>
      <c r="R121" s="11" t="inlineStr">
        <is>
          <t>2025_H2</t>
        </is>
      </c>
    </row>
    <row r="122">
      <c r="A122" s="11" t="inlineStr">
        <is>
          <t>2025-08-07</t>
        </is>
      </c>
      <c r="B122" s="11" t="inlineStr">
        <is>
          <t>FORTIS</t>
        </is>
      </c>
      <c r="C122" s="11" t="inlineStr">
        <is>
          <t>PE</t>
        </is>
      </c>
      <c r="D122" s="11" t="inlineStr">
        <is>
          <t>mid</t>
        </is>
      </c>
      <c r="E122" s="12" t="n">
        <v>53.3</v>
      </c>
      <c r="F122" s="12" t="n">
        <v>41.9</v>
      </c>
      <c r="G122" s="12" t="n">
        <v>16.6</v>
      </c>
      <c r="H122" s="11" t="inlineStr">
        <is>
          <t>2025-08-28</t>
        </is>
      </c>
      <c r="I122" s="13" t="n">
        <v>830</v>
      </c>
      <c r="J122" s="5" t="n">
        <v>775</v>
      </c>
      <c r="K122" s="14" t="n">
        <v>7.95</v>
      </c>
      <c r="L122" s="14" t="n">
        <v>6.1</v>
      </c>
      <c r="M122" s="5">
        <f>K122*J122</f>
        <v/>
      </c>
      <c r="N122" s="8">
        <f>(L122-K122)*J122</f>
        <v/>
      </c>
      <c r="O122" s="8" t="n">
        <v>-1710.58</v>
      </c>
      <c r="P122" s="7">
        <f>O122/M122*100</f>
        <v/>
      </c>
      <c r="Q122" s="9" t="n">
        <v>0.113</v>
      </c>
      <c r="R122" s="11" t="inlineStr">
        <is>
          <t>2025_H2</t>
        </is>
      </c>
    </row>
    <row r="123">
      <c r="A123" s="11" t="inlineStr">
        <is>
          <t>2025-08-07</t>
        </is>
      </c>
      <c r="B123" s="11" t="inlineStr">
        <is>
          <t>PIDILITIND</t>
        </is>
      </c>
      <c r="C123" s="11" t="inlineStr">
        <is>
          <t>PE</t>
        </is>
      </c>
      <c r="D123" s="11" t="inlineStr">
        <is>
          <t>large</t>
        </is>
      </c>
      <c r="E123" s="12" t="n">
        <v>18.7</v>
      </c>
      <c r="F123" s="12" t="n">
        <v>58.6</v>
      </c>
      <c r="G123" s="12" t="n">
        <v>10.5</v>
      </c>
      <c r="H123" s="11" t="inlineStr">
        <is>
          <t>2025-08-28</t>
        </is>
      </c>
      <c r="I123" s="13" t="n">
        <v>2960</v>
      </c>
      <c r="J123" s="5" t="n">
        <v>250</v>
      </c>
      <c r="K123" s="14" t="n">
        <v>30.05</v>
      </c>
      <c r="L123" s="14" t="n">
        <v>21.8</v>
      </c>
      <c r="M123" s="5">
        <f>K123*J123</f>
        <v/>
      </c>
      <c r="N123" s="8">
        <f>(L123-K123)*J123</f>
        <v/>
      </c>
      <c r="O123" s="8" t="n">
        <v>-2253.2</v>
      </c>
      <c r="P123" s="7">
        <f>O123/M123*100</f>
        <v/>
      </c>
      <c r="Q123" s="9" t="n">
        <v>0.203</v>
      </c>
      <c r="R123" s="11" t="inlineStr">
        <is>
          <t>2025_H2</t>
        </is>
      </c>
    </row>
    <row r="124">
      <c r="A124" s="11" t="inlineStr">
        <is>
          <t>2025-08-08</t>
        </is>
      </c>
      <c r="B124" s="11" t="inlineStr">
        <is>
          <t>BIOCON</t>
        </is>
      </c>
      <c r="C124" s="11" t="inlineStr">
        <is>
          <t>CE</t>
        </is>
      </c>
      <c r="D124" s="11" t="inlineStr">
        <is>
          <t>mid</t>
        </is>
      </c>
      <c r="E124" s="12" t="n">
        <v>-89.59999999999999</v>
      </c>
      <c r="F124" s="12" t="n">
        <v>-80.59999999999999</v>
      </c>
      <c r="G124" s="12" t="n">
        <v>14.8</v>
      </c>
      <c r="H124" s="11" t="inlineStr">
        <is>
          <t>2025-08-28</t>
        </is>
      </c>
      <c r="I124" s="13" t="n">
        <v>380</v>
      </c>
      <c r="J124" s="5" t="n">
        <v>2500</v>
      </c>
      <c r="K124" s="14" t="n">
        <v>2.1</v>
      </c>
      <c r="L124" s="14" t="n">
        <v>1.65</v>
      </c>
      <c r="M124" s="5">
        <f>K124*J124</f>
        <v/>
      </c>
      <c r="N124" s="8">
        <f>(L124-K124)*J124</f>
        <v/>
      </c>
      <c r="O124" s="8" t="n">
        <v>-1370</v>
      </c>
      <c r="P124" s="7">
        <f>O124/M124*100</f>
        <v/>
      </c>
      <c r="Q124" s="9" t="n">
        <v>-4.346</v>
      </c>
      <c r="R124" s="11" t="inlineStr">
        <is>
          <t>2025_H2</t>
        </is>
      </c>
    </row>
    <row r="125">
      <c r="A125" s="11" t="inlineStr">
        <is>
          <t>2025-08-08</t>
        </is>
      </c>
      <c r="B125" s="11" t="inlineStr">
        <is>
          <t>BSE</t>
        </is>
      </c>
      <c r="C125" s="11" t="inlineStr">
        <is>
          <t>PE</t>
        </is>
      </c>
      <c r="D125" s="11" t="inlineStr">
        <is>
          <t>mid</t>
        </is>
      </c>
      <c r="E125" s="12" t="n">
        <v>103.6</v>
      </c>
      <c r="F125" s="12" t="n">
        <v>9</v>
      </c>
      <c r="G125" s="12" t="n">
        <v>57.7</v>
      </c>
      <c r="H125" s="11" t="inlineStr">
        <is>
          <t>2025-08-28</t>
        </is>
      </c>
      <c r="I125" s="13" t="n">
        <v>2200</v>
      </c>
      <c r="J125" s="5" t="n">
        <v>375</v>
      </c>
      <c r="K125" s="14" t="n">
        <v>19.5</v>
      </c>
      <c r="L125" s="14" t="n">
        <v>37.3</v>
      </c>
      <c r="M125" s="5">
        <f>K125*J125</f>
        <v/>
      </c>
      <c r="N125" s="8">
        <f>(L125-K125)*J125</f>
        <v/>
      </c>
      <c r="O125" s="8" t="n">
        <v>6171.64</v>
      </c>
      <c r="P125" s="7">
        <f>O125/M125*100</f>
        <v/>
      </c>
      <c r="Q125" s="9" t="n">
        <v>4.284</v>
      </c>
      <c r="R125" s="11" t="inlineStr">
        <is>
          <t>2025_H2</t>
        </is>
      </c>
    </row>
    <row r="126">
      <c r="A126" s="11" t="inlineStr">
        <is>
          <t>2025-08-08</t>
        </is>
      </c>
      <c r="B126" s="11" t="inlineStr">
        <is>
          <t>PAGEIND</t>
        </is>
      </c>
      <c r="C126" s="11" t="inlineStr">
        <is>
          <t>PE</t>
        </is>
      </c>
      <c r="D126" s="11" t="inlineStr">
        <is>
          <t>mid</t>
        </is>
      </c>
      <c r="E126" s="12" t="n">
        <v>21.5</v>
      </c>
      <c r="F126" s="12" t="n">
        <v>22.4</v>
      </c>
      <c r="G126" s="12" t="n">
        <v>3.1</v>
      </c>
      <c r="H126" s="11" t="inlineStr">
        <is>
          <t>2025-08-28</t>
        </is>
      </c>
      <c r="I126" s="13" t="n">
        <v>43000</v>
      </c>
      <c r="J126" s="5" t="n">
        <v>15</v>
      </c>
      <c r="K126" s="14" t="n">
        <v>370</v>
      </c>
      <c r="L126" s="14" t="n">
        <v>443.3</v>
      </c>
      <c r="M126" s="5">
        <f>K126*J126</f>
        <v/>
      </c>
      <c r="N126" s="8">
        <f>(L126-K126)*J126</f>
        <v/>
      </c>
      <c r="O126" s="8" t="n">
        <v>793.03</v>
      </c>
      <c r="P126" s="7">
        <f>O126/M126*100</f>
        <v/>
      </c>
      <c r="Q126" s="9" t="n">
        <v>1.385</v>
      </c>
      <c r="R126" s="11" t="inlineStr">
        <is>
          <t>2025_H2</t>
        </is>
      </c>
    </row>
    <row r="127">
      <c r="A127" s="11" t="inlineStr">
        <is>
          <t>2025-08-08</t>
        </is>
      </c>
      <c r="B127" s="11" t="inlineStr">
        <is>
          <t>TITAN</t>
        </is>
      </c>
      <c r="C127" s="11" t="inlineStr">
        <is>
          <t>PE</t>
        </is>
      </c>
      <c r="D127" s="11" t="inlineStr">
        <is>
          <t>large</t>
        </is>
      </c>
      <c r="E127" s="12" t="n">
        <v>52.4</v>
      </c>
      <c r="F127" s="12" t="n">
        <v>25.3</v>
      </c>
      <c r="G127" s="12" t="n">
        <v>24.6</v>
      </c>
      <c r="H127" s="11" t="inlineStr">
        <is>
          <t>2025-08-28</t>
        </is>
      </c>
      <c r="I127" s="13" t="n">
        <v>3350</v>
      </c>
      <c r="J127" s="5" t="n">
        <v>175</v>
      </c>
      <c r="K127" s="14" t="n">
        <v>34.45</v>
      </c>
      <c r="L127" s="14" t="n">
        <v>19.2</v>
      </c>
      <c r="M127" s="5">
        <f>K127*J127</f>
        <v/>
      </c>
      <c r="N127" s="8">
        <f>(L127-K127)*J127</f>
        <v/>
      </c>
      <c r="O127" s="8" t="n">
        <v>-2819.01</v>
      </c>
      <c r="P127" s="7">
        <f>O127/M127*100</f>
        <v/>
      </c>
      <c r="Q127" s="9" t="n">
        <v>-0.293</v>
      </c>
      <c r="R127" s="11" t="inlineStr">
        <is>
          <t>2025_H2</t>
        </is>
      </c>
    </row>
    <row r="128">
      <c r="A128" s="11" t="inlineStr">
        <is>
          <t>2025-08-11</t>
        </is>
      </c>
      <c r="B128" s="11" t="inlineStr">
        <is>
          <t>PGEL</t>
        </is>
      </c>
      <c r="C128" s="11" t="inlineStr">
        <is>
          <t>CE</t>
        </is>
      </c>
      <c r="D128" s="11" t="inlineStr">
        <is>
          <t>small</t>
        </is>
      </c>
      <c r="E128" s="12" t="n">
        <v>-20</v>
      </c>
      <c r="F128" s="12" t="n">
        <v>-53.9</v>
      </c>
      <c r="G128" s="12" t="n">
        <v>13.9</v>
      </c>
      <c r="H128" s="11" t="inlineStr">
        <is>
          <t>2025-08-28</t>
        </is>
      </c>
      <c r="I128" s="13" t="n">
        <v>600</v>
      </c>
      <c r="J128" s="5" t="n">
        <v>700</v>
      </c>
      <c r="K128" s="14" t="n">
        <v>10.45</v>
      </c>
      <c r="L128" s="14" t="n">
        <v>4.1</v>
      </c>
      <c r="M128" s="5">
        <f>K128*J128</f>
        <v/>
      </c>
      <c r="N128" s="8">
        <f>(L128-K128)*J128</f>
        <v/>
      </c>
      <c r="O128" s="8" t="n">
        <v>-4806.55</v>
      </c>
      <c r="P128" s="7">
        <f>O128/M128*100</f>
        <v/>
      </c>
      <c r="Q128" s="9" t="n">
        <v>-9.538</v>
      </c>
      <c r="R128" s="11" t="inlineStr">
        <is>
          <t>2025_H2</t>
        </is>
      </c>
    </row>
    <row r="129">
      <c r="A129" s="11" t="inlineStr">
        <is>
          <t>2025-08-11</t>
        </is>
      </c>
      <c r="B129" s="11" t="inlineStr">
        <is>
          <t>SIEMENS</t>
        </is>
      </c>
      <c r="C129" s="11" t="inlineStr">
        <is>
          <t>CE</t>
        </is>
      </c>
      <c r="D129" s="11" t="inlineStr">
        <is>
          <t>large</t>
        </is>
      </c>
      <c r="E129" s="12" t="n">
        <v>-26.8</v>
      </c>
      <c r="F129" s="12" t="n">
        <v>-27.3</v>
      </c>
      <c r="G129" s="12" t="n">
        <v>-16.5</v>
      </c>
      <c r="H129" s="11" t="inlineStr">
        <is>
          <t>2025-08-28</t>
        </is>
      </c>
      <c r="I129" s="13" t="n">
        <v>3100</v>
      </c>
      <c r="J129" s="5" t="n">
        <v>125</v>
      </c>
      <c r="K129" s="14" t="n">
        <v>60.05</v>
      </c>
      <c r="L129" s="14" t="n">
        <v>86.25</v>
      </c>
      <c r="M129" s="5">
        <f>K129*J129</f>
        <v/>
      </c>
      <c r="N129" s="8">
        <f>(L129-K129)*J129</f>
        <v/>
      </c>
      <c r="O129" s="8" t="n">
        <v>3020.84</v>
      </c>
      <c r="P129" s="7">
        <f>O129/M129*100</f>
        <v/>
      </c>
      <c r="Q129" s="9" t="n">
        <v>3.139</v>
      </c>
      <c r="R129" s="11" t="inlineStr">
        <is>
          <t>2025_H2</t>
        </is>
      </c>
    </row>
    <row r="130">
      <c r="A130" s="11" t="inlineStr">
        <is>
          <t>2025-08-11</t>
        </is>
      </c>
      <c r="B130" s="11" t="inlineStr">
        <is>
          <t>VOLTAS</t>
        </is>
      </c>
      <c r="C130" s="11" t="inlineStr">
        <is>
          <t>CE</t>
        </is>
      </c>
      <c r="D130" s="11" t="inlineStr">
        <is>
          <t>mid</t>
        </is>
      </c>
      <c r="E130" s="12" t="n">
        <v>-58</v>
      </c>
      <c r="F130" s="12" t="n">
        <v>-40.3</v>
      </c>
      <c r="G130" s="12" t="n">
        <v>-20</v>
      </c>
      <c r="H130" s="11" t="inlineStr">
        <is>
          <t>2025-08-28</t>
        </is>
      </c>
      <c r="I130" s="13" t="n">
        <v>1300</v>
      </c>
      <c r="J130" s="5" t="n">
        <v>375</v>
      </c>
      <c r="K130" s="14" t="n">
        <v>10.7</v>
      </c>
      <c r="L130" s="14" t="n">
        <v>7.95</v>
      </c>
      <c r="M130" s="5">
        <f>K130*J130</f>
        <v/>
      </c>
      <c r="N130" s="8">
        <f>(L130-K130)*J130</f>
        <v/>
      </c>
      <c r="O130" s="8" t="n">
        <v>-1225.85</v>
      </c>
      <c r="P130" s="7">
        <f>O130/M130*100</f>
        <v/>
      </c>
      <c r="Q130" s="9" t="n">
        <v>3.68</v>
      </c>
      <c r="R130" s="11" t="inlineStr">
        <is>
          <t>2025_H2</t>
        </is>
      </c>
    </row>
    <row r="131">
      <c r="A131" s="11" t="inlineStr">
        <is>
          <t>2025-08-12</t>
        </is>
      </c>
      <c r="B131" s="11" t="inlineStr">
        <is>
          <t>ASTRAL</t>
        </is>
      </c>
      <c r="C131" s="11" t="inlineStr">
        <is>
          <t>CE</t>
        </is>
      </c>
      <c r="D131" s="11" t="inlineStr">
        <is>
          <t>mid</t>
        </is>
      </c>
      <c r="E131" s="12" t="n">
        <v>-33.7</v>
      </c>
      <c r="F131" s="12" t="n">
        <v>-55.5</v>
      </c>
      <c r="G131" s="12" t="n">
        <v>-1.6</v>
      </c>
      <c r="H131" s="11" t="inlineStr">
        <is>
          <t>2025-08-28</t>
        </is>
      </c>
      <c r="I131" s="13" t="n">
        <v>1380</v>
      </c>
      <c r="J131" s="5" t="n">
        <v>425</v>
      </c>
      <c r="K131" s="14" t="n">
        <v>8.050000000000001</v>
      </c>
      <c r="L131" s="14" t="n">
        <v>4.8</v>
      </c>
      <c r="M131" s="5">
        <f>K131*J131</f>
        <v/>
      </c>
      <c r="N131" s="8">
        <f>(L131-K131)*J131</f>
        <v/>
      </c>
      <c r="O131" s="8" t="n">
        <v>-1543.13</v>
      </c>
      <c r="P131" s="7">
        <f>O131/M131*100</f>
        <v/>
      </c>
      <c r="Q131" s="9" t="n">
        <v>-3.114</v>
      </c>
      <c r="R131" s="11" t="inlineStr">
        <is>
          <t>2025_H2</t>
        </is>
      </c>
    </row>
    <row r="132">
      <c r="A132" s="11" t="inlineStr">
        <is>
          <t>2025-08-13</t>
        </is>
      </c>
      <c r="B132" s="11" t="inlineStr">
        <is>
          <t>ALKEM</t>
        </is>
      </c>
      <c r="C132" s="11" t="inlineStr">
        <is>
          <t>PE</t>
        </is>
      </c>
      <c r="D132" s="11" t="inlineStr">
        <is>
          <t>mid</t>
        </is>
      </c>
      <c r="E132" s="12" t="n">
        <v>21.4</v>
      </c>
      <c r="F132" s="12" t="n">
        <v>107.2</v>
      </c>
      <c r="G132" s="12" t="n">
        <v>11.2</v>
      </c>
      <c r="H132" s="11" t="inlineStr">
        <is>
          <t>2025-08-28</t>
        </is>
      </c>
      <c r="I132" s="13" t="n">
        <v>5150</v>
      </c>
      <c r="J132" s="5" t="n">
        <v>125</v>
      </c>
      <c r="K132" s="14" t="n">
        <v>59.6</v>
      </c>
      <c r="L132" s="14" t="n">
        <v>29.85</v>
      </c>
      <c r="M132" s="5">
        <f>K132*J132</f>
        <v/>
      </c>
      <c r="N132" s="8">
        <f>(L132-K132)*J132</f>
        <v/>
      </c>
      <c r="O132" s="8" t="n">
        <v>-4000.11</v>
      </c>
      <c r="P132" s="7">
        <f>O132/M132*100</f>
        <v/>
      </c>
      <c r="Q132" s="9" t="n">
        <v>-2.834</v>
      </c>
      <c r="R132" s="11" t="inlineStr">
        <is>
          <t>2025_H2</t>
        </is>
      </c>
    </row>
    <row r="133">
      <c r="A133" s="11" t="inlineStr">
        <is>
          <t>2025-08-13</t>
        </is>
      </c>
      <c r="B133" s="11" t="inlineStr">
        <is>
          <t>APOLLOHOSP</t>
        </is>
      </c>
      <c r="C133" s="11" t="inlineStr">
        <is>
          <t>PE</t>
        </is>
      </c>
      <c r="D133" s="11" t="inlineStr">
        <is>
          <t>large</t>
        </is>
      </c>
      <c r="E133" s="12" t="n">
        <v>39.8</v>
      </c>
      <c r="F133" s="12" t="n">
        <v>6.4</v>
      </c>
      <c r="G133" s="12" t="n">
        <v>14.9</v>
      </c>
      <c r="H133" s="11" t="inlineStr">
        <is>
          <t>2025-08-28</t>
        </is>
      </c>
      <c r="I133" s="13" t="n">
        <v>7150</v>
      </c>
      <c r="J133" s="5" t="n">
        <v>125</v>
      </c>
      <c r="K133" s="14" t="n">
        <v>21.05</v>
      </c>
      <c r="L133" s="14" t="n">
        <v>12.2</v>
      </c>
      <c r="M133" s="5">
        <f>K133*J133</f>
        <v/>
      </c>
      <c r="N133" s="8">
        <f>(L133-K133)*J133</f>
        <v/>
      </c>
      <c r="O133" s="8" t="n">
        <v>-1199.12</v>
      </c>
      <c r="P133" s="7">
        <f>O133/M133*100</f>
        <v/>
      </c>
      <c r="Q133" s="9" t="n">
        <v>-5.478</v>
      </c>
      <c r="R133" s="11" t="inlineStr">
        <is>
          <t>2025_H2</t>
        </is>
      </c>
    </row>
    <row r="134">
      <c r="A134" s="11" t="inlineStr">
        <is>
          <t>2025-08-13</t>
        </is>
      </c>
      <c r="B134" s="11" t="inlineStr">
        <is>
          <t>NYKAA</t>
        </is>
      </c>
      <c r="C134" s="11" t="inlineStr">
        <is>
          <t>PE</t>
        </is>
      </c>
      <c r="D134" s="11" t="inlineStr">
        <is>
          <t>mid</t>
        </is>
      </c>
      <c r="E134" s="12" t="n">
        <v>79.40000000000001</v>
      </c>
      <c r="F134" s="12" t="n">
        <v>28.5</v>
      </c>
      <c r="G134" s="12" t="n">
        <v>23.4</v>
      </c>
      <c r="H134" s="11" t="inlineStr">
        <is>
          <t>2025-08-28</t>
        </is>
      </c>
      <c r="I134" s="13" t="n">
        <v>205</v>
      </c>
      <c r="J134" s="5" t="n">
        <v>3125</v>
      </c>
      <c r="K134" s="14" t="n">
        <v>2.35</v>
      </c>
      <c r="L134" s="14" t="n">
        <v>2.05</v>
      </c>
      <c r="M134" s="5">
        <f>K134*J134</f>
        <v/>
      </c>
      <c r="N134" s="8">
        <f>(L134-K134)*J134</f>
        <v/>
      </c>
      <c r="O134" s="8" t="n">
        <v>-1275.32</v>
      </c>
      <c r="P134" s="7">
        <f>O134/M134*100</f>
        <v/>
      </c>
      <c r="Q134" s="9" t="n">
        <v>-0.019</v>
      </c>
      <c r="R134" s="11" t="inlineStr">
        <is>
          <t>2025_H2</t>
        </is>
      </c>
    </row>
    <row r="135">
      <c r="A135" s="11" t="inlineStr">
        <is>
          <t>2025-08-13</t>
        </is>
      </c>
      <c r="B135" s="11" t="inlineStr">
        <is>
          <t>RVNL</t>
        </is>
      </c>
      <c r="C135" s="11" t="inlineStr">
        <is>
          <t>CE</t>
        </is>
      </c>
      <c r="D135" s="11" t="inlineStr">
        <is>
          <t>mid</t>
        </is>
      </c>
      <c r="E135" s="12" t="n">
        <v>-40</v>
      </c>
      <c r="F135" s="12" t="n">
        <v>-70.7</v>
      </c>
      <c r="G135" s="12" t="n">
        <v>-4.1</v>
      </c>
      <c r="H135" s="11" t="inlineStr">
        <is>
          <t>2025-08-28</t>
        </is>
      </c>
      <c r="I135" s="13" t="n">
        <v>350</v>
      </c>
      <c r="J135" s="5" t="n">
        <v>1375</v>
      </c>
      <c r="K135" s="14" t="n">
        <v>3.8</v>
      </c>
      <c r="L135" s="14" t="n">
        <v>2.45</v>
      </c>
      <c r="M135" s="5">
        <f>K135*J135</f>
        <v/>
      </c>
      <c r="N135" s="8">
        <f>(L135-K135)*J135</f>
        <v/>
      </c>
      <c r="O135" s="8" t="n">
        <v>-2084.16</v>
      </c>
      <c r="P135" s="7">
        <f>O135/M135*100</f>
        <v/>
      </c>
      <c r="Q135" s="9" t="n">
        <v>0.975</v>
      </c>
      <c r="R135" s="11" t="inlineStr">
        <is>
          <t>2025_H2</t>
        </is>
      </c>
    </row>
    <row r="136">
      <c r="A136" s="11" t="inlineStr">
        <is>
          <t>2025-08-14</t>
        </is>
      </c>
      <c r="B136" s="11" t="inlineStr">
        <is>
          <t>BPCL</t>
        </is>
      </c>
      <c r="C136" s="11" t="inlineStr">
        <is>
          <t>PE</t>
        </is>
      </c>
      <c r="D136" s="11" t="inlineStr">
        <is>
          <t>large</t>
        </is>
      </c>
      <c r="E136" s="12" t="n">
        <v>140.7</v>
      </c>
      <c r="F136" s="12" t="n">
        <v>55.7</v>
      </c>
      <c r="G136" s="12" t="n">
        <v>1.2</v>
      </c>
      <c r="H136" s="11" t="inlineStr">
        <is>
          <t>2025-08-28</t>
        </is>
      </c>
      <c r="I136" s="13" t="n">
        <v>320</v>
      </c>
      <c r="J136" s="5" t="n">
        <v>1975</v>
      </c>
      <c r="K136" s="14" t="n">
        <v>3.05</v>
      </c>
      <c r="L136" s="14" t="n">
        <v>7.1</v>
      </c>
      <c r="M136" s="5">
        <f>K136*J136</f>
        <v/>
      </c>
      <c r="N136" s="8">
        <f>(L136-K136)*J136</f>
        <v/>
      </c>
      <c r="O136" s="8" t="n">
        <v>7721.45</v>
      </c>
      <c r="P136" s="7">
        <f>O136/M136*100</f>
        <v/>
      </c>
      <c r="Q136" s="9" t="n">
        <v>2.737</v>
      </c>
      <c r="R136" s="11" t="inlineStr">
        <is>
          <t>2025_H2</t>
        </is>
      </c>
    </row>
    <row r="137">
      <c r="A137" s="11" t="inlineStr">
        <is>
          <t>2025-08-14</t>
        </is>
      </c>
      <c r="B137" s="11" t="inlineStr">
        <is>
          <t>JUBLFOOD</t>
        </is>
      </c>
      <c r="C137" s="11" t="inlineStr">
        <is>
          <t>PE</t>
        </is>
      </c>
      <c r="D137" s="11" t="inlineStr">
        <is>
          <t>mid</t>
        </is>
      </c>
      <c r="E137" s="12" t="n">
        <v>62.6</v>
      </c>
      <c r="F137" s="12" t="n">
        <v>91.2</v>
      </c>
      <c r="G137" s="12" t="n">
        <v>17</v>
      </c>
      <c r="H137" s="11" t="inlineStr">
        <is>
          <t>2025-08-28</t>
        </is>
      </c>
      <c r="I137" s="13" t="n">
        <v>620</v>
      </c>
      <c r="J137" s="5" t="n">
        <v>1250</v>
      </c>
      <c r="K137" s="14" t="n">
        <v>4.05</v>
      </c>
      <c r="L137" s="14" t="n">
        <v>7.8</v>
      </c>
      <c r="M137" s="5">
        <f>K137*J137</f>
        <v/>
      </c>
      <c r="N137" s="8">
        <f>(L137-K137)*J137</f>
        <v/>
      </c>
      <c r="O137" s="8" t="n">
        <v>4323.05</v>
      </c>
      <c r="P137" s="7">
        <f>O137/M137*100</f>
        <v/>
      </c>
      <c r="Q137" s="9" t="n">
        <v>3.865</v>
      </c>
      <c r="R137" s="11" t="inlineStr">
        <is>
          <t>2025_H2</t>
        </is>
      </c>
    </row>
    <row r="138">
      <c r="A138" s="11" t="inlineStr">
        <is>
          <t>2025-08-14</t>
        </is>
      </c>
      <c r="B138" s="11" t="inlineStr">
        <is>
          <t>MUTHOOTFIN</t>
        </is>
      </c>
      <c r="C138" s="11" t="inlineStr">
        <is>
          <t>PE</t>
        </is>
      </c>
      <c r="D138" s="11" t="inlineStr">
        <is>
          <t>mid</t>
        </is>
      </c>
      <c r="E138" s="12" t="n">
        <v>65.09999999999999</v>
      </c>
      <c r="F138" s="12" t="n">
        <v>36.7</v>
      </c>
      <c r="G138" s="12" t="n">
        <v>44.2</v>
      </c>
      <c r="H138" s="11" t="inlineStr">
        <is>
          <t>2025-08-28</t>
        </is>
      </c>
      <c r="I138" s="13" t="n">
        <v>2500</v>
      </c>
      <c r="J138" s="5" t="n">
        <v>275</v>
      </c>
      <c r="K138" s="14" t="n">
        <v>19</v>
      </c>
      <c r="L138" s="14" t="n">
        <v>8.9</v>
      </c>
      <c r="M138" s="5">
        <f>K138*J138</f>
        <v/>
      </c>
      <c r="N138" s="8">
        <f>(L138-K138)*J138</f>
        <v/>
      </c>
      <c r="O138" s="8" t="n">
        <v>-2985.22</v>
      </c>
      <c r="P138" s="7">
        <f>O138/M138*100</f>
        <v/>
      </c>
      <c r="Q138" s="9" t="n">
        <v>-1.004</v>
      </c>
      <c r="R138" s="11" t="inlineStr">
        <is>
          <t>2025_H2</t>
        </is>
      </c>
    </row>
    <row r="139">
      <c r="A139" s="11" t="inlineStr">
        <is>
          <t>2025-08-14</t>
        </is>
      </c>
      <c r="B139" s="11" t="inlineStr">
        <is>
          <t>UNITDSPR</t>
        </is>
      </c>
      <c r="C139" s="11" t="inlineStr">
        <is>
          <t>CE</t>
        </is>
      </c>
      <c r="D139" s="11" t="inlineStr">
        <is>
          <t>large</t>
        </is>
      </c>
      <c r="E139" s="12" t="n">
        <v>-14</v>
      </c>
      <c r="F139" s="12" t="n">
        <v>-1</v>
      </c>
      <c r="G139" s="12" t="n">
        <v>0.9</v>
      </c>
      <c r="H139" s="11" t="inlineStr">
        <is>
          <t>2025-08-28</t>
        </is>
      </c>
      <c r="I139" s="13" t="n">
        <v>1340</v>
      </c>
      <c r="J139" s="5" t="n">
        <v>400</v>
      </c>
      <c r="K139" s="14" t="n">
        <v>15.55</v>
      </c>
      <c r="L139" s="14" t="n">
        <v>11.75</v>
      </c>
      <c r="M139" s="5">
        <f>K139*J139</f>
        <v/>
      </c>
      <c r="N139" s="8">
        <f>(L139-K139)*J139</f>
        <v/>
      </c>
      <c r="O139" s="8" t="n">
        <v>-1688.23</v>
      </c>
      <c r="P139" s="7">
        <f>O139/M139*100</f>
        <v/>
      </c>
      <c r="Q139" s="9" t="n">
        <v>0.023</v>
      </c>
      <c r="R139" s="11" t="inlineStr">
        <is>
          <t>2025_H2</t>
        </is>
      </c>
    </row>
    <row r="140">
      <c r="A140" s="11" t="inlineStr">
        <is>
          <t>2025-08-18</t>
        </is>
      </c>
      <c r="B140" s="11" t="inlineStr">
        <is>
          <t>PATANJALI</t>
        </is>
      </c>
      <c r="C140" s="11" t="inlineStr">
        <is>
          <t>CE</t>
        </is>
      </c>
      <c r="D140" s="11" t="inlineStr">
        <is>
          <t>mid</t>
        </is>
      </c>
      <c r="E140" s="12" t="n">
        <v>-31.3</v>
      </c>
      <c r="F140" s="12" t="n">
        <v>-49.7</v>
      </c>
      <c r="G140" s="12" t="n">
        <v>24.1</v>
      </c>
      <c r="H140" s="11" t="inlineStr">
        <is>
          <t>2025-08-28</t>
        </is>
      </c>
      <c r="I140" s="13" t="n">
        <v>1880</v>
      </c>
      <c r="J140" s="5" t="n">
        <v>300</v>
      </c>
      <c r="K140" s="14" t="n">
        <v>22.05</v>
      </c>
      <c r="L140" s="14" t="n">
        <v>9.1</v>
      </c>
      <c r="M140" s="5">
        <f>K140*J140</f>
        <v/>
      </c>
      <c r="N140" s="8">
        <f>(L140-K140)*J140</f>
        <v/>
      </c>
      <c r="O140" s="8" t="n">
        <v>-4127.32</v>
      </c>
      <c r="P140" s="7">
        <f>O140/M140*100</f>
        <v/>
      </c>
      <c r="Q140" s="9" t="n">
        <v>-1.242</v>
      </c>
      <c r="R140" s="11" t="inlineStr">
        <is>
          <t>2025_H2</t>
        </is>
      </c>
    </row>
    <row r="141">
      <c r="A141" s="11" t="inlineStr">
        <is>
          <t>2025-10-15</t>
        </is>
      </c>
      <c r="B141" s="11" t="inlineStr">
        <is>
          <t>PERSISTENT</t>
        </is>
      </c>
      <c r="C141" s="11" t="inlineStr">
        <is>
          <t>PE</t>
        </is>
      </c>
      <c r="D141" s="11" t="inlineStr">
        <is>
          <t>mid</t>
        </is>
      </c>
      <c r="E141" s="12" t="n">
        <v>45.1</v>
      </c>
      <c r="F141" s="12" t="n">
        <v>10.9</v>
      </c>
      <c r="G141" s="12" t="n">
        <v>23.6</v>
      </c>
      <c r="H141" s="11" t="inlineStr">
        <is>
          <t>2025-10-28</t>
        </is>
      </c>
      <c r="I141" s="13" t="n">
        <v>5300</v>
      </c>
      <c r="J141" s="5" t="n">
        <v>100</v>
      </c>
      <c r="K141" s="14" t="n">
        <v>66.55</v>
      </c>
      <c r="L141" s="14" t="n">
        <v>19.45</v>
      </c>
      <c r="M141" s="5">
        <f>K141*J141</f>
        <v/>
      </c>
      <c r="N141" s="8">
        <f>(L141-K141)*J141</f>
        <v/>
      </c>
      <c r="O141" s="8" t="n">
        <v>-4935.93</v>
      </c>
      <c r="P141" s="7">
        <f>O141/M141*100</f>
        <v/>
      </c>
      <c r="Q141" s="9" t="n">
        <v>-3.669</v>
      </c>
      <c r="R141" s="11" t="inlineStr">
        <is>
          <t>2025_H2</t>
        </is>
      </c>
    </row>
    <row r="142">
      <c r="A142" s="11" t="inlineStr">
        <is>
          <t>2025-10-16</t>
        </is>
      </c>
      <c r="B142" s="11" t="inlineStr">
        <is>
          <t>AXISBANK</t>
        </is>
      </c>
      <c r="C142" s="11" t="inlineStr">
        <is>
          <t>CE</t>
        </is>
      </c>
      <c r="D142" s="11" t="inlineStr">
        <is>
          <t>large</t>
        </is>
      </c>
      <c r="E142" s="12" t="n">
        <v>-25.3</v>
      </c>
      <c r="F142" s="12" t="n">
        <v>-11.5</v>
      </c>
      <c r="G142" s="12" t="n">
        <v>2.2</v>
      </c>
      <c r="H142" s="11" t="inlineStr">
        <is>
          <t>2025-10-28</t>
        </is>
      </c>
      <c r="I142" s="13" t="n">
        <v>1240</v>
      </c>
      <c r="J142" s="5" t="n">
        <v>625</v>
      </c>
      <c r="K142" s="14" t="n">
        <v>10.05</v>
      </c>
      <c r="L142" s="14" t="n">
        <v>2.95</v>
      </c>
      <c r="M142" s="5">
        <f>K142*J142</f>
        <v/>
      </c>
      <c r="N142" s="8">
        <f>(L142-K142)*J142</f>
        <v/>
      </c>
      <c r="O142" s="8" t="n">
        <v>-4572.33</v>
      </c>
      <c r="P142" s="7">
        <f>O142/M142*100</f>
        <v/>
      </c>
      <c r="Q142" s="9" t="n">
        <v>-1.652</v>
      </c>
      <c r="R142" s="11" t="inlineStr">
        <is>
          <t>2025_H2</t>
        </is>
      </c>
    </row>
    <row r="143">
      <c r="A143" s="11" t="inlineStr">
        <is>
          <t>2025-10-16</t>
        </is>
      </c>
      <c r="B143" s="11" t="inlineStr">
        <is>
          <t>KEI</t>
        </is>
      </c>
      <c r="C143" s="11" t="inlineStr">
        <is>
          <t>PE</t>
        </is>
      </c>
      <c r="D143" s="11" t="inlineStr">
        <is>
          <t>mid</t>
        </is>
      </c>
      <c r="E143" s="12" t="n">
        <v>31.5</v>
      </c>
      <c r="F143" s="12" t="n">
        <v>4</v>
      </c>
      <c r="G143" s="12" t="n">
        <v>19.6</v>
      </c>
      <c r="H143" s="11" t="inlineStr">
        <is>
          <t>2025-10-28</t>
        </is>
      </c>
      <c r="I143" s="13" t="n">
        <v>4200</v>
      </c>
      <c r="J143" s="5" t="n">
        <v>175</v>
      </c>
      <c r="K143" s="14" t="n">
        <v>40.05</v>
      </c>
      <c r="L143" s="14" t="n">
        <v>114.9</v>
      </c>
      <c r="M143" s="5">
        <f>K143*J143</f>
        <v/>
      </c>
      <c r="N143" s="8">
        <f>(L143-K143)*J143</f>
        <v/>
      </c>
      <c r="O143" s="8" t="n">
        <v>12467.46</v>
      </c>
      <c r="P143" s="7">
        <f>O143/M143*100</f>
        <v/>
      </c>
      <c r="Q143" s="9" t="n">
        <v>5.917</v>
      </c>
      <c r="R143" s="11" t="inlineStr">
        <is>
          <t>2025_H2</t>
        </is>
      </c>
    </row>
    <row r="144">
      <c r="A144" s="11" t="inlineStr">
        <is>
          <t>2025-10-16</t>
        </is>
      </c>
      <c r="B144" s="11" t="inlineStr">
        <is>
          <t>OBEROIRLTY</t>
        </is>
      </c>
      <c r="C144" s="11" t="inlineStr">
        <is>
          <t>PE</t>
        </is>
      </c>
      <c r="D144" s="11" t="inlineStr">
        <is>
          <t>mid</t>
        </is>
      </c>
      <c r="E144" s="12" t="n">
        <v>100.4</v>
      </c>
      <c r="F144" s="12" t="n">
        <v>180.5</v>
      </c>
      <c r="G144" s="12" t="n">
        <v>109.6</v>
      </c>
      <c r="H144" s="11" t="inlineStr">
        <is>
          <t>2025-10-28</t>
        </is>
      </c>
      <c r="I144" s="13" t="n">
        <v>1600</v>
      </c>
      <c r="J144" s="5" t="n">
        <v>350</v>
      </c>
      <c r="K144" s="14" t="n">
        <v>7.1</v>
      </c>
      <c r="L144" s="14" t="n">
        <v>4.9</v>
      </c>
      <c r="M144" s="5">
        <f>K144*J144</f>
        <v/>
      </c>
      <c r="N144" s="8">
        <f>(L144-K144)*J144</f>
        <v/>
      </c>
      <c r="O144" s="8" t="n">
        <v>-905.6</v>
      </c>
      <c r="P144" s="7">
        <f>O144/M144*100</f>
        <v/>
      </c>
      <c r="Q144" s="9" t="n">
        <v>-0.722</v>
      </c>
      <c r="R144" s="11" t="inlineStr">
        <is>
          <t>2025_H2</t>
        </is>
      </c>
    </row>
    <row r="145">
      <c r="A145" s="11" t="inlineStr">
        <is>
          <t>2025-10-17</t>
        </is>
      </c>
      <c r="B145" s="11" t="inlineStr">
        <is>
          <t>INDIANB</t>
        </is>
      </c>
      <c r="C145" s="11" t="inlineStr">
        <is>
          <t>PE</t>
        </is>
      </c>
      <c r="D145" s="11" t="inlineStr">
        <is>
          <t>mid</t>
        </is>
      </c>
      <c r="E145" s="12" t="n">
        <v>11</v>
      </c>
      <c r="F145" s="12" t="n">
        <v>36.5</v>
      </c>
      <c r="G145" s="12" t="n">
        <v>8.199999999999999</v>
      </c>
      <c r="H145" s="11" t="inlineStr">
        <is>
          <t>2025-10-28</t>
        </is>
      </c>
      <c r="I145" s="13" t="n">
        <v>750</v>
      </c>
      <c r="J145" s="5" t="n">
        <v>1000</v>
      </c>
      <c r="K145" s="14" t="n">
        <v>5.05</v>
      </c>
      <c r="L145" s="14" t="n">
        <v>3.2</v>
      </c>
      <c r="M145" s="5">
        <f>K145*J145</f>
        <v/>
      </c>
      <c r="N145" s="8">
        <f>(L145-K145)*J145</f>
        <v/>
      </c>
      <c r="O145" s="8" t="n">
        <v>-2070.62</v>
      </c>
      <c r="P145" s="7">
        <f>O145/M145*100</f>
        <v/>
      </c>
      <c r="Q145" s="9" t="n">
        <v>0.083</v>
      </c>
      <c r="R145" s="11" t="inlineStr">
        <is>
          <t>2025_H2</t>
        </is>
      </c>
    </row>
    <row r="146">
      <c r="A146" s="11" t="inlineStr">
        <is>
          <t>2025-10-17</t>
        </is>
      </c>
      <c r="B146" s="11" t="inlineStr">
        <is>
          <t>INFY</t>
        </is>
      </c>
      <c r="C146" s="11" t="inlineStr">
        <is>
          <t>PE</t>
        </is>
      </c>
      <c r="D146" s="11" t="inlineStr">
        <is>
          <t>large</t>
        </is>
      </c>
      <c r="E146" s="12" t="n">
        <v>13.2</v>
      </c>
      <c r="F146" s="12" t="n">
        <v>6.5</v>
      </c>
      <c r="G146" s="12" t="n">
        <v>8.5</v>
      </c>
      <c r="H146" s="11" t="inlineStr">
        <is>
          <t>2025-10-28</t>
        </is>
      </c>
      <c r="I146" s="13" t="n">
        <v>1420</v>
      </c>
      <c r="J146" s="5" t="n">
        <v>400</v>
      </c>
      <c r="K146" s="14" t="n">
        <v>16.05</v>
      </c>
      <c r="L146" s="14" t="n">
        <v>23.75</v>
      </c>
      <c r="M146" s="5">
        <f>K146*J146</f>
        <v/>
      </c>
      <c r="N146" s="8">
        <f>(L146-K146)*J146</f>
        <v/>
      </c>
      <c r="O146" s="8" t="n">
        <v>2852.46</v>
      </c>
      <c r="P146" s="7">
        <f>O146/M146*100</f>
        <v/>
      </c>
      <c r="Q146" s="9" t="n">
        <v>0.949</v>
      </c>
      <c r="R146" s="11" t="inlineStr">
        <is>
          <t>2025_H2</t>
        </is>
      </c>
    </row>
    <row r="147">
      <c r="A147" s="11" t="inlineStr">
        <is>
          <t>2025-10-20</t>
        </is>
      </c>
      <c r="B147" s="11" t="inlineStr">
        <is>
          <t>360ONE</t>
        </is>
      </c>
      <c r="C147" s="11" t="inlineStr">
        <is>
          <t>PE</t>
        </is>
      </c>
      <c r="D147" s="11" t="inlineStr">
        <is>
          <t>mid</t>
        </is>
      </c>
      <c r="E147" s="12" t="n">
        <v>28.5</v>
      </c>
      <c r="F147" s="12" t="n">
        <v>10.8</v>
      </c>
      <c r="G147" s="12" t="n">
        <v>29.2</v>
      </c>
      <c r="H147" s="11" t="inlineStr">
        <is>
          <t>2025-10-28</t>
        </is>
      </c>
      <c r="I147" s="13" t="n">
        <v>1120</v>
      </c>
      <c r="J147" s="5" t="n">
        <v>500</v>
      </c>
      <c r="K147" s="14" t="n">
        <v>9.9</v>
      </c>
      <c r="L147" s="14" t="n">
        <v>4.05</v>
      </c>
      <c r="M147" s="5">
        <f>K147*J147</f>
        <v/>
      </c>
      <c r="N147" s="8">
        <f>(L147-K147)*J147</f>
        <v/>
      </c>
      <c r="O147" s="8" t="n">
        <v>-3117.82</v>
      </c>
      <c r="P147" s="7">
        <f>O147/M147*100</f>
        <v/>
      </c>
      <c r="Q147" s="9" t="n">
        <v>-1.571</v>
      </c>
      <c r="R147" s="11" t="inlineStr">
        <is>
          <t>2025_H2</t>
        </is>
      </c>
    </row>
    <row r="148">
      <c r="A148" s="11" t="inlineStr">
        <is>
          <t>2025-10-20</t>
        </is>
      </c>
      <c r="B148" s="11" t="inlineStr">
        <is>
          <t>DIXON</t>
        </is>
      </c>
      <c r="C148" s="11" t="inlineStr">
        <is>
          <t>PE</t>
        </is>
      </c>
      <c r="D148" s="11" t="inlineStr">
        <is>
          <t>mid</t>
        </is>
      </c>
      <c r="E148" s="12" t="n">
        <v>81.09999999999999</v>
      </c>
      <c r="F148" s="12" t="n">
        <v>166.3</v>
      </c>
      <c r="G148" s="12" t="n">
        <v>28.8</v>
      </c>
      <c r="H148" s="11" t="inlineStr">
        <is>
          <t>2025-10-28</t>
        </is>
      </c>
      <c r="I148" s="13" t="n">
        <v>15750</v>
      </c>
      <c r="J148" s="5" t="n">
        <v>50</v>
      </c>
      <c r="K148" s="14" t="n">
        <v>99.05</v>
      </c>
      <c r="L148" s="14" t="n">
        <v>149.75</v>
      </c>
      <c r="M148" s="5">
        <f>K148*J148</f>
        <v/>
      </c>
      <c r="N148" s="8">
        <f>(L148-K148)*J148</f>
        <v/>
      </c>
      <c r="O148" s="8" t="n">
        <v>2222.39</v>
      </c>
      <c r="P148" s="7">
        <f>O148/M148*100</f>
        <v/>
      </c>
      <c r="Q148" s="9" t="n">
        <v>3.743</v>
      </c>
      <c r="R148" s="11" t="inlineStr">
        <is>
          <t>2025_H2</t>
        </is>
      </c>
    </row>
    <row r="149">
      <c r="A149" s="11" t="inlineStr">
        <is>
          <t>2025-10-20</t>
        </is>
      </c>
      <c r="B149" s="11" t="inlineStr">
        <is>
          <t>HINDZINC</t>
        </is>
      </c>
      <c r="C149" s="11" t="inlineStr">
        <is>
          <t>PE</t>
        </is>
      </c>
      <c r="D149" s="11" t="inlineStr">
        <is>
          <t>large</t>
        </is>
      </c>
      <c r="E149" s="12" t="n">
        <v>13.8</v>
      </c>
      <c r="F149" s="12" t="n">
        <v>18.6</v>
      </c>
      <c r="G149" s="12" t="n">
        <v>3.6</v>
      </c>
      <c r="H149" s="11" t="inlineStr">
        <is>
          <t>2025-10-28</t>
        </is>
      </c>
      <c r="I149" s="13" t="n">
        <v>480</v>
      </c>
      <c r="J149" s="5" t="n">
        <v>1225</v>
      </c>
      <c r="K149" s="14" t="n">
        <v>5.35</v>
      </c>
      <c r="L149" s="14" t="n">
        <v>5.35</v>
      </c>
      <c r="M149" s="5">
        <f>K149*J149</f>
        <v/>
      </c>
      <c r="N149" s="8">
        <f>(L149-K149)*J149</f>
        <v/>
      </c>
      <c r="O149" s="8" t="n">
        <v>-193.82</v>
      </c>
      <c r="P149" s="7">
        <f>O149/M149*100</f>
        <v/>
      </c>
      <c r="Q149" s="9" t="n">
        <v>2.72</v>
      </c>
      <c r="R149" s="11" t="inlineStr">
        <is>
          <t>2025_H2</t>
        </is>
      </c>
    </row>
    <row r="150">
      <c r="A150" s="11" t="inlineStr">
        <is>
          <t>2025-10-20</t>
        </is>
      </c>
      <c r="B150" s="11" t="inlineStr">
        <is>
          <t>INDUSINDBK</t>
        </is>
      </c>
      <c r="C150" s="11" t="inlineStr">
        <is>
          <t>CE</t>
        </is>
      </c>
      <c r="D150" s="11" t="inlineStr">
        <is>
          <t>mid</t>
        </is>
      </c>
      <c r="E150" s="12" t="n">
        <v>-132.8</v>
      </c>
      <c r="F150" s="12" t="n">
        <v>-172.3</v>
      </c>
      <c r="G150" s="12" t="n">
        <v>-8.5</v>
      </c>
      <c r="H150" s="11" t="inlineStr">
        <is>
          <t>2025-10-28</t>
        </is>
      </c>
      <c r="I150" s="13" t="n">
        <v>770</v>
      </c>
      <c r="J150" s="5" t="n">
        <v>700</v>
      </c>
      <c r="K150" s="14" t="n">
        <v>7</v>
      </c>
      <c r="L150" s="14" t="n">
        <v>7.2</v>
      </c>
      <c r="M150" s="5">
        <f>K150*J150</f>
        <v/>
      </c>
      <c r="N150" s="8">
        <f>(L150-K150)*J150</f>
        <v/>
      </c>
      <c r="O150" s="8" t="n">
        <v>-117.88</v>
      </c>
      <c r="P150" s="7">
        <f>O150/M150*100</f>
        <v/>
      </c>
      <c r="Q150" s="9" t="n">
        <v>2.254</v>
      </c>
      <c r="R150" s="11" t="inlineStr">
        <is>
          <t>2025_H2</t>
        </is>
      </c>
    </row>
    <row r="151">
      <c r="A151" s="11" t="inlineStr">
        <is>
          <t>2025-10-20</t>
        </is>
      </c>
      <c r="B151" s="11" t="inlineStr">
        <is>
          <t>POLYCAB</t>
        </is>
      </c>
      <c r="C151" s="11" t="inlineStr">
        <is>
          <t>PE</t>
        </is>
      </c>
      <c r="D151" s="11" t="inlineStr">
        <is>
          <t>mid</t>
        </is>
      </c>
      <c r="E151" s="12" t="n">
        <v>55.6</v>
      </c>
      <c r="F151" s="12" t="n">
        <v>15.6</v>
      </c>
      <c r="G151" s="12" t="n">
        <v>17.8</v>
      </c>
      <c r="H151" s="11" t="inlineStr">
        <is>
          <t>2025-10-28</t>
        </is>
      </c>
      <c r="I151" s="13" t="n">
        <v>7400</v>
      </c>
      <c r="J151" s="5" t="n">
        <v>125</v>
      </c>
      <c r="K151" s="14" t="n">
        <v>50.6</v>
      </c>
      <c r="L151" s="14" t="n">
        <v>29.55</v>
      </c>
      <c r="M151" s="5">
        <f>K151*J151</f>
        <v/>
      </c>
      <c r="N151" s="8">
        <f>(L151-K151)*J151</f>
        <v/>
      </c>
      <c r="O151" s="8" t="n">
        <v>-2888.78</v>
      </c>
      <c r="P151" s="7">
        <f>O151/M151*100</f>
        <v/>
      </c>
      <c r="Q151" s="9" t="n">
        <v>-1.906</v>
      </c>
      <c r="R151" s="11" t="inlineStr">
        <is>
          <t>2025_H2</t>
        </is>
      </c>
    </row>
    <row r="152">
      <c r="A152" s="11" t="inlineStr">
        <is>
          <t>2025-10-20</t>
        </is>
      </c>
      <c r="B152" s="11" t="inlineStr">
        <is>
          <t>RBLBANK</t>
        </is>
      </c>
      <c r="C152" s="11" t="inlineStr">
        <is>
          <t>CE</t>
        </is>
      </c>
      <c r="D152" s="11" t="inlineStr">
        <is>
          <t>small</t>
        </is>
      </c>
      <c r="E152" s="12" t="n">
        <v>-16.9</v>
      </c>
      <c r="F152" s="12" t="n">
        <v>-10.2</v>
      </c>
      <c r="G152" s="12" t="n">
        <v>-0.7</v>
      </c>
      <c r="H152" s="11" t="inlineStr">
        <is>
          <t>2025-10-28</t>
        </is>
      </c>
      <c r="I152" s="13" t="n">
        <v>330</v>
      </c>
      <c r="J152" s="5" t="n">
        <v>3175</v>
      </c>
      <c r="K152" s="14" t="n">
        <v>2.1</v>
      </c>
      <c r="L152" s="14" t="n">
        <v>5.75</v>
      </c>
      <c r="M152" s="5">
        <f>K152*J152</f>
        <v/>
      </c>
      <c r="N152" s="8">
        <f>(L152-K152)*J152</f>
        <v/>
      </c>
      <c r="O152" s="8" t="n">
        <v>10755.77</v>
      </c>
      <c r="P152" s="7">
        <f>O152/M152*100</f>
        <v/>
      </c>
      <c r="Q152" s="9" t="n">
        <v>8.055</v>
      </c>
      <c r="R152" s="11" t="inlineStr">
        <is>
          <t>2025_H2</t>
        </is>
      </c>
    </row>
    <row r="153">
      <c r="A153" s="11" t="inlineStr">
        <is>
          <t>2025-10-24</t>
        </is>
      </c>
      <c r="B153" s="11" t="inlineStr">
        <is>
          <t>LAURUSLABS</t>
        </is>
      </c>
      <c r="C153" s="11" t="inlineStr">
        <is>
          <t>PE</t>
        </is>
      </c>
      <c r="D153" s="11" t="inlineStr">
        <is>
          <t>mid</t>
        </is>
      </c>
      <c r="E153" s="12" t="n">
        <v>1685.3</v>
      </c>
      <c r="F153" s="12" t="n">
        <v>120.3</v>
      </c>
      <c r="G153" s="12" t="n">
        <v>163.4</v>
      </c>
      <c r="H153" s="11" t="inlineStr">
        <is>
          <t>2025-10-28</t>
        </is>
      </c>
      <c r="I153" s="13" t="n">
        <v>890</v>
      </c>
      <c r="J153" s="5" t="n">
        <v>1700</v>
      </c>
      <c r="K153" s="14" t="n">
        <v>3.95</v>
      </c>
      <c r="L153" s="14" t="n">
        <v>0.75</v>
      </c>
      <c r="M153" s="5">
        <f>K153*J153</f>
        <v/>
      </c>
      <c r="N153" s="8">
        <f>(L153-K153)*J153</f>
        <v/>
      </c>
      <c r="O153" s="8" t="n">
        <v>-5652.47</v>
      </c>
      <c r="P153" s="7">
        <f>O153/M153*100</f>
        <v/>
      </c>
      <c r="Q153" s="9" t="n">
        <v>1.76</v>
      </c>
      <c r="R153" s="11" t="inlineStr">
        <is>
          <t>2025_H2</t>
        </is>
      </c>
    </row>
    <row r="154">
      <c r="A154" s="11" t="inlineStr">
        <is>
          <t>2025-10-27</t>
        </is>
      </c>
      <c r="B154" s="11" t="inlineStr">
        <is>
          <t>COFORGE</t>
        </is>
      </c>
      <c r="C154" s="11" t="inlineStr">
        <is>
          <t>PE</t>
        </is>
      </c>
      <c r="D154" s="11" t="inlineStr">
        <is>
          <t>mid</t>
        </is>
      </c>
      <c r="E154" s="12" t="n">
        <v>82.09999999999999</v>
      </c>
      <c r="F154" s="12" t="n">
        <v>19.4</v>
      </c>
      <c r="G154" s="12" t="n">
        <v>30.2</v>
      </c>
      <c r="H154" s="11" t="inlineStr">
        <is>
          <t>2025-11-25</t>
        </is>
      </c>
      <c r="I154" s="13" t="n">
        <v>1680</v>
      </c>
      <c r="J154" s="5" t="n">
        <v>375</v>
      </c>
      <c r="K154" s="14" t="n">
        <v>10.9</v>
      </c>
      <c r="L154" s="14" t="n">
        <v>14.35</v>
      </c>
      <c r="M154" s="5">
        <f>K154*J154</f>
        <v/>
      </c>
      <c r="N154" s="8">
        <f>(L154-K154)*J154</f>
        <v/>
      </c>
      <c r="O154" s="8" t="n">
        <v>1045</v>
      </c>
      <c r="P154" s="7">
        <f>O154/M154*100</f>
        <v/>
      </c>
      <c r="Q154" s="9" t="n">
        <v>1.049</v>
      </c>
      <c r="R154" s="11" t="inlineStr">
        <is>
          <t>2025_H2</t>
        </is>
      </c>
    </row>
    <row r="155">
      <c r="A155" s="11" t="inlineStr">
        <is>
          <t>2025-10-27</t>
        </is>
      </c>
      <c r="B155" s="11" t="inlineStr">
        <is>
          <t>KOTAKBANK</t>
        </is>
      </c>
      <c r="C155" s="11" t="inlineStr">
        <is>
          <t>CE</t>
        </is>
      </c>
      <c r="D155" s="11" t="inlineStr">
        <is>
          <t>large</t>
        </is>
      </c>
      <c r="E155" s="12" t="n">
        <v>-11.4</v>
      </c>
      <c r="F155" s="12" t="n">
        <v>-0.1</v>
      </c>
      <c r="G155" s="12" t="n">
        <v>4.7</v>
      </c>
      <c r="H155" s="11" t="inlineStr">
        <is>
          <t>2025-11-25</t>
        </is>
      </c>
      <c r="I155" s="13" t="n">
        <v>2300</v>
      </c>
      <c r="J155" s="5" t="n">
        <v>400</v>
      </c>
      <c r="K155" s="14" t="n">
        <v>17.95</v>
      </c>
      <c r="L155" s="14" t="n">
        <v>9</v>
      </c>
      <c r="M155" s="5">
        <f>K155*J155</f>
        <v/>
      </c>
      <c r="N155" s="8">
        <f>(L155-K155)*J155</f>
        <v/>
      </c>
      <c r="O155" s="8" t="n">
        <v>-3745.15</v>
      </c>
      <c r="P155" s="7">
        <f>O155/M155*100</f>
        <v/>
      </c>
      <c r="Q155" s="9" t="n">
        <v>-1.093</v>
      </c>
      <c r="R155" s="11" t="inlineStr">
        <is>
          <t>2025_H2</t>
        </is>
      </c>
    </row>
    <row r="156">
      <c r="A156" s="11" t="inlineStr">
        <is>
          <t>2025-10-28</t>
        </is>
      </c>
      <c r="B156" s="11" t="inlineStr">
        <is>
          <t>MAZDOCK</t>
        </is>
      </c>
      <c r="C156" s="11" t="inlineStr">
        <is>
          <t>PE</t>
        </is>
      </c>
      <c r="D156" s="11" t="inlineStr">
        <is>
          <t>large</t>
        </is>
      </c>
      <c r="E156" s="12" t="n">
        <v>28.1</v>
      </c>
      <c r="F156" s="12" t="n">
        <v>65.8</v>
      </c>
      <c r="G156" s="12" t="n">
        <v>6.3</v>
      </c>
      <c r="H156" s="11" t="inlineStr">
        <is>
          <t>2025-11-25</t>
        </is>
      </c>
      <c r="I156" s="13" t="n">
        <v>2650</v>
      </c>
      <c r="J156" s="5" t="n">
        <v>175</v>
      </c>
      <c r="K156" s="14" t="n">
        <v>34.95</v>
      </c>
      <c r="L156" s="14" t="n">
        <v>48.6</v>
      </c>
      <c r="M156" s="5">
        <f>K156*J156</f>
        <v/>
      </c>
      <c r="N156" s="8">
        <f>(L156-K156)*J156</f>
        <v/>
      </c>
      <c r="O156" s="8" t="n">
        <v>2176.25</v>
      </c>
      <c r="P156" s="7">
        <f>O156/M156*100</f>
        <v/>
      </c>
      <c r="Q156" s="9" t="n">
        <v>3.119</v>
      </c>
      <c r="R156" s="11" t="inlineStr">
        <is>
          <t>2025_H2</t>
        </is>
      </c>
    </row>
    <row r="157">
      <c r="A157" s="11" t="inlineStr">
        <is>
          <t>2025-10-28</t>
        </is>
      </c>
      <c r="B157" s="11" t="inlineStr">
        <is>
          <t>PNBHOUSING</t>
        </is>
      </c>
      <c r="C157" s="11" t="inlineStr">
        <is>
          <t>PE</t>
        </is>
      </c>
      <c r="D157" s="11" t="inlineStr">
        <is>
          <t>small</t>
        </is>
      </c>
      <c r="E157" s="12" t="n">
        <v>23.8</v>
      </c>
      <c r="F157" s="12" t="n">
        <v>9</v>
      </c>
      <c r="G157" s="12" t="n">
        <v>13.3</v>
      </c>
      <c r="H157" s="11" t="inlineStr">
        <is>
          <t>2025-11-25</t>
        </is>
      </c>
      <c r="I157" s="13" t="n">
        <v>840</v>
      </c>
      <c r="J157" s="5" t="n">
        <v>650</v>
      </c>
      <c r="K157" s="14" t="n">
        <v>8.050000000000001</v>
      </c>
      <c r="L157" s="14" t="n">
        <v>5.2</v>
      </c>
      <c r="M157" s="5">
        <f>K157*J157</f>
        <v/>
      </c>
      <c r="N157" s="8">
        <f>(L157-K157)*J157</f>
        <v/>
      </c>
      <c r="O157" s="8" t="n">
        <v>-2166.94</v>
      </c>
      <c r="P157" s="7">
        <f>O157/M157*100</f>
        <v/>
      </c>
      <c r="Q157" s="9" t="n">
        <v>-0.636</v>
      </c>
      <c r="R157" s="11" t="inlineStr">
        <is>
          <t>2025_H2</t>
        </is>
      </c>
    </row>
    <row r="158">
      <c r="A158" s="11" t="inlineStr">
        <is>
          <t>2025-10-28</t>
        </is>
      </c>
      <c r="B158" s="11" t="inlineStr">
        <is>
          <t>SONACOMS</t>
        </is>
      </c>
      <c r="C158" s="11" t="inlineStr">
        <is>
          <t>PE</t>
        </is>
      </c>
      <c r="D158" s="11" t="inlineStr">
        <is>
          <t>mid</t>
        </is>
      </c>
      <c r="E158" s="12" t="n">
        <v>18.7</v>
      </c>
      <c r="F158" s="12" t="n">
        <v>40.1</v>
      </c>
      <c r="G158" s="12" t="n">
        <v>23.6</v>
      </c>
      <c r="H158" s="11" t="inlineStr">
        <is>
          <t>2025-11-25</t>
        </is>
      </c>
      <c r="I158" s="13" t="n">
        <v>450</v>
      </c>
      <c r="J158" s="5" t="n">
        <v>1050</v>
      </c>
      <c r="K158" s="14" t="n">
        <v>5.55</v>
      </c>
      <c r="L158" s="14" t="n">
        <v>5.1</v>
      </c>
      <c r="M158" s="5">
        <f>K158*J158</f>
        <v/>
      </c>
      <c r="N158" s="8">
        <f>(L158-K158)*J158</f>
        <v/>
      </c>
      <c r="O158" s="8" t="n">
        <v>-756.25</v>
      </c>
      <c r="P158" s="7">
        <f>O158/M158*100</f>
        <v/>
      </c>
      <c r="Q158" s="9" t="n">
        <v>2.359</v>
      </c>
      <c r="R158" s="11" t="inlineStr">
        <is>
          <t>2025_H2</t>
        </is>
      </c>
    </row>
    <row r="159">
      <c r="A159" s="11" t="inlineStr">
        <is>
          <t>2025-10-29</t>
        </is>
      </c>
      <c r="B159" s="11" t="inlineStr">
        <is>
          <t>JINDALSTEL</t>
        </is>
      </c>
      <c r="C159" s="11" t="inlineStr">
        <is>
          <t>CE</t>
        </is>
      </c>
      <c r="D159" s="11" t="inlineStr">
        <is>
          <t>large</t>
        </is>
      </c>
      <c r="E159" s="12" t="n">
        <v>-26.2</v>
      </c>
      <c r="F159" s="12" t="n">
        <v>-57.5</v>
      </c>
      <c r="G159" s="12" t="n">
        <v>4.2</v>
      </c>
      <c r="H159" s="11" t="inlineStr">
        <is>
          <t>2025-11-25</t>
        </is>
      </c>
      <c r="I159" s="13" t="n">
        <v>1120</v>
      </c>
      <c r="J159" s="5" t="n">
        <v>625</v>
      </c>
      <c r="K159" s="14" t="n">
        <v>10.05</v>
      </c>
      <c r="L159" s="14" t="n">
        <v>14.1</v>
      </c>
      <c r="M159" s="5">
        <f>K159*J159</f>
        <v/>
      </c>
      <c r="N159" s="8">
        <f>(L159-K159)*J159</f>
        <v/>
      </c>
      <c r="O159" s="8" t="n">
        <v>2313.35</v>
      </c>
      <c r="P159" s="7">
        <f>O159/M159*100</f>
        <v/>
      </c>
      <c r="Q159" s="9" t="n">
        <v>0.715</v>
      </c>
      <c r="R159" s="11" t="inlineStr">
        <is>
          <t>2025_H2</t>
        </is>
      </c>
    </row>
    <row r="160">
      <c r="A160" s="11" t="inlineStr">
        <is>
          <t>2025-10-29</t>
        </is>
      </c>
      <c r="B160" s="11" t="inlineStr">
        <is>
          <t>TVSMOTOR</t>
        </is>
      </c>
      <c r="C160" s="11" t="inlineStr">
        <is>
          <t>PE</t>
        </is>
      </c>
      <c r="D160" s="11" t="inlineStr">
        <is>
          <t>large</t>
        </is>
      </c>
      <c r="E160" s="12" t="n">
        <v>41.6</v>
      </c>
      <c r="F160" s="12" t="n">
        <v>29.5</v>
      </c>
      <c r="G160" s="12" t="n">
        <v>24.3</v>
      </c>
      <c r="H160" s="11" t="inlineStr">
        <is>
          <t>2025-11-25</t>
        </is>
      </c>
      <c r="I160" s="13" t="n">
        <v>3400</v>
      </c>
      <c r="J160" s="5" t="n">
        <v>175</v>
      </c>
      <c r="K160" s="14" t="n">
        <v>35.6</v>
      </c>
      <c r="L160" s="14" t="n">
        <v>45.5</v>
      </c>
      <c r="M160" s="5">
        <f>K160*J160</f>
        <v/>
      </c>
      <c r="N160" s="8">
        <f>(L160-K160)*J160</f>
        <v/>
      </c>
      <c r="O160" s="8" t="n">
        <v>1525.27</v>
      </c>
      <c r="P160" s="7">
        <f>O160/M160*100</f>
        <v/>
      </c>
      <c r="Q160" s="9" t="n">
        <v>2.808</v>
      </c>
      <c r="R160" s="11" t="inlineStr">
        <is>
          <t>2025_H2</t>
        </is>
      </c>
    </row>
    <row r="161">
      <c r="A161" s="11" t="inlineStr">
        <is>
          <t>2025-10-30</t>
        </is>
      </c>
      <c r="B161" s="11" t="inlineStr">
        <is>
          <t>APLAPOLLO</t>
        </is>
      </c>
      <c r="C161" s="11" t="inlineStr">
        <is>
          <t>PE</t>
        </is>
      </c>
      <c r="D161" s="11" t="inlineStr">
        <is>
          <t>mid</t>
        </is>
      </c>
      <c r="E161" s="12" t="n">
        <v>460.4</v>
      </c>
      <c r="F161" s="12" t="n">
        <v>27.1</v>
      </c>
      <c r="G161" s="12" t="n">
        <v>9.1</v>
      </c>
      <c r="H161" s="11" t="inlineStr">
        <is>
          <t>2025-11-25</t>
        </is>
      </c>
      <c r="I161" s="13" t="n">
        <v>1720</v>
      </c>
      <c r="J161" s="5" t="n">
        <v>350</v>
      </c>
      <c r="K161" s="14" t="n">
        <v>18.8</v>
      </c>
      <c r="L161" s="14" t="n">
        <v>19.4</v>
      </c>
      <c r="M161" s="5">
        <f>K161*J161</f>
        <v/>
      </c>
      <c r="N161" s="8">
        <f>(L161-K161)*J161</f>
        <v/>
      </c>
      <c r="O161" s="8" t="n">
        <v>-120.61</v>
      </c>
      <c r="P161" s="7">
        <f>O161/M161*100</f>
        <v/>
      </c>
      <c r="Q161" s="9" t="n">
        <v>2.214</v>
      </c>
      <c r="R161" s="11" t="inlineStr">
        <is>
          <t>2025_H2</t>
        </is>
      </c>
    </row>
    <row r="162">
      <c r="A162" s="11" t="inlineStr">
        <is>
          <t>2025-10-30</t>
        </is>
      </c>
      <c r="B162" s="11" t="inlineStr">
        <is>
          <t>CGPOWER</t>
        </is>
      </c>
      <c r="C162" s="11" t="inlineStr">
        <is>
          <t>PE</t>
        </is>
      </c>
      <c r="D162" s="11" t="inlineStr">
        <is>
          <t>large</t>
        </is>
      </c>
      <c r="E162" s="12" t="n">
        <v>151</v>
      </c>
      <c r="F162" s="12" t="n">
        <v>106.6</v>
      </c>
      <c r="G162" s="12" t="n">
        <v>140.4</v>
      </c>
      <c r="H162" s="11" t="inlineStr">
        <is>
          <t>2025-11-25</t>
        </is>
      </c>
      <c r="I162" s="13" t="n">
        <v>700</v>
      </c>
      <c r="J162" s="5" t="n">
        <v>850</v>
      </c>
      <c r="K162" s="14" t="n">
        <v>6.05</v>
      </c>
      <c r="L162" s="14" t="n">
        <v>7.9</v>
      </c>
      <c r="M162" s="5">
        <f>K162*J162</f>
        <v/>
      </c>
      <c r="N162" s="8">
        <f>(L162-K162)*J162</f>
        <v/>
      </c>
      <c r="O162" s="8" t="n">
        <v>1391.51</v>
      </c>
      <c r="P162" s="7">
        <f>O162/M162*100</f>
        <v/>
      </c>
      <c r="Q162" s="9" t="n">
        <v>2.56</v>
      </c>
      <c r="R162" s="11" t="inlineStr">
        <is>
          <t>2025_H2</t>
        </is>
      </c>
    </row>
    <row r="163">
      <c r="A163" s="11" t="inlineStr">
        <is>
          <t>2025-10-30</t>
        </is>
      </c>
      <c r="B163" s="11" t="inlineStr">
        <is>
          <t>COALINDIA</t>
        </is>
      </c>
      <c r="C163" s="11" t="inlineStr">
        <is>
          <t>CE</t>
        </is>
      </c>
      <c r="D163" s="11" t="inlineStr">
        <is>
          <t>large</t>
        </is>
      </c>
      <c r="E163" s="12" t="n">
        <v>-32.1</v>
      </c>
      <c r="F163" s="12" t="n">
        <v>-51.2</v>
      </c>
      <c r="G163" s="12" t="n">
        <v>-1.6</v>
      </c>
      <c r="H163" s="11" t="inlineStr">
        <is>
          <t>2025-11-25</t>
        </is>
      </c>
      <c r="I163" s="13" t="n">
        <v>390</v>
      </c>
      <c r="J163" s="5" t="n">
        <v>1350</v>
      </c>
      <c r="K163" s="14" t="n">
        <v>5.6</v>
      </c>
      <c r="L163" s="14" t="n">
        <v>7.05</v>
      </c>
      <c r="M163" s="5">
        <f>K163*J163</f>
        <v/>
      </c>
      <c r="N163" s="8">
        <f>(L163-K163)*J163</f>
        <v/>
      </c>
      <c r="O163" s="8" t="n">
        <v>1717.84</v>
      </c>
      <c r="P163" s="7">
        <f>O163/M163*100</f>
        <v/>
      </c>
      <c r="Q163" s="9" t="n">
        <v>1.24</v>
      </c>
      <c r="R163" s="11" t="inlineStr">
        <is>
          <t>2025_H2</t>
        </is>
      </c>
    </row>
    <row r="164">
      <c r="A164" s="11" t="inlineStr">
        <is>
          <t>2025-10-30</t>
        </is>
      </c>
      <c r="B164" s="11" t="inlineStr">
        <is>
          <t>LT</t>
        </is>
      </c>
      <c r="C164" s="11" t="inlineStr">
        <is>
          <t>PE</t>
        </is>
      </c>
      <c r="D164" s="11" t="inlineStr">
        <is>
          <t>large</t>
        </is>
      </c>
      <c r="E164" s="12" t="n">
        <v>14.1</v>
      </c>
      <c r="F164" s="12" t="n">
        <v>8.300000000000001</v>
      </c>
      <c r="G164" s="12" t="n">
        <v>10.4</v>
      </c>
      <c r="H164" s="11" t="inlineStr">
        <is>
          <t>2025-11-25</t>
        </is>
      </c>
      <c r="I164" s="13" t="n">
        <v>3880</v>
      </c>
      <c r="J164" s="5" t="n">
        <v>175</v>
      </c>
      <c r="K164" s="14" t="n">
        <v>44.05</v>
      </c>
      <c r="L164" s="14" t="n">
        <v>32</v>
      </c>
      <c r="M164" s="5">
        <f>K164*J164</f>
        <v/>
      </c>
      <c r="N164" s="8">
        <f>(L164-K164)*J164</f>
        <v/>
      </c>
      <c r="O164" s="8" t="n">
        <v>-2303.27</v>
      </c>
      <c r="P164" s="7">
        <f>O164/M164*100</f>
        <v/>
      </c>
      <c r="Q164" s="9" t="n">
        <v>-0.188</v>
      </c>
      <c r="R164" s="11" t="inlineStr">
        <is>
          <t>2025_H2</t>
        </is>
      </c>
    </row>
    <row r="165">
      <c r="A165" s="11" t="inlineStr">
        <is>
          <t>2025-10-30</t>
        </is>
      </c>
      <c r="B165" s="11" t="inlineStr">
        <is>
          <t>POLICYBZR</t>
        </is>
      </c>
      <c r="C165" s="11" t="inlineStr">
        <is>
          <t>PE</t>
        </is>
      </c>
      <c r="D165" s="11" t="inlineStr">
        <is>
          <t>mid</t>
        </is>
      </c>
      <c r="E165" s="12" t="n">
        <v>164.6</v>
      </c>
      <c r="F165" s="12" t="n">
        <v>59.4</v>
      </c>
      <c r="G165" s="12" t="n">
        <v>38.2</v>
      </c>
      <c r="H165" s="11" t="inlineStr">
        <is>
          <t>2025-11-25</t>
        </is>
      </c>
      <c r="I165" s="13" t="n">
        <v>1660</v>
      </c>
      <c r="J165" s="5" t="n">
        <v>350</v>
      </c>
      <c r="K165" s="14" t="n">
        <v>21.25</v>
      </c>
      <c r="L165" s="14" t="n">
        <v>6.95</v>
      </c>
      <c r="M165" s="5">
        <f>K165*J165</f>
        <v/>
      </c>
      <c r="N165" s="8">
        <f>(L165-K165)*J165</f>
        <v/>
      </c>
      <c r="O165" s="8" t="n">
        <v>-5257.62</v>
      </c>
      <c r="P165" s="7">
        <f>O165/M165*100</f>
        <v/>
      </c>
      <c r="Q165" s="9" t="n">
        <v>-2.421</v>
      </c>
      <c r="R165" s="11" t="inlineStr">
        <is>
          <t>2025_H2</t>
        </is>
      </c>
    </row>
    <row r="166">
      <c r="A166" s="11" t="inlineStr">
        <is>
          <t>2025-10-31</t>
        </is>
      </c>
      <c r="B166" s="11" t="inlineStr">
        <is>
          <t>BANDHANBNK</t>
        </is>
      </c>
      <c r="C166" s="11" t="inlineStr">
        <is>
          <t>CE</t>
        </is>
      </c>
      <c r="D166" s="11" t="inlineStr">
        <is>
          <t>small</t>
        </is>
      </c>
      <c r="E166" s="12" t="n">
        <v>-88.09999999999999</v>
      </c>
      <c r="F166" s="12" t="n">
        <v>-69.90000000000001</v>
      </c>
      <c r="G166" s="12" t="n">
        <v>-2.7</v>
      </c>
      <c r="H166" s="11" t="inlineStr">
        <is>
          <t>2025-11-25</t>
        </is>
      </c>
      <c r="I166" s="13" t="n">
        <v>172.5</v>
      </c>
      <c r="J166" s="5" t="n">
        <v>3600</v>
      </c>
      <c r="K166" s="14" t="n">
        <v>2.2</v>
      </c>
      <c r="L166" s="14" t="n">
        <v>1</v>
      </c>
      <c r="M166" s="5">
        <f>K166*J166</f>
        <v/>
      </c>
      <c r="N166" s="8">
        <f>(L166-K166)*J166</f>
        <v/>
      </c>
      <c r="O166" s="8" t="n">
        <v>-4723.28</v>
      </c>
      <c r="P166" s="7">
        <f>O166/M166*100</f>
        <v/>
      </c>
      <c r="Q166" s="9" t="n">
        <v>-4.595</v>
      </c>
      <c r="R166" s="11" t="inlineStr">
        <is>
          <t>2025_H2</t>
        </is>
      </c>
    </row>
    <row r="167">
      <c r="A167" s="11" t="inlineStr">
        <is>
          <t>2025-10-31</t>
        </is>
      </c>
      <c r="B167" s="11" t="inlineStr">
        <is>
          <t>LODHA</t>
        </is>
      </c>
      <c r="C167" s="11" t="inlineStr">
        <is>
          <t>PE</t>
        </is>
      </c>
      <c r="D167" s="11" t="inlineStr">
        <is>
          <t>large</t>
        </is>
      </c>
      <c r="E167" s="12" t="n">
        <v>86.7</v>
      </c>
      <c r="F167" s="12" t="n">
        <v>17</v>
      </c>
      <c r="G167" s="12" t="n">
        <v>44.7</v>
      </c>
      <c r="H167" s="11" t="inlineStr">
        <is>
          <t>2025-11-25</t>
        </is>
      </c>
      <c r="I167" s="13" t="n">
        <v>1140</v>
      </c>
      <c r="J167" s="5" t="n">
        <v>450</v>
      </c>
      <c r="K167" s="14" t="n">
        <v>16.5</v>
      </c>
      <c r="L167" s="14" t="n">
        <v>14.25</v>
      </c>
      <c r="M167" s="5">
        <f>K167*J167</f>
        <v/>
      </c>
      <c r="N167" s="8">
        <f>(L167-K167)*J167</f>
        <v/>
      </c>
      <c r="O167" s="8" t="n">
        <v>-1213.74</v>
      </c>
      <c r="P167" s="7">
        <f>O167/M167*100</f>
        <v/>
      </c>
      <c r="Q167" s="9" t="n">
        <v>0.092</v>
      </c>
      <c r="R167" s="11" t="inlineStr">
        <is>
          <t>2025_H2</t>
        </is>
      </c>
    </row>
    <row r="168">
      <c r="A168" s="11" t="inlineStr">
        <is>
          <t>2025-10-31</t>
        </is>
      </c>
      <c r="B168" s="11" t="inlineStr">
        <is>
          <t>MPHASIS</t>
        </is>
      </c>
      <c r="C168" s="11" t="inlineStr">
        <is>
          <t>PE</t>
        </is>
      </c>
      <c r="D168" s="11" t="inlineStr">
        <is>
          <t>mid</t>
        </is>
      </c>
      <c r="E168" s="12" t="n">
        <v>10.8</v>
      </c>
      <c r="F168" s="12" t="n">
        <v>6.2</v>
      </c>
      <c r="G168" s="12" t="n">
        <v>10.3</v>
      </c>
      <c r="H168" s="11" t="inlineStr">
        <is>
          <t>2025-11-25</t>
        </is>
      </c>
      <c r="I168" s="13" t="n">
        <v>2700</v>
      </c>
      <c r="J168" s="5" t="n">
        <v>275</v>
      </c>
      <c r="K168" s="14" t="n">
        <v>23.8</v>
      </c>
      <c r="L168" s="14" t="n">
        <v>48.3</v>
      </c>
      <c r="M168" s="5">
        <f>K168*J168</f>
        <v/>
      </c>
      <c r="N168" s="8">
        <f>(L168-K168)*J168</f>
        <v/>
      </c>
      <c r="O168" s="8" t="n">
        <v>6265.29</v>
      </c>
      <c r="P168" s="7">
        <f>O168/M168*100</f>
        <v/>
      </c>
      <c r="Q168" s="9" t="n">
        <v>6.292</v>
      </c>
      <c r="R168" s="11" t="inlineStr">
        <is>
          <t>2025_H2</t>
        </is>
      </c>
    </row>
    <row r="169">
      <c r="A169" s="11" t="inlineStr">
        <is>
          <t>2025-10-31</t>
        </is>
      </c>
      <c r="B169" s="11" t="inlineStr">
        <is>
          <t>UNITDSPR</t>
        </is>
      </c>
      <c r="C169" s="11" t="inlineStr">
        <is>
          <t>PE</t>
        </is>
      </c>
      <c r="D169" s="11" t="inlineStr">
        <is>
          <t>large</t>
        </is>
      </c>
      <c r="E169" s="12" t="n">
        <v>36.1</v>
      </c>
      <c r="F169" s="12" t="n">
        <v>11.3</v>
      </c>
      <c r="G169" s="12" t="n">
        <v>7.9</v>
      </c>
      <c r="H169" s="11" t="inlineStr">
        <is>
          <t>2025-11-25</t>
        </is>
      </c>
      <c r="I169" s="13" t="n">
        <v>1380</v>
      </c>
      <c r="J169" s="5" t="n">
        <v>400</v>
      </c>
      <c r="K169" s="14" t="n">
        <v>14.9</v>
      </c>
      <c r="L169" s="14" t="n">
        <v>12.95</v>
      </c>
      <c r="M169" s="5">
        <f>K169*J169</f>
        <v/>
      </c>
      <c r="N169" s="8">
        <f>(L169-K169)*J169</f>
        <v/>
      </c>
      <c r="O169" s="8" t="n">
        <v>-951.24</v>
      </c>
      <c r="P169" s="7">
        <f>O169/M169*100</f>
        <v/>
      </c>
      <c r="Q169" s="9" t="n">
        <v>1.622</v>
      </c>
      <c r="R169" s="11" t="inlineStr">
        <is>
          <t>2025_H2</t>
        </is>
      </c>
    </row>
    <row r="170">
      <c r="A170" s="11" t="inlineStr">
        <is>
          <t>2025-11-03</t>
        </is>
      </c>
      <c r="B170" s="11" t="inlineStr">
        <is>
          <t>BEL</t>
        </is>
      </c>
      <c r="C170" s="11" t="inlineStr">
        <is>
          <t>PE</t>
        </is>
      </c>
      <c r="D170" s="11" t="inlineStr">
        <is>
          <t>large</t>
        </is>
      </c>
      <c r="E170" s="12" t="n">
        <v>17.8</v>
      </c>
      <c r="F170" s="12" t="n">
        <v>32.8</v>
      </c>
      <c r="G170" s="12" t="n">
        <v>25.8</v>
      </c>
      <c r="H170" s="11" t="inlineStr">
        <is>
          <t>2025-11-25</t>
        </is>
      </c>
      <c r="I170" s="13" t="n">
        <v>415</v>
      </c>
      <c r="J170" s="5" t="n">
        <v>1425</v>
      </c>
      <c r="K170" s="14" t="n">
        <v>5.1</v>
      </c>
      <c r="L170" s="14" t="n">
        <v>6.4</v>
      </c>
      <c r="M170" s="5">
        <f>K170*J170</f>
        <v/>
      </c>
      <c r="N170" s="8">
        <f>(L170-K170)*J170</f>
        <v/>
      </c>
      <c r="O170" s="8" t="n">
        <v>1620.64</v>
      </c>
      <c r="P170" s="7">
        <f>O170/M170*100</f>
        <v/>
      </c>
      <c r="Q170" s="9" t="n">
        <v>1.332</v>
      </c>
      <c r="R170" s="11" t="inlineStr">
        <is>
          <t>2025_H2</t>
        </is>
      </c>
    </row>
    <row r="171">
      <c r="A171" s="11" t="inlineStr">
        <is>
          <t>2025-11-03</t>
        </is>
      </c>
      <c r="B171" s="11" t="inlineStr">
        <is>
          <t>GAIL</t>
        </is>
      </c>
      <c r="C171" s="11" t="inlineStr">
        <is>
          <t>CE</t>
        </is>
      </c>
      <c r="D171" s="11" t="inlineStr">
        <is>
          <t>large</t>
        </is>
      </c>
      <c r="E171" s="12" t="n">
        <v>-26.1</v>
      </c>
      <c r="F171" s="12" t="n">
        <v>-16.5</v>
      </c>
      <c r="G171" s="12" t="n">
        <v>4.9</v>
      </c>
      <c r="H171" s="11" t="inlineStr">
        <is>
          <t>2025-11-25</t>
        </is>
      </c>
      <c r="I171" s="13" t="n">
        <v>190</v>
      </c>
      <c r="J171" s="5" t="n">
        <v>3150</v>
      </c>
      <c r="K171" s="14" t="n">
        <v>2.21</v>
      </c>
      <c r="L171" s="14" t="n">
        <v>2.25</v>
      </c>
      <c r="M171" s="5">
        <f>K171*J171</f>
        <v/>
      </c>
      <c r="N171" s="8">
        <f>(L171-K171)*J171</f>
        <v/>
      </c>
      <c r="O171" s="8" t="n">
        <v>-78.44</v>
      </c>
      <c r="P171" s="7">
        <f>O171/M171*100</f>
        <v/>
      </c>
      <c r="Q171" s="9" t="n">
        <v>0.6850000000000001</v>
      </c>
      <c r="R171" s="11" t="inlineStr">
        <is>
          <t>2025_H2</t>
        </is>
      </c>
    </row>
    <row r="172">
      <c r="A172" s="11" t="inlineStr">
        <is>
          <t>2025-11-03</t>
        </is>
      </c>
      <c r="B172" s="11" t="inlineStr">
        <is>
          <t>PATANJALI</t>
        </is>
      </c>
      <c r="C172" s="11" t="inlineStr">
        <is>
          <t>PE</t>
        </is>
      </c>
      <c r="D172" s="11" t="inlineStr">
        <is>
          <t>mid</t>
        </is>
      </c>
      <c r="E172" s="12" t="n">
        <v>67.40000000000001</v>
      </c>
      <c r="F172" s="12" t="n">
        <v>186.5</v>
      </c>
      <c r="G172" s="12" t="n">
        <v>20.2</v>
      </c>
      <c r="H172" s="11" t="inlineStr">
        <is>
          <t>2025-11-25</t>
        </is>
      </c>
      <c r="I172" s="13" t="n">
        <v>580</v>
      </c>
      <c r="J172" s="5" t="n">
        <v>900</v>
      </c>
      <c r="K172" s="14" t="n">
        <v>6.9</v>
      </c>
      <c r="L172" s="14" t="n">
        <v>15.5</v>
      </c>
      <c r="M172" s="5">
        <f>K172*J172</f>
        <v/>
      </c>
      <c r="N172" s="8">
        <f>(L172-K172)*J172</f>
        <v/>
      </c>
      <c r="O172" s="8" t="n">
        <v>7260</v>
      </c>
      <c r="P172" s="7">
        <f>O172/M172*100</f>
        <v/>
      </c>
      <c r="Q172" s="9" t="n">
        <v>4.745</v>
      </c>
      <c r="R172" s="11" t="inlineStr">
        <is>
          <t>2025_H2</t>
        </is>
      </c>
    </row>
    <row r="173">
      <c r="A173" s="11" t="inlineStr">
        <is>
          <t>2025-11-03</t>
        </is>
      </c>
      <c r="B173" s="11" t="inlineStr">
        <is>
          <t>PHOENIXLTD</t>
        </is>
      </c>
      <c r="C173" s="11" t="inlineStr">
        <is>
          <t>PE</t>
        </is>
      </c>
      <c r="D173" s="11" t="inlineStr">
        <is>
          <t>mid</t>
        </is>
      </c>
      <c r="E173" s="12" t="n">
        <v>31.5</v>
      </c>
      <c r="F173" s="12" t="n">
        <v>19.7</v>
      </c>
      <c r="G173" s="12" t="n">
        <v>21.5</v>
      </c>
      <c r="H173" s="11" t="inlineStr">
        <is>
          <t>2025-11-25</t>
        </is>
      </c>
      <c r="I173" s="13" t="n">
        <v>1620</v>
      </c>
      <c r="J173" s="5" t="n">
        <v>350</v>
      </c>
      <c r="K173" s="14" t="n">
        <v>16.9</v>
      </c>
      <c r="L173" s="14" t="n">
        <v>8.699999999999999</v>
      </c>
      <c r="M173" s="5">
        <f>K173*J173</f>
        <v/>
      </c>
      <c r="N173" s="8">
        <f>(L173-K173)*J173</f>
        <v/>
      </c>
      <c r="O173" s="8" t="n">
        <v>-3104.92</v>
      </c>
      <c r="P173" s="7">
        <f>O173/M173*100</f>
        <v/>
      </c>
      <c r="Q173" s="9" t="n">
        <v>-3.038</v>
      </c>
      <c r="R173" s="11" t="inlineStr">
        <is>
          <t>2025_H2</t>
        </is>
      </c>
    </row>
    <row r="174">
      <c r="A174" s="11" t="inlineStr">
        <is>
          <t>2025-11-03</t>
        </is>
      </c>
      <c r="B174" s="11" t="inlineStr">
        <is>
          <t>VEDL</t>
        </is>
      </c>
      <c r="C174" s="11" t="inlineStr">
        <is>
          <t>CE</t>
        </is>
      </c>
      <c r="D174" s="11" t="inlineStr">
        <is>
          <t>large</t>
        </is>
      </c>
      <c r="E174" s="12" t="n">
        <v>-37.9</v>
      </c>
      <c r="F174" s="12" t="n">
        <v>-21.9</v>
      </c>
      <c r="G174" s="12" t="n">
        <v>5.9</v>
      </c>
      <c r="H174" s="11" t="inlineStr">
        <is>
          <t>2025-11-25</t>
        </is>
      </c>
      <c r="I174" s="13" t="n">
        <v>530</v>
      </c>
      <c r="J174" s="5" t="n">
        <v>1150</v>
      </c>
      <c r="K174" s="14" t="n">
        <v>6.5</v>
      </c>
      <c r="L174" s="14" t="n">
        <v>9.35</v>
      </c>
      <c r="M174" s="5">
        <f>K174*J174</f>
        <v/>
      </c>
      <c r="N174" s="8">
        <f>(L174-K174)*J174</f>
        <v/>
      </c>
      <c r="O174" s="8" t="n">
        <v>3024</v>
      </c>
      <c r="P174" s="7">
        <f>O174/M174*100</f>
        <v/>
      </c>
      <c r="Q174" s="9" t="n">
        <v>2.191</v>
      </c>
      <c r="R174" s="11" t="inlineStr">
        <is>
          <t>2025_H2</t>
        </is>
      </c>
    </row>
    <row r="175">
      <c r="A175" s="11" t="inlineStr">
        <is>
          <t>2025-11-04</t>
        </is>
      </c>
      <c r="B175" s="11" t="inlineStr">
        <is>
          <t>AMBUJACEM</t>
        </is>
      </c>
      <c r="C175" s="11" t="inlineStr">
        <is>
          <t>PE</t>
        </is>
      </c>
      <c r="D175" s="11" t="inlineStr">
        <is>
          <t>large</t>
        </is>
      </c>
      <c r="E175" s="12" t="n">
        <v>386.9</v>
      </c>
      <c r="F175" s="12" t="n">
        <v>137.4</v>
      </c>
      <c r="G175" s="12" t="n">
        <v>22.1</v>
      </c>
      <c r="H175" s="11" t="inlineStr">
        <is>
          <t>2025-11-25</t>
        </is>
      </c>
      <c r="I175" s="13" t="n">
        <v>565</v>
      </c>
      <c r="J175" s="5" t="n">
        <v>1050</v>
      </c>
      <c r="K175" s="14" t="n">
        <v>6.4</v>
      </c>
      <c r="L175" s="14" t="n">
        <v>10.9</v>
      </c>
      <c r="M175" s="5">
        <f>K175*J175</f>
        <v/>
      </c>
      <c r="N175" s="8">
        <f>(L175-K175)*J175</f>
        <v/>
      </c>
      <c r="O175" s="8" t="n">
        <v>4471.14</v>
      </c>
      <c r="P175" s="7">
        <f>O175/M175*100</f>
        <v/>
      </c>
      <c r="Q175" s="9" t="n">
        <v>2.642</v>
      </c>
      <c r="R175" s="11" t="inlineStr">
        <is>
          <t>2025_H2</t>
        </is>
      </c>
    </row>
    <row r="176">
      <c r="A176" s="11" t="inlineStr">
        <is>
          <t>2025-11-04</t>
        </is>
      </c>
      <c r="B176" s="11" t="inlineStr">
        <is>
          <t>BHARTIARTL</t>
        </is>
      </c>
      <c r="C176" s="11" t="inlineStr">
        <is>
          <t>PE</t>
        </is>
      </c>
      <c r="D176" s="11" t="inlineStr">
        <is>
          <t>large</t>
        </is>
      </c>
      <c r="E176" s="12" t="n">
        <v>108.3</v>
      </c>
      <c r="F176" s="12" t="n">
        <v>16.6</v>
      </c>
      <c r="G176" s="12" t="n">
        <v>25.7</v>
      </c>
      <c r="H176" s="11" t="inlineStr">
        <is>
          <t>2025-11-25</t>
        </is>
      </c>
      <c r="I176" s="13" t="n">
        <v>2040</v>
      </c>
      <c r="J176" s="5" t="n">
        <v>475</v>
      </c>
      <c r="K176" s="14" t="n">
        <v>13.3</v>
      </c>
      <c r="L176" s="14" t="n">
        <v>9.699999999999999</v>
      </c>
      <c r="M176" s="5">
        <f>K176*J176</f>
        <v/>
      </c>
      <c r="N176" s="8">
        <f>(L176-K176)*J176</f>
        <v/>
      </c>
      <c r="O176" s="8" t="n">
        <v>-1878.15</v>
      </c>
      <c r="P176" s="7">
        <f>O176/M176*100</f>
        <v/>
      </c>
      <c r="Q176" s="9" t="n">
        <v>-0.299</v>
      </c>
      <c r="R176" s="11" t="inlineStr">
        <is>
          <t>2025_H2</t>
        </is>
      </c>
    </row>
    <row r="177">
      <c r="A177" s="11" t="inlineStr">
        <is>
          <t>2025-11-04</t>
        </is>
      </c>
      <c r="B177" s="11" t="inlineStr">
        <is>
          <t>POWERINDIA</t>
        </is>
      </c>
      <c r="C177" s="11" t="inlineStr">
        <is>
          <t>PE</t>
        </is>
      </c>
      <c r="D177" s="11" t="inlineStr">
        <is>
          <t>mid</t>
        </is>
      </c>
      <c r="E177" s="12" t="n">
        <v>405.6</v>
      </c>
      <c r="F177" s="12" t="n">
        <v>100.9</v>
      </c>
      <c r="G177" s="12" t="n">
        <v>17.9</v>
      </c>
      <c r="H177" s="11" t="inlineStr">
        <is>
          <t>2025-11-25</t>
        </is>
      </c>
      <c r="I177" s="13" t="n">
        <v>17250</v>
      </c>
      <c r="J177" s="5" t="n">
        <v>50</v>
      </c>
      <c r="K177" s="14" t="n">
        <v>86.34999999999999</v>
      </c>
      <c r="L177" s="14" t="n">
        <v>54.55</v>
      </c>
      <c r="M177" s="5">
        <f>K177*J177</f>
        <v/>
      </c>
      <c r="N177" s="8">
        <f>(L177-K177)*J177</f>
        <v/>
      </c>
      <c r="O177" s="8" t="n">
        <v>-1785.27</v>
      </c>
      <c r="P177" s="7">
        <f>O177/M177*100</f>
        <v/>
      </c>
      <c r="Q177" s="9" t="n">
        <v>-6.491</v>
      </c>
      <c r="R177" s="11" t="inlineStr">
        <is>
          <t>2025_H2</t>
        </is>
      </c>
    </row>
    <row r="178">
      <c r="A178" s="11" t="inlineStr">
        <is>
          <t>2025-11-04</t>
        </is>
      </c>
      <c r="B178" s="11" t="inlineStr">
        <is>
          <t>TATACONSUM</t>
        </is>
      </c>
      <c r="C178" s="11" t="inlineStr">
        <is>
          <t>PE</t>
        </is>
      </c>
      <c r="D178" s="11" t="inlineStr">
        <is>
          <t>large</t>
        </is>
      </c>
      <c r="E178" s="12" t="n">
        <v>10.7</v>
      </c>
      <c r="F178" s="12" t="n">
        <v>22.5</v>
      </c>
      <c r="G178" s="12" t="n">
        <v>17.8</v>
      </c>
      <c r="H178" s="11" t="inlineStr">
        <is>
          <t>2025-11-25</t>
        </is>
      </c>
      <c r="I178" s="13" t="n">
        <v>1160</v>
      </c>
      <c r="J178" s="5" t="n">
        <v>550</v>
      </c>
      <c r="K178" s="14" t="n">
        <v>13.4</v>
      </c>
      <c r="L178" s="14" t="n">
        <v>15.45</v>
      </c>
      <c r="M178" s="5">
        <f>K178*J178</f>
        <v/>
      </c>
      <c r="N178" s="8">
        <f>(L178-K178)*J178</f>
        <v/>
      </c>
      <c r="O178" s="8" t="n">
        <v>901.98</v>
      </c>
      <c r="P178" s="7">
        <f>O178/M178*100</f>
        <v/>
      </c>
      <c r="Q178" s="9" t="n">
        <v>1.709</v>
      </c>
      <c r="R178" s="11" t="inlineStr">
        <is>
          <t>2025_H2</t>
        </is>
      </c>
    </row>
    <row r="179">
      <c r="A179" s="11" t="inlineStr">
        <is>
          <t>2025-11-04</t>
        </is>
      </c>
      <c r="B179" s="11" t="inlineStr">
        <is>
          <t>TITAN</t>
        </is>
      </c>
      <c r="C179" s="11" t="inlineStr">
        <is>
          <t>PE</t>
        </is>
      </c>
      <c r="D179" s="11" t="inlineStr">
        <is>
          <t>large</t>
        </is>
      </c>
      <c r="E179" s="12" t="n">
        <v>59.1</v>
      </c>
      <c r="F179" s="12" t="n">
        <v>2.7</v>
      </c>
      <c r="G179" s="12" t="n">
        <v>28.8</v>
      </c>
      <c r="H179" s="11" t="inlineStr">
        <is>
          <t>2025-11-25</t>
        </is>
      </c>
      <c r="I179" s="13" t="n">
        <v>3680</v>
      </c>
      <c r="J179" s="5" t="n">
        <v>175</v>
      </c>
      <c r="K179" s="14" t="n">
        <v>43.3</v>
      </c>
      <c r="L179" s="14" t="n">
        <v>23.55</v>
      </c>
      <c r="M179" s="5">
        <f>K179*J179</f>
        <v/>
      </c>
      <c r="N179" s="8">
        <f>(L179-K179)*J179</f>
        <v/>
      </c>
      <c r="O179" s="8" t="n">
        <v>-3631.76</v>
      </c>
      <c r="P179" s="7">
        <f>O179/M179*100</f>
        <v/>
      </c>
      <c r="Q179" s="9" t="n">
        <v>-2.39</v>
      </c>
      <c r="R179" s="11" t="inlineStr">
        <is>
          <t>2025_H2</t>
        </is>
      </c>
    </row>
    <row r="180">
      <c r="A180" s="11" t="inlineStr">
        <is>
          <t>2025-11-06</t>
        </is>
      </c>
      <c r="B180" s="11" t="inlineStr">
        <is>
          <t>ASTRAL</t>
        </is>
      </c>
      <c r="C180" s="11" t="inlineStr">
        <is>
          <t>PE</t>
        </is>
      </c>
      <c r="D180" s="11" t="inlineStr">
        <is>
          <t>mid</t>
        </is>
      </c>
      <c r="E180" s="12" t="n">
        <v>24</v>
      </c>
      <c r="F180" s="12" t="n">
        <v>70.2</v>
      </c>
      <c r="G180" s="12" t="n">
        <v>15.1</v>
      </c>
      <c r="H180" s="11" t="inlineStr">
        <is>
          <t>2025-11-25</t>
        </is>
      </c>
      <c r="I180" s="13" t="n">
        <v>1440</v>
      </c>
      <c r="J180" s="5" t="n">
        <v>425</v>
      </c>
      <c r="K180" s="14" t="n">
        <v>16.75</v>
      </c>
      <c r="L180" s="14" t="n">
        <v>3.95</v>
      </c>
      <c r="M180" s="5">
        <f>K180*J180</f>
        <v/>
      </c>
      <c r="N180" s="8">
        <f>(L180-K180)*J180</f>
        <v/>
      </c>
      <c r="O180" s="8" t="n">
        <v>-5669.59</v>
      </c>
      <c r="P180" s="7">
        <f>O180/M180*100</f>
        <v/>
      </c>
      <c r="Q180" s="9" t="n">
        <v>-5.639</v>
      </c>
      <c r="R180" s="11" t="inlineStr">
        <is>
          <t>2025_H2</t>
        </is>
      </c>
    </row>
    <row r="181">
      <c r="A181" s="11" t="inlineStr">
        <is>
          <t>2025-11-06</t>
        </is>
      </c>
      <c r="B181" s="11" t="inlineStr">
        <is>
          <t>BRITANNIA</t>
        </is>
      </c>
      <c r="C181" s="11" t="inlineStr">
        <is>
          <t>PE</t>
        </is>
      </c>
      <c r="D181" s="11" t="inlineStr">
        <is>
          <t>large</t>
        </is>
      </c>
      <c r="E181" s="12" t="n">
        <v>23.2</v>
      </c>
      <c r="F181" s="12" t="n">
        <v>25.9</v>
      </c>
      <c r="G181" s="12" t="n">
        <v>3.7</v>
      </c>
      <c r="H181" s="11" t="inlineStr">
        <is>
          <t>2025-11-25</t>
        </is>
      </c>
      <c r="I181" s="13" t="n">
        <v>5900</v>
      </c>
      <c r="J181" s="5" t="n">
        <v>125</v>
      </c>
      <c r="K181" s="14" t="n">
        <v>45.05</v>
      </c>
      <c r="L181" s="14" t="n">
        <v>51.85</v>
      </c>
      <c r="M181" s="5">
        <f>K181*J181</f>
        <v/>
      </c>
      <c r="N181" s="8">
        <f>(L181-K181)*J181</f>
        <v/>
      </c>
      <c r="O181" s="8" t="n">
        <v>666.6900000000001</v>
      </c>
      <c r="P181" s="7">
        <f>O181/M181*100</f>
        <v/>
      </c>
      <c r="Q181" s="9" t="n">
        <v>2.789</v>
      </c>
      <c r="R181" s="11" t="inlineStr">
        <is>
          <t>2025_H2</t>
        </is>
      </c>
    </row>
    <row r="182">
      <c r="A182" s="11" t="inlineStr">
        <is>
          <t>2025-11-06</t>
        </is>
      </c>
      <c r="B182" s="11" t="inlineStr">
        <is>
          <t>INDHOTEL</t>
        </is>
      </c>
      <c r="C182" s="11" t="inlineStr">
        <is>
          <t>CE</t>
        </is>
      </c>
      <c r="D182" s="11" t="inlineStr">
        <is>
          <t>large</t>
        </is>
      </c>
      <c r="E182" s="12" t="n">
        <v>-45.4</v>
      </c>
      <c r="F182" s="12" t="n">
        <v>-3.4</v>
      </c>
      <c r="G182" s="12" t="n">
        <v>11.8</v>
      </c>
      <c r="H182" s="11" t="inlineStr">
        <is>
          <t>2025-11-25</t>
        </is>
      </c>
      <c r="I182" s="13" t="n">
        <v>760</v>
      </c>
      <c r="J182" s="5" t="n">
        <v>1000</v>
      </c>
      <c r="K182" s="14" t="n">
        <v>5.4</v>
      </c>
      <c r="L182" s="14" t="n">
        <v>1.55</v>
      </c>
      <c r="M182" s="5">
        <f>K182*J182</f>
        <v/>
      </c>
      <c r="N182" s="8">
        <f>(L182-K182)*J182</f>
        <v/>
      </c>
      <c r="O182" s="8" t="n">
        <v>-3972.12</v>
      </c>
      <c r="P182" s="7">
        <f>O182/M182*100</f>
        <v/>
      </c>
      <c r="Q182" s="9" t="n">
        <v>-2.517</v>
      </c>
      <c r="R182" s="11" t="inlineStr">
        <is>
          <t>2025_H2</t>
        </is>
      </c>
    </row>
    <row r="183">
      <c r="A183" s="11" t="inlineStr">
        <is>
          <t>2025-11-06</t>
        </is>
      </c>
      <c r="B183" s="11" t="inlineStr">
        <is>
          <t>KAYNES</t>
        </is>
      </c>
      <c r="C183" s="11" t="inlineStr">
        <is>
          <t>PE</t>
        </is>
      </c>
      <c r="D183" s="11" t="inlineStr">
        <is>
          <t>mid</t>
        </is>
      </c>
      <c r="E183" s="12" t="n">
        <v>101.6</v>
      </c>
      <c r="F183" s="12" t="n">
        <v>62.7</v>
      </c>
      <c r="G183" s="12" t="n">
        <v>58.4</v>
      </c>
      <c r="H183" s="11" t="inlineStr">
        <is>
          <t>2025-11-25</t>
        </is>
      </c>
      <c r="I183" s="13" t="n">
        <v>6200</v>
      </c>
      <c r="J183" s="5" t="n">
        <v>100</v>
      </c>
      <c r="K183" s="14" t="n">
        <v>50.05</v>
      </c>
      <c r="L183" s="14" t="n">
        <v>157.75</v>
      </c>
      <c r="M183" s="5">
        <f>K183*J183</f>
        <v/>
      </c>
      <c r="N183" s="8">
        <f>(L183-K183)*J183</f>
        <v/>
      </c>
      <c r="O183" s="8" t="n">
        <v>10274.65</v>
      </c>
      <c r="P183" s="7">
        <f>O183/M183*100</f>
        <v/>
      </c>
      <c r="Q183" s="9" t="n">
        <v>7.714</v>
      </c>
      <c r="R183" s="11" t="inlineStr">
        <is>
          <t>2025_H2</t>
        </is>
      </c>
    </row>
    <row r="184">
      <c r="A184" s="11" t="inlineStr">
        <is>
          <t>2025-11-06</t>
        </is>
      </c>
      <c r="B184" s="11" t="inlineStr">
        <is>
          <t>PAYTM</t>
        </is>
      </c>
      <c r="C184" s="11" t="inlineStr">
        <is>
          <t>CE</t>
        </is>
      </c>
      <c r="D184" s="11" t="inlineStr">
        <is>
          <t>mid</t>
        </is>
      </c>
      <c r="E184" s="12" t="n">
        <v>-97.7</v>
      </c>
      <c r="F184" s="12" t="n">
        <v>-82.90000000000001</v>
      </c>
      <c r="G184" s="12" t="n">
        <v>24.2</v>
      </c>
      <c r="H184" s="11" t="inlineStr">
        <is>
          <t>2025-11-25</t>
        </is>
      </c>
      <c r="I184" s="13" t="n">
        <v>1440</v>
      </c>
      <c r="J184" s="5" t="n">
        <v>725</v>
      </c>
      <c r="K184" s="14" t="n">
        <v>9.85</v>
      </c>
      <c r="L184" s="14" t="n">
        <v>7.3</v>
      </c>
      <c r="M184" s="5">
        <f>K184*J184</f>
        <v/>
      </c>
      <c r="N184" s="8">
        <f>(L184-K184)*J184</f>
        <v/>
      </c>
      <c r="O184" s="8" t="n">
        <v>-2158.01</v>
      </c>
      <c r="P184" s="7">
        <f>O184/M184*100</f>
        <v/>
      </c>
      <c r="Q184" s="9" t="n">
        <v>0.8090000000000001</v>
      </c>
      <c r="R184" s="11" t="inlineStr">
        <is>
          <t>2025_H2</t>
        </is>
      </c>
    </row>
    <row r="185">
      <c r="A185" s="11" t="inlineStr">
        <is>
          <t>2025-11-07</t>
        </is>
      </c>
      <c r="B185" s="11" t="inlineStr">
        <is>
          <t>AMBER</t>
        </is>
      </c>
      <c r="C185" s="11" t="inlineStr">
        <is>
          <t>CE</t>
        </is>
      </c>
      <c r="D185" s="11" t="inlineStr">
        <is>
          <t>small</t>
        </is>
      </c>
      <c r="E185" s="12" t="n">
        <v>-253.3</v>
      </c>
      <c r="F185" s="12" t="n">
        <v>-130.3</v>
      </c>
      <c r="G185" s="12" t="n">
        <v>-2.2</v>
      </c>
      <c r="H185" s="11" t="inlineStr">
        <is>
          <t>2025-11-25</t>
        </is>
      </c>
      <c r="I185" s="13" t="n">
        <v>7800</v>
      </c>
      <c r="J185" s="5" t="n">
        <v>100</v>
      </c>
      <c r="K185" s="14" t="n">
        <v>35.1</v>
      </c>
      <c r="L185" s="14" t="n">
        <v>24.7</v>
      </c>
      <c r="M185" s="5">
        <f>K185*J185</f>
        <v/>
      </c>
      <c r="N185" s="8">
        <f>(L185-K185)*J185</f>
        <v/>
      </c>
      <c r="O185" s="8" t="n">
        <v>-1272.94</v>
      </c>
      <c r="P185" s="7">
        <f>O185/M185*100</f>
        <v/>
      </c>
      <c r="Q185" s="9" t="n">
        <v>1.796</v>
      </c>
      <c r="R185" s="11" t="inlineStr">
        <is>
          <t>2025_H2</t>
        </is>
      </c>
    </row>
    <row r="186">
      <c r="A186" s="11" t="inlineStr">
        <is>
          <t>2025-11-07</t>
        </is>
      </c>
      <c r="B186" s="11" t="inlineStr">
        <is>
          <t>APOLLOHOSP</t>
        </is>
      </c>
      <c r="C186" s="11" t="inlineStr">
        <is>
          <t>PE</t>
        </is>
      </c>
      <c r="D186" s="11" t="inlineStr">
        <is>
          <t>large</t>
        </is>
      </c>
      <c r="E186" s="12" t="n">
        <v>24.8</v>
      </c>
      <c r="F186" s="12" t="n">
        <v>12</v>
      </c>
      <c r="G186" s="12" t="n">
        <v>12.8</v>
      </c>
      <c r="H186" s="11" t="inlineStr">
        <is>
          <t>2025-11-25</t>
        </is>
      </c>
      <c r="I186" s="13" t="n">
        <v>7600</v>
      </c>
      <c r="J186" s="5" t="n">
        <v>125</v>
      </c>
      <c r="K186" s="14" t="n">
        <v>51.1</v>
      </c>
      <c r="L186" s="14" t="n">
        <v>94.40000000000001</v>
      </c>
      <c r="M186" s="5">
        <f>K186*J186</f>
        <v/>
      </c>
      <c r="N186" s="8">
        <f>(L186-K186)*J186</f>
        <v/>
      </c>
      <c r="O186" s="8" t="n">
        <v>5157.89</v>
      </c>
      <c r="P186" s="7">
        <f>O186/M186*100</f>
        <v/>
      </c>
      <c r="Q186" s="9" t="n">
        <v>1.887</v>
      </c>
      <c r="R186" s="11" t="inlineStr">
        <is>
          <t>2025_H2</t>
        </is>
      </c>
    </row>
    <row r="187">
      <c r="A187" s="11" t="inlineStr">
        <is>
          <t>2025-11-07</t>
        </is>
      </c>
      <c r="B187" s="11" t="inlineStr">
        <is>
          <t>CUMMINSIND</t>
        </is>
      </c>
      <c r="C187" s="11" t="inlineStr">
        <is>
          <t>PE</t>
        </is>
      </c>
      <c r="D187" s="11" t="inlineStr">
        <is>
          <t>mid</t>
        </is>
      </c>
      <c r="E187" s="12" t="n">
        <v>38.5</v>
      </c>
      <c r="F187" s="12" t="n">
        <v>3.1</v>
      </c>
      <c r="G187" s="12" t="n">
        <v>26.4</v>
      </c>
      <c r="H187" s="11" t="inlineStr">
        <is>
          <t>2025-11-25</t>
        </is>
      </c>
      <c r="I187" s="13" t="n">
        <v>4150</v>
      </c>
      <c r="J187" s="5" t="n">
        <v>200</v>
      </c>
      <c r="K187" s="14" t="n">
        <v>25.05</v>
      </c>
      <c r="L187" s="14" t="n">
        <v>40.5</v>
      </c>
      <c r="M187" s="5">
        <f>K187*J187</f>
        <v/>
      </c>
      <c r="N187" s="8">
        <f>(L187-K187)*J187</f>
        <v/>
      </c>
      <c r="O187" s="8" t="n">
        <v>2762.78</v>
      </c>
      <c r="P187" s="7">
        <f>O187/M187*100</f>
        <v/>
      </c>
      <c r="Q187" s="9" t="n">
        <v>2.457</v>
      </c>
      <c r="R187" s="11" t="inlineStr">
        <is>
          <t>2025_H2</t>
        </is>
      </c>
    </row>
    <row r="188">
      <c r="A188" s="11" t="inlineStr">
        <is>
          <t>2025-11-07</t>
        </is>
      </c>
      <c r="B188" s="11" t="inlineStr">
        <is>
          <t>LUPIN</t>
        </is>
      </c>
      <c r="C188" s="11" t="inlineStr">
        <is>
          <t>PE</t>
        </is>
      </c>
      <c r="D188" s="11" t="inlineStr">
        <is>
          <t>large</t>
        </is>
      </c>
      <c r="E188" s="12" t="n">
        <v>72.8</v>
      </c>
      <c r="F188" s="12" t="n">
        <v>21.6</v>
      </c>
      <c r="G188" s="12" t="n">
        <v>24.2</v>
      </c>
      <c r="H188" s="11" t="inlineStr">
        <is>
          <t>2025-11-25</t>
        </is>
      </c>
      <c r="I188" s="13" t="n">
        <v>1900</v>
      </c>
      <c r="J188" s="5" t="n">
        <v>425</v>
      </c>
      <c r="K188" s="14" t="n">
        <v>15.2</v>
      </c>
      <c r="L188" s="14" t="n">
        <v>16.1</v>
      </c>
      <c r="M188" s="5">
        <f>K188*J188</f>
        <v/>
      </c>
      <c r="N188" s="8">
        <f>(L188-K188)*J188</f>
        <v/>
      </c>
      <c r="O188" s="8" t="n">
        <v>186.23</v>
      </c>
      <c r="P188" s="7">
        <f>O188/M188*100</f>
        <v/>
      </c>
      <c r="Q188" s="9" t="n">
        <v>0.615</v>
      </c>
      <c r="R188" s="11" t="inlineStr">
        <is>
          <t>2025_H2</t>
        </is>
      </c>
    </row>
    <row r="189">
      <c r="A189" s="11" t="inlineStr">
        <is>
          <t>2025-11-10</t>
        </is>
      </c>
      <c r="B189" s="11" t="inlineStr">
        <is>
          <t>DIVISLAB</t>
        </is>
      </c>
      <c r="C189" s="11" t="inlineStr">
        <is>
          <t>PE</t>
        </is>
      </c>
      <c r="D189" s="11" t="inlineStr">
        <is>
          <t>large</t>
        </is>
      </c>
      <c r="E189" s="12" t="n">
        <v>35.1</v>
      </c>
      <c r="F189" s="12" t="n">
        <v>26.4</v>
      </c>
      <c r="G189" s="12" t="n">
        <v>16.1</v>
      </c>
      <c r="H189" s="11" t="inlineStr">
        <is>
          <t>2025-11-25</t>
        </is>
      </c>
      <c r="I189" s="13" t="n">
        <v>6500</v>
      </c>
      <c r="J189" s="5" t="n">
        <v>100</v>
      </c>
      <c r="K189" s="14" t="n">
        <v>72.05</v>
      </c>
      <c r="L189" s="14" t="n">
        <v>49.75</v>
      </c>
      <c r="M189" s="5">
        <f>K189*J189</f>
        <v/>
      </c>
      <c r="N189" s="8">
        <f>(L189-K189)*J189</f>
        <v/>
      </c>
      <c r="O189" s="8" t="n">
        <v>-2411.8</v>
      </c>
      <c r="P189" s="7">
        <f>O189/M189*100</f>
        <v/>
      </c>
      <c r="Q189" s="9" t="n">
        <v>0.127</v>
      </c>
      <c r="R189" s="11" t="inlineStr">
        <is>
          <t>2025_H2</t>
        </is>
      </c>
    </row>
    <row r="190">
      <c r="A190" s="11" t="inlineStr">
        <is>
          <t>2025-11-10</t>
        </is>
      </c>
      <c r="B190" s="11" t="inlineStr">
        <is>
          <t>HINDALCO</t>
        </is>
      </c>
      <c r="C190" s="11" t="inlineStr">
        <is>
          <t>PE</t>
        </is>
      </c>
      <c r="D190" s="11" t="inlineStr">
        <is>
          <t>large</t>
        </is>
      </c>
      <c r="E190" s="12" t="n">
        <v>21.3</v>
      </c>
      <c r="F190" s="12" t="n">
        <v>18.4</v>
      </c>
      <c r="G190" s="12" t="n">
        <v>13.5</v>
      </c>
      <c r="H190" s="11" t="inlineStr">
        <is>
          <t>2025-11-25</t>
        </is>
      </c>
      <c r="I190" s="13" t="n">
        <v>780</v>
      </c>
      <c r="J190" s="5" t="n">
        <v>700</v>
      </c>
      <c r="K190" s="14" t="n">
        <v>9.15</v>
      </c>
      <c r="L190" s="14" t="n">
        <v>12.55</v>
      </c>
      <c r="M190" s="5">
        <f>K190*J190</f>
        <v/>
      </c>
      <c r="N190" s="8">
        <f>(L190-K190)*J190</f>
        <v/>
      </c>
      <c r="O190" s="8" t="n">
        <v>2161.14</v>
      </c>
      <c r="P190" s="7">
        <f>O190/M190*100</f>
        <v/>
      </c>
      <c r="Q190" s="9" t="n">
        <v>0.859</v>
      </c>
      <c r="R190" s="11" t="inlineStr">
        <is>
          <t>2025_H2</t>
        </is>
      </c>
    </row>
    <row r="191">
      <c r="A191" s="11" t="inlineStr">
        <is>
          <t>2025-11-10</t>
        </is>
      </c>
      <c r="B191" s="11" t="inlineStr">
        <is>
          <t>NATIONALUM</t>
        </is>
      </c>
      <c r="C191" s="11" t="inlineStr">
        <is>
          <t>PE</t>
        </is>
      </c>
      <c r="D191" s="11" t="inlineStr">
        <is>
          <t>mid</t>
        </is>
      </c>
      <c r="E191" s="12" t="n">
        <v>36.7</v>
      </c>
      <c r="F191" s="12" t="n">
        <v>36.3</v>
      </c>
      <c r="G191" s="12" t="n">
        <v>7.3</v>
      </c>
      <c r="H191" s="11" t="inlineStr">
        <is>
          <t>2025-11-25</t>
        </is>
      </c>
      <c r="I191" s="13" t="n">
        <v>235</v>
      </c>
      <c r="J191" s="5" t="n">
        <v>3750</v>
      </c>
      <c r="K191" s="14" t="n">
        <v>2.11</v>
      </c>
      <c r="L191" s="14" t="n">
        <v>1.11</v>
      </c>
      <c r="M191" s="5">
        <f>K191*J191</f>
        <v/>
      </c>
      <c r="N191" s="8">
        <f>(L191-K191)*J191</f>
        <v/>
      </c>
      <c r="O191" s="8" t="n">
        <v>-4050.26</v>
      </c>
      <c r="P191" s="7">
        <f>O191/M191*100</f>
        <v/>
      </c>
      <c r="Q191" s="9" t="n">
        <v>-6.722</v>
      </c>
      <c r="R191" s="11" t="inlineStr">
        <is>
          <t>2025_H2</t>
        </is>
      </c>
    </row>
    <row r="192">
      <c r="A192" s="11" t="inlineStr">
        <is>
          <t>2025-11-10</t>
        </is>
      </c>
      <c r="B192" s="11" t="inlineStr">
        <is>
          <t>UNOMINDA</t>
        </is>
      </c>
      <c r="C192" s="11" t="inlineStr">
        <is>
          <t>PE</t>
        </is>
      </c>
      <c r="D192" s="11" t="inlineStr">
        <is>
          <t>mid</t>
        </is>
      </c>
      <c r="E192" s="12" t="n">
        <v>21.3</v>
      </c>
      <c r="F192" s="12" t="n">
        <v>4.5</v>
      </c>
      <c r="G192" s="12" t="n">
        <v>13.4</v>
      </c>
      <c r="H192" s="11" t="inlineStr">
        <is>
          <t>2025-11-25</t>
        </is>
      </c>
      <c r="I192" s="13" t="n">
        <v>1200</v>
      </c>
      <c r="J192" s="5" t="n">
        <v>550</v>
      </c>
      <c r="K192" s="14" t="n">
        <v>13.3</v>
      </c>
      <c r="L192" s="14" t="n">
        <v>3.2</v>
      </c>
      <c r="M192" s="5">
        <f>K192*J192</f>
        <v/>
      </c>
      <c r="N192" s="8">
        <f>(L192-K192)*J192</f>
        <v/>
      </c>
      <c r="O192" s="8" t="n">
        <v>-5790.38</v>
      </c>
      <c r="P192" s="7">
        <f>O192/M192*100</f>
        <v/>
      </c>
      <c r="Q192" s="9" t="n">
        <v>-7.286</v>
      </c>
      <c r="R192" s="11" t="inlineStr">
        <is>
          <t>2025_H2</t>
        </is>
      </c>
    </row>
    <row r="193">
      <c r="A193" s="11" t="inlineStr">
        <is>
          <t>2025-11-11</t>
        </is>
      </c>
      <c r="B193" s="11" t="inlineStr">
        <is>
          <t>BAJFINANCE</t>
        </is>
      </c>
      <c r="C193" s="11" t="inlineStr">
        <is>
          <t>PE</t>
        </is>
      </c>
      <c r="D193" s="11" t="inlineStr">
        <is>
          <t>large</t>
        </is>
      </c>
      <c r="E193" s="12" t="n">
        <v>23.3</v>
      </c>
      <c r="F193" s="12" t="n">
        <v>3.8</v>
      </c>
      <c r="G193" s="12" t="n">
        <v>18.1</v>
      </c>
      <c r="H193" s="11" t="inlineStr">
        <is>
          <t>2025-11-25</t>
        </is>
      </c>
      <c r="I193" s="13" t="n">
        <v>1000</v>
      </c>
      <c r="J193" s="5" t="n">
        <v>750</v>
      </c>
      <c r="K193" s="14" t="n">
        <v>7.55</v>
      </c>
      <c r="L193" s="14" t="n">
        <v>15.2</v>
      </c>
      <c r="M193" s="5">
        <f>K193*J193</f>
        <v/>
      </c>
      <c r="N193" s="8">
        <f>(L193-K193)*J193</f>
        <v/>
      </c>
      <c r="O193" s="8" t="n">
        <v>5495.23</v>
      </c>
      <c r="P193" s="7">
        <f>O193/M193*100</f>
        <v/>
      </c>
      <c r="Q193" s="9" t="n">
        <v>3.689</v>
      </c>
      <c r="R193" s="11" t="inlineStr">
        <is>
          <t>2025_H2</t>
        </is>
      </c>
    </row>
    <row r="194">
      <c r="A194" s="11" t="inlineStr">
        <is>
          <t>2025-11-11</t>
        </is>
      </c>
      <c r="B194" s="11" t="inlineStr">
        <is>
          <t>KPITTECH</t>
        </is>
      </c>
      <c r="C194" s="11" t="inlineStr">
        <is>
          <t>CE</t>
        </is>
      </c>
      <c r="D194" s="11" t="inlineStr">
        <is>
          <t>mid</t>
        </is>
      </c>
      <c r="E194" s="12" t="n">
        <v>-17</v>
      </c>
      <c r="F194" s="12" t="n">
        <v>-1.6</v>
      </c>
      <c r="G194" s="12" t="n">
        <v>7.9</v>
      </c>
      <c r="H194" s="11" t="inlineStr">
        <is>
          <t>2025-11-25</t>
        </is>
      </c>
      <c r="I194" s="13" t="n">
        <v>1220</v>
      </c>
      <c r="J194" s="5" t="n">
        <v>400</v>
      </c>
      <c r="K194" s="14" t="n">
        <v>18.1</v>
      </c>
      <c r="L194" s="14" t="n">
        <v>24.55</v>
      </c>
      <c r="M194" s="5">
        <f>K194*J194</f>
        <v/>
      </c>
      <c r="N194" s="8">
        <f>(L194-K194)*J194</f>
        <v/>
      </c>
      <c r="O194" s="8" t="n">
        <v>2169.48</v>
      </c>
      <c r="P194" s="7">
        <f>O194/M194*100</f>
        <v/>
      </c>
      <c r="Q194" s="9" t="n">
        <v>2.398</v>
      </c>
      <c r="R194" s="11" t="inlineStr">
        <is>
          <t>2025_H2</t>
        </is>
      </c>
    </row>
    <row r="195">
      <c r="A195" s="11" t="inlineStr">
        <is>
          <t>2025-11-11</t>
        </is>
      </c>
      <c r="B195" s="11" t="inlineStr">
        <is>
          <t>SOLARINDS</t>
        </is>
      </c>
      <c r="C195" s="11" t="inlineStr">
        <is>
          <t>PE</t>
        </is>
      </c>
      <c r="D195" s="11" t="inlineStr">
        <is>
          <t>large</t>
        </is>
      </c>
      <c r="E195" s="12" t="n">
        <v>19.1</v>
      </c>
      <c r="F195" s="12" t="n">
        <v>2.6</v>
      </c>
      <c r="G195" s="12" t="n">
        <v>21.4</v>
      </c>
      <c r="H195" s="11" t="inlineStr">
        <is>
          <t>2025-11-25</t>
        </is>
      </c>
      <c r="I195" s="13" t="n">
        <v>12500</v>
      </c>
      <c r="J195" s="5" t="n">
        <v>75</v>
      </c>
      <c r="K195" s="14" t="n">
        <v>83.2</v>
      </c>
      <c r="L195" s="14" t="n">
        <v>24.65</v>
      </c>
      <c r="M195" s="5">
        <f>K195*J195</f>
        <v/>
      </c>
      <c r="N195" s="8">
        <f>(L195-K195)*J195</f>
        <v/>
      </c>
      <c r="O195" s="8" t="n">
        <v>-4525.71</v>
      </c>
      <c r="P195" s="7">
        <f>O195/M195*100</f>
        <v/>
      </c>
      <c r="Q195" s="9" t="n">
        <v>-2.285</v>
      </c>
      <c r="R195" s="11" t="inlineStr">
        <is>
          <t>2025_H2</t>
        </is>
      </c>
    </row>
    <row r="196">
      <c r="A196" s="11" t="inlineStr">
        <is>
          <t>2025-11-12</t>
        </is>
      </c>
      <c r="B196" s="11" t="inlineStr">
        <is>
          <t>BHARATFORG</t>
        </is>
      </c>
      <c r="C196" s="11" t="inlineStr">
        <is>
          <t>PE</t>
        </is>
      </c>
      <c r="D196" s="11" t="inlineStr">
        <is>
          <t>mid</t>
        </is>
      </c>
      <c r="E196" s="12" t="n">
        <v>23</v>
      </c>
      <c r="F196" s="12" t="n">
        <v>5.4</v>
      </c>
      <c r="G196" s="12" t="n">
        <v>9.300000000000001</v>
      </c>
      <c r="H196" s="11" t="inlineStr">
        <is>
          <t>2025-11-25</t>
        </is>
      </c>
      <c r="I196" s="13" t="n">
        <v>1360</v>
      </c>
      <c r="J196" s="5" t="n">
        <v>500</v>
      </c>
      <c r="K196" s="14" t="n">
        <v>15.7</v>
      </c>
      <c r="L196" s="14" t="n">
        <v>15.7</v>
      </c>
      <c r="M196" s="5">
        <f>K196*J196</f>
        <v/>
      </c>
      <c r="N196" s="8">
        <f>(L196-K196)*J196</f>
        <v/>
      </c>
      <c r="O196" s="8" t="n">
        <v>-379.82</v>
      </c>
      <c r="P196" s="7">
        <f>O196/M196*100</f>
        <v/>
      </c>
      <c r="Q196" s="9" t="n">
        <v>1.475</v>
      </c>
      <c r="R196" s="11" t="inlineStr">
        <is>
          <t>2025_H2</t>
        </is>
      </c>
    </row>
    <row r="197">
      <c r="A197" s="11" t="inlineStr">
        <is>
          <t>2025-11-12</t>
        </is>
      </c>
      <c r="B197" s="11" t="inlineStr">
        <is>
          <t>BIOCON</t>
        </is>
      </c>
      <c r="C197" s="11" t="inlineStr">
        <is>
          <t>PE</t>
        </is>
      </c>
      <c r="D197" s="11" t="inlineStr">
        <is>
          <t>mid</t>
        </is>
      </c>
      <c r="E197" s="12" t="n">
        <v>390</v>
      </c>
      <c r="F197" s="12" t="n">
        <v>48.9</v>
      </c>
      <c r="G197" s="12" t="n">
        <v>19.6</v>
      </c>
      <c r="H197" s="11" t="inlineStr">
        <is>
          <t>2025-11-25</t>
        </is>
      </c>
      <c r="I197" s="13" t="n">
        <v>370</v>
      </c>
      <c r="J197" s="5" t="n">
        <v>2500</v>
      </c>
      <c r="K197" s="14" t="n">
        <v>2.1</v>
      </c>
      <c r="L197" s="14" t="n">
        <v>0.8</v>
      </c>
      <c r="M197" s="5">
        <f>K197*J197</f>
        <v/>
      </c>
      <c r="N197" s="8">
        <f>(L197-K197)*J197</f>
        <v/>
      </c>
      <c r="O197" s="8" t="n">
        <v>-3448.42</v>
      </c>
      <c r="P197" s="7">
        <f>O197/M197*100</f>
        <v/>
      </c>
      <c r="Q197" s="9" t="n">
        <v>-4.748</v>
      </c>
      <c r="R197" s="11" t="inlineStr">
        <is>
          <t>2025_H2</t>
        </is>
      </c>
    </row>
    <row r="198">
      <c r="A198" s="11" t="inlineStr">
        <is>
          <t>2025-11-12</t>
        </is>
      </c>
      <c r="B198" s="11" t="inlineStr">
        <is>
          <t>BSE</t>
        </is>
      </c>
      <c r="C198" s="11" t="inlineStr">
        <is>
          <t>PE</t>
        </is>
      </c>
      <c r="D198" s="11" t="inlineStr">
        <is>
          <t>mid</t>
        </is>
      </c>
      <c r="E198" s="12" t="n">
        <v>61.1</v>
      </c>
      <c r="F198" s="12" t="n">
        <v>3.5</v>
      </c>
      <c r="G198" s="12" t="n">
        <v>43.2</v>
      </c>
      <c r="H198" s="11" t="inlineStr">
        <is>
          <t>2025-11-25</t>
        </is>
      </c>
      <c r="I198" s="13" t="n">
        <v>2500</v>
      </c>
      <c r="J198" s="5" t="n">
        <v>375</v>
      </c>
      <c r="K198" s="14" t="n">
        <v>14</v>
      </c>
      <c r="L198" s="14" t="n">
        <v>10.7</v>
      </c>
      <c r="M198" s="5">
        <f>K198*J198</f>
        <v/>
      </c>
      <c r="N198" s="8">
        <f>(L198-K198)*J198</f>
        <v/>
      </c>
      <c r="O198" s="8" t="n">
        <v>-1480.04</v>
      </c>
      <c r="P198" s="7">
        <f>O198/M198*100</f>
        <v/>
      </c>
      <c r="Q198" s="9" t="n">
        <v>-0.195</v>
      </c>
      <c r="R198" s="11" t="inlineStr">
        <is>
          <t>2025_H2</t>
        </is>
      </c>
    </row>
    <row r="199">
      <c r="A199" s="11" t="inlineStr">
        <is>
          <t>2025-11-12</t>
        </is>
      </c>
      <c r="B199" s="11" t="inlineStr">
        <is>
          <t>FORTIS</t>
        </is>
      </c>
      <c r="C199" s="11" t="inlineStr">
        <is>
          <t>PE</t>
        </is>
      </c>
      <c r="D199" s="11" t="inlineStr">
        <is>
          <t>mid</t>
        </is>
      </c>
      <c r="E199" s="12" t="n">
        <v>70.3</v>
      </c>
      <c r="F199" s="12" t="n">
        <v>23.3</v>
      </c>
      <c r="G199" s="12" t="n">
        <v>17.3</v>
      </c>
      <c r="H199" s="11" t="inlineStr">
        <is>
          <t>2025-11-25</t>
        </is>
      </c>
      <c r="I199" s="13" t="n">
        <v>960</v>
      </c>
      <c r="J199" s="5" t="n">
        <v>775</v>
      </c>
      <c r="K199" s="14" t="n">
        <v>7.3</v>
      </c>
      <c r="L199" s="14" t="n">
        <v>16.3</v>
      </c>
      <c r="M199" s="5">
        <f>K199*J199</f>
        <v/>
      </c>
      <c r="N199" s="8">
        <f>(L199-K199)*J199</f>
        <v/>
      </c>
      <c r="O199" s="8" t="n">
        <v>6535.19</v>
      </c>
      <c r="P199" s="7">
        <f>O199/M199*100</f>
        <v/>
      </c>
      <c r="Q199" s="9" t="n">
        <v>3.456</v>
      </c>
      <c r="R199" s="11" t="inlineStr">
        <is>
          <t>2025_H2</t>
        </is>
      </c>
    </row>
    <row r="200">
      <c r="A200" s="11" t="inlineStr">
        <is>
          <t>2025-11-12</t>
        </is>
      </c>
      <c r="B200" s="11" t="inlineStr">
        <is>
          <t>MFSL</t>
        </is>
      </c>
      <c r="C200" s="11" t="inlineStr">
        <is>
          <t>CE</t>
        </is>
      </c>
      <c r="D200" s="11" t="inlineStr">
        <is>
          <t>mid</t>
        </is>
      </c>
      <c r="E200" s="12" t="n">
        <v>-95.8</v>
      </c>
      <c r="F200" s="12" t="n">
        <v>-93.2</v>
      </c>
      <c r="G200" s="12" t="n">
        <v>-26.8</v>
      </c>
      <c r="H200" s="11" t="inlineStr">
        <is>
          <t>2025-11-25</t>
        </is>
      </c>
      <c r="I200" s="13" t="n">
        <v>1680</v>
      </c>
      <c r="J200" s="5" t="n">
        <v>400</v>
      </c>
      <c r="K200" s="14" t="n">
        <v>20</v>
      </c>
      <c r="L200" s="14" t="n">
        <v>61.8</v>
      </c>
      <c r="M200" s="5">
        <f>K200*J200</f>
        <v/>
      </c>
      <c r="N200" s="8">
        <f>(L200-K200)*J200</f>
        <v/>
      </c>
      <c r="O200" s="8" t="n">
        <v>15967.33</v>
      </c>
      <c r="P200" s="7">
        <f>O200/M200*100</f>
        <v/>
      </c>
      <c r="Q200" s="9" t="n">
        <v>7.425</v>
      </c>
      <c r="R200" s="11" t="inlineStr">
        <is>
          <t>2025_H2</t>
        </is>
      </c>
    </row>
    <row r="201">
      <c r="A201" s="11" t="inlineStr">
        <is>
          <t>2025-11-13</t>
        </is>
      </c>
      <c r="B201" s="11" t="inlineStr">
        <is>
          <t>HAL</t>
        </is>
      </c>
      <c r="C201" s="11" t="inlineStr">
        <is>
          <t>PE</t>
        </is>
      </c>
      <c r="D201" s="11" t="inlineStr">
        <is>
          <t>large</t>
        </is>
      </c>
      <c r="E201" s="12" t="n">
        <v>10.5</v>
      </c>
      <c r="F201" s="12" t="n">
        <v>20.6</v>
      </c>
      <c r="G201" s="12" t="n">
        <v>10.9</v>
      </c>
      <c r="H201" s="11" t="inlineStr">
        <is>
          <t>2025-11-25</t>
        </is>
      </c>
      <c r="I201" s="13" t="n">
        <v>4600</v>
      </c>
      <c r="J201" s="5" t="n">
        <v>150</v>
      </c>
      <c r="K201" s="14" t="n">
        <v>46.45</v>
      </c>
      <c r="L201" s="14" t="n">
        <v>32.05</v>
      </c>
      <c r="M201" s="5">
        <f>K201*J201</f>
        <v/>
      </c>
      <c r="N201" s="8">
        <f>(L201-K201)*J201</f>
        <v/>
      </c>
      <c r="O201" s="8" t="n">
        <v>-2337.33</v>
      </c>
      <c r="P201" s="7">
        <f>O201/M201*100</f>
        <v/>
      </c>
      <c r="Q201" s="9" t="n">
        <v>-0.317</v>
      </c>
      <c r="R201" s="11" t="inlineStr">
        <is>
          <t>2025_H2</t>
        </is>
      </c>
    </row>
    <row r="202">
      <c r="A202" s="11" t="inlineStr">
        <is>
          <t>2025-11-13</t>
        </is>
      </c>
      <c r="B202" s="11" t="inlineStr">
        <is>
          <t>NAUKRI</t>
        </is>
      </c>
      <c r="C202" s="11" t="inlineStr">
        <is>
          <t>PE</t>
        </is>
      </c>
      <c r="D202" s="11" t="inlineStr">
        <is>
          <t>large</t>
        </is>
      </c>
      <c r="E202" s="12" t="n">
        <v>310.1</v>
      </c>
      <c r="F202" s="12" t="n">
        <v>1.4</v>
      </c>
      <c r="G202" s="12" t="n">
        <v>14.9</v>
      </c>
      <c r="H202" s="11" t="inlineStr">
        <is>
          <t>2025-11-25</t>
        </is>
      </c>
      <c r="I202" s="13" t="n">
        <v>1340</v>
      </c>
      <c r="J202" s="5" t="n">
        <v>375</v>
      </c>
      <c r="K202" s="14" t="n">
        <v>16</v>
      </c>
      <c r="L202" s="14" t="n">
        <v>23.05</v>
      </c>
      <c r="M202" s="5">
        <f>K202*J202</f>
        <v/>
      </c>
      <c r="N202" s="8">
        <f>(L202-K202)*J202</f>
        <v/>
      </c>
      <c r="O202" s="8" t="n">
        <v>2430.81</v>
      </c>
      <c r="P202" s="7">
        <f>O202/M202*100</f>
        <v/>
      </c>
      <c r="Q202" s="9" t="n">
        <v>2.546</v>
      </c>
      <c r="R202" s="11" t="inlineStr">
        <is>
          <t>2025_H2</t>
        </is>
      </c>
    </row>
    <row r="203">
      <c r="A203" s="11" t="inlineStr">
        <is>
          <t>2025-11-13</t>
        </is>
      </c>
      <c r="B203" s="11" t="inlineStr">
        <is>
          <t>PRESTIGE</t>
        </is>
      </c>
      <c r="C203" s="11" t="inlineStr">
        <is>
          <t>PE</t>
        </is>
      </c>
      <c r="D203" s="11" t="inlineStr">
        <is>
          <t>mid</t>
        </is>
      </c>
      <c r="E203" s="12" t="n">
        <v>95</v>
      </c>
      <c r="F203" s="12" t="n">
        <v>46.8</v>
      </c>
      <c r="G203" s="12" t="n">
        <v>5.5</v>
      </c>
      <c r="H203" s="11" t="inlineStr">
        <is>
          <t>2025-11-25</t>
        </is>
      </c>
      <c r="I203" s="13" t="n">
        <v>1680</v>
      </c>
      <c r="J203" s="5" t="n">
        <v>450</v>
      </c>
      <c r="K203" s="14" t="n">
        <v>12.85</v>
      </c>
      <c r="L203" s="14" t="n">
        <v>13.15</v>
      </c>
      <c r="M203" s="5">
        <f>K203*J203</f>
        <v/>
      </c>
      <c r="N203" s="8">
        <f>(L203-K203)*J203</f>
        <v/>
      </c>
      <c r="O203" s="8" t="n">
        <v>-160.17</v>
      </c>
      <c r="P203" s="7">
        <f>O203/M203*100</f>
        <v/>
      </c>
      <c r="Q203" s="9" t="n">
        <v>-1.987</v>
      </c>
      <c r="R203" s="11" t="inlineStr">
        <is>
          <t>2025_H2</t>
        </is>
      </c>
    </row>
    <row r="204">
      <c r="A204" s="11" t="inlineStr">
        <is>
          <t>2025-11-14</t>
        </is>
      </c>
      <c r="B204" s="11" t="inlineStr">
        <is>
          <t>ALKEM</t>
        </is>
      </c>
      <c r="C204" s="11" t="inlineStr">
        <is>
          <t>PE</t>
        </is>
      </c>
      <c r="D204" s="11" t="inlineStr">
        <is>
          <t>mid</t>
        </is>
      </c>
      <c r="E204" s="12" t="n">
        <v>11</v>
      </c>
      <c r="F204" s="12" t="n">
        <v>16.6</v>
      </c>
      <c r="G204" s="12" t="n">
        <v>17.2</v>
      </c>
      <c r="H204" s="11" t="inlineStr">
        <is>
          <t>2025-11-25</t>
        </is>
      </c>
      <c r="I204" s="13" t="n">
        <v>5600</v>
      </c>
      <c r="J204" s="5" t="n">
        <v>125</v>
      </c>
      <c r="K204" s="14" t="n">
        <v>56.15</v>
      </c>
      <c r="L204" s="14" t="n">
        <v>33</v>
      </c>
      <c r="M204" s="5">
        <f>K204*J204</f>
        <v/>
      </c>
      <c r="N204" s="8">
        <f>(L204-K204)*J204</f>
        <v/>
      </c>
      <c r="O204" s="8" t="n">
        <v>-3174.91</v>
      </c>
      <c r="P204" s="7">
        <f>O204/M204*100</f>
        <v/>
      </c>
      <c r="Q204" s="9" t="n">
        <v>1.345</v>
      </c>
      <c r="R204" s="11" t="inlineStr">
        <is>
          <t>2025_H2</t>
        </is>
      </c>
    </row>
    <row r="205">
      <c r="A205" s="11" t="inlineStr">
        <is>
          <t>2025-11-14</t>
        </is>
      </c>
      <c r="B205" s="11" t="inlineStr">
        <is>
          <t>BDL</t>
        </is>
      </c>
      <c r="C205" s="11" t="inlineStr">
        <is>
          <t>PE</t>
        </is>
      </c>
      <c r="D205" s="11" t="inlineStr">
        <is>
          <t>mid</t>
        </is>
      </c>
      <c r="E205" s="12" t="n">
        <v>76.2</v>
      </c>
      <c r="F205" s="12" t="n">
        <v>1076.5</v>
      </c>
      <c r="G205" s="12" t="n">
        <v>110.6</v>
      </c>
      <c r="H205" s="11" t="inlineStr">
        <is>
          <t>2025-11-25</t>
        </is>
      </c>
      <c r="I205" s="13" t="n">
        <v>1520</v>
      </c>
      <c r="J205" s="5" t="n">
        <v>325</v>
      </c>
      <c r="K205" s="14" t="n">
        <v>15.1</v>
      </c>
      <c r="L205" s="14" t="n">
        <v>5.05</v>
      </c>
      <c r="M205" s="5">
        <f>K205*J205</f>
        <v/>
      </c>
      <c r="N205" s="8">
        <f>(L205-K205)*J205</f>
        <v/>
      </c>
      <c r="O205" s="8" t="n">
        <v>-3449.78</v>
      </c>
      <c r="P205" s="7">
        <f>O205/M205*100</f>
        <v/>
      </c>
      <c r="Q205" s="9" t="n">
        <v>-0.8</v>
      </c>
      <c r="R205" s="11" t="inlineStr">
        <is>
          <t>2025_H2</t>
        </is>
      </c>
    </row>
    <row r="206">
      <c r="A206" s="11" t="inlineStr">
        <is>
          <t>2025-11-14</t>
        </is>
      </c>
      <c r="B206" s="11" t="inlineStr">
        <is>
          <t>EICHERMOT</t>
        </is>
      </c>
      <c r="C206" s="11" t="inlineStr">
        <is>
          <t>PE</t>
        </is>
      </c>
      <c r="D206" s="11" t="inlineStr">
        <is>
          <t>large</t>
        </is>
      </c>
      <c r="E206" s="12" t="n">
        <v>24.5</v>
      </c>
      <c r="F206" s="12" t="n">
        <v>13.6</v>
      </c>
      <c r="G206" s="12" t="n">
        <v>44.8</v>
      </c>
      <c r="H206" s="11" t="inlineStr">
        <is>
          <t>2025-11-25</t>
        </is>
      </c>
      <c r="I206" s="13" t="n">
        <v>6550</v>
      </c>
      <c r="J206" s="5" t="n">
        <v>175</v>
      </c>
      <c r="K206" s="14" t="n">
        <v>41</v>
      </c>
      <c r="L206" s="14" t="n">
        <v>34.85</v>
      </c>
      <c r="M206" s="5">
        <f>K206*J206</f>
        <v/>
      </c>
      <c r="N206" s="8">
        <f>(L206-K206)*J206</f>
        <v/>
      </c>
      <c r="O206" s="8" t="n">
        <v>-1271.15</v>
      </c>
      <c r="P206" s="7">
        <f>O206/M206*100</f>
        <v/>
      </c>
      <c r="Q206" s="9" t="n">
        <v>1.53</v>
      </c>
      <c r="R206" s="11" t="inlineStr">
        <is>
          <t>2025_H2</t>
        </is>
      </c>
    </row>
    <row r="207">
      <c r="A207" s="11" t="inlineStr">
        <is>
          <t>2025-11-14</t>
        </is>
      </c>
      <c r="B207" s="11" t="inlineStr">
        <is>
          <t>JUBLFOOD</t>
        </is>
      </c>
      <c r="C207" s="11" t="inlineStr">
        <is>
          <t>PE</t>
        </is>
      </c>
      <c r="D207" s="11" t="inlineStr">
        <is>
          <t>mid</t>
        </is>
      </c>
      <c r="E207" s="12" t="n">
        <v>192.5</v>
      </c>
      <c r="F207" s="12" t="n">
        <v>106.3</v>
      </c>
      <c r="G207" s="12" t="n">
        <v>19.7</v>
      </c>
      <c r="H207" s="11" t="inlineStr">
        <is>
          <t>2025-11-25</t>
        </is>
      </c>
      <c r="I207" s="13" t="n">
        <v>570</v>
      </c>
      <c r="J207" s="5" t="n">
        <v>1250</v>
      </c>
      <c r="K207" s="14" t="n">
        <v>2.6</v>
      </c>
      <c r="L207" s="14" t="n">
        <v>1.15</v>
      </c>
      <c r="M207" s="5">
        <f>K207*J207</f>
        <v/>
      </c>
      <c r="N207" s="8">
        <f>(L207-K207)*J207</f>
        <v/>
      </c>
      <c r="O207" s="8" t="n">
        <v>-1957.67</v>
      </c>
      <c r="P207" s="7">
        <f>O207/M207*100</f>
        <v/>
      </c>
      <c r="Q207" s="9" t="n">
        <v>-1.711</v>
      </c>
      <c r="R207" s="11" t="inlineStr">
        <is>
          <t>2025_H2</t>
        </is>
      </c>
    </row>
    <row r="208">
      <c r="A208" s="11" t="inlineStr">
        <is>
          <t>2025-11-14</t>
        </is>
      </c>
      <c r="B208" s="11" t="inlineStr">
        <is>
          <t>MUTHOOTFIN</t>
        </is>
      </c>
      <c r="C208" s="11" t="inlineStr">
        <is>
          <t>PE</t>
        </is>
      </c>
      <c r="D208" s="11" t="inlineStr">
        <is>
          <t>mid</t>
        </is>
      </c>
      <c r="E208" s="12" t="n">
        <v>82.5</v>
      </c>
      <c r="F208" s="12" t="n">
        <v>22.2</v>
      </c>
      <c r="G208" s="12" t="n">
        <v>47.8</v>
      </c>
      <c r="H208" s="11" t="inlineStr">
        <is>
          <t>2025-11-25</t>
        </is>
      </c>
      <c r="I208" s="13" t="n">
        <v>3400</v>
      </c>
      <c r="J208" s="5" t="n">
        <v>275</v>
      </c>
      <c r="K208" s="14" t="n">
        <v>11.15</v>
      </c>
      <c r="L208" s="14" t="n">
        <v>7</v>
      </c>
      <c r="M208" s="5">
        <f>K208*J208</f>
        <v/>
      </c>
      <c r="N208" s="8">
        <f>(L208-K208)*J208</f>
        <v/>
      </c>
      <c r="O208" s="8" t="n">
        <v>-1293.35</v>
      </c>
      <c r="P208" s="7">
        <f>O208/M208*100</f>
        <v/>
      </c>
      <c r="Q208" s="9" t="n">
        <v>-2.071</v>
      </c>
      <c r="R208" s="11" t="inlineStr">
        <is>
          <t>2025_H2</t>
        </is>
      </c>
    </row>
    <row r="209">
      <c r="A209" s="11" t="inlineStr">
        <is>
          <t>2025-11-14</t>
        </is>
      </c>
      <c r="B209" s="11" t="inlineStr">
        <is>
          <t>PAGEIND</t>
        </is>
      </c>
      <c r="C209" s="11" t="inlineStr">
        <is>
          <t>PE</t>
        </is>
      </c>
      <c r="D209" s="11" t="inlineStr">
        <is>
          <t>mid</t>
        </is>
      </c>
      <c r="E209" s="12" t="n">
        <v>102.6</v>
      </c>
      <c r="F209" s="12" t="n">
        <v>97</v>
      </c>
      <c r="G209" s="12" t="n">
        <v>109.2</v>
      </c>
      <c r="H209" s="11" t="inlineStr">
        <is>
          <t>2025-11-25</t>
        </is>
      </c>
      <c r="I209" s="13" t="n">
        <v>38500</v>
      </c>
      <c r="J209" s="5" t="n">
        <v>15</v>
      </c>
      <c r="K209" s="14" t="n">
        <v>520.05</v>
      </c>
      <c r="L209" s="14" t="n">
        <v>187</v>
      </c>
      <c r="M209" s="5">
        <f>K209*J209</f>
        <v/>
      </c>
      <c r="N209" s="8">
        <f>(L209-K209)*J209</f>
        <v/>
      </c>
      <c r="O209" s="8" t="n">
        <v>-5263.96</v>
      </c>
      <c r="P209" s="7">
        <f>O209/M209*100</f>
        <v/>
      </c>
      <c r="Q209" s="9" t="n">
        <v>-0.671</v>
      </c>
      <c r="R209" s="11" t="inlineStr">
        <is>
          <t>2025_H2</t>
        </is>
      </c>
    </row>
    <row r="210">
      <c r="A210" s="11" t="inlineStr">
        <is>
          <t>2025-11-14</t>
        </is>
      </c>
      <c r="B210" s="11" t="inlineStr">
        <is>
          <t>PGEL</t>
        </is>
      </c>
      <c r="C210" s="11" t="inlineStr">
        <is>
          <t>CE</t>
        </is>
      </c>
      <c r="D210" s="11" t="inlineStr">
        <is>
          <t>small</t>
        </is>
      </c>
      <c r="E210" s="12" t="n">
        <v>-85.7</v>
      </c>
      <c r="F210" s="12" t="n">
        <v>-95.90000000000001</v>
      </c>
      <c r="G210" s="12" t="n">
        <v>-2.4</v>
      </c>
      <c r="H210" s="11" t="inlineStr">
        <is>
          <t>2025-11-25</t>
        </is>
      </c>
      <c r="I210" s="13" t="n">
        <v>570</v>
      </c>
      <c r="J210" s="5" t="n">
        <v>700</v>
      </c>
      <c r="K210" s="14" t="n">
        <v>5</v>
      </c>
      <c r="L210" s="14" t="n">
        <v>21.05</v>
      </c>
      <c r="M210" s="5">
        <f>K210*J210</f>
        <v/>
      </c>
      <c r="N210" s="8">
        <f>(L210-K210)*J210</f>
        <v/>
      </c>
      <c r="O210" s="8" t="n">
        <v>10610.89</v>
      </c>
      <c r="P210" s="7">
        <f>O210/M210*100</f>
        <v/>
      </c>
      <c r="Q210" s="9" t="n">
        <v>7.056</v>
      </c>
      <c r="R210" s="11" t="inlineStr">
        <is>
          <t>2025_H2</t>
        </is>
      </c>
    </row>
    <row r="211">
      <c r="A211" s="11" t="inlineStr">
        <is>
          <t>2025-11-14</t>
        </is>
      </c>
      <c r="B211" s="11" t="inlineStr">
        <is>
          <t>VOLTAS</t>
        </is>
      </c>
      <c r="C211" s="11" t="inlineStr">
        <is>
          <t>CE</t>
        </is>
      </c>
      <c r="D211" s="11" t="inlineStr">
        <is>
          <t>mid</t>
        </is>
      </c>
      <c r="E211" s="12" t="n">
        <v>-76.3</v>
      </c>
      <c r="F211" s="12" t="n">
        <v>-77.59999999999999</v>
      </c>
      <c r="G211" s="12" t="n">
        <v>-10.4</v>
      </c>
      <c r="H211" s="11" t="inlineStr">
        <is>
          <t>2025-11-25</t>
        </is>
      </c>
      <c r="I211" s="13" t="n">
        <v>1340</v>
      </c>
      <c r="J211" s="5" t="n">
        <v>375</v>
      </c>
      <c r="K211" s="14" t="n">
        <v>14.45</v>
      </c>
      <c r="L211" s="14" t="n">
        <v>31.5</v>
      </c>
      <c r="M211" s="5">
        <f>K211*J211</f>
        <v/>
      </c>
      <c r="N211" s="8">
        <f>(L211-K211)*J211</f>
        <v/>
      </c>
      <c r="O211" s="8" t="n">
        <v>5976.78</v>
      </c>
      <c r="P211" s="7">
        <f>O211/M211*100</f>
        <v/>
      </c>
      <c r="Q211" s="9" t="n">
        <v>3.597</v>
      </c>
      <c r="R211" s="11" t="inlineStr">
        <is>
          <t>2025_H2</t>
        </is>
      </c>
    </row>
    <row r="212">
      <c r="A212" s="11" t="inlineStr">
        <is>
          <t>2025-11-17</t>
        </is>
      </c>
      <c r="B212" s="11" t="inlineStr">
        <is>
          <t>GLENMARK</t>
        </is>
      </c>
      <c r="C212" s="11" t="inlineStr">
        <is>
          <t>PE</t>
        </is>
      </c>
      <c r="D212" s="11" t="inlineStr">
        <is>
          <t>mid</t>
        </is>
      </c>
      <c r="E212" s="12" t="n">
        <v>72.2</v>
      </c>
      <c r="F212" s="12" t="n">
        <v>1199.6</v>
      </c>
      <c r="G212" s="12" t="n">
        <v>76.09999999999999</v>
      </c>
      <c r="H212" s="11" t="inlineStr">
        <is>
          <t>2025-11-25</t>
        </is>
      </c>
      <c r="I212" s="13" t="n">
        <v>1780</v>
      </c>
      <c r="J212" s="5" t="n">
        <v>375</v>
      </c>
      <c r="K212" s="14" t="n">
        <v>11.6</v>
      </c>
      <c r="L212" s="14" t="n">
        <v>7.9</v>
      </c>
      <c r="M212" s="5">
        <f>K212*J212</f>
        <v/>
      </c>
      <c r="N212" s="8">
        <f>(L212-K212)*J212</f>
        <v/>
      </c>
      <c r="O212" s="8" t="n">
        <v>-1588.59</v>
      </c>
      <c r="P212" s="7">
        <f>O212/M212*100</f>
        <v/>
      </c>
      <c r="Q212" s="9" t="n">
        <v>-0.744</v>
      </c>
      <c r="R212" s="11" t="inlineStr">
        <is>
          <t>2025_H2</t>
        </is>
      </c>
    </row>
    <row r="213">
      <c r="A213" s="11" t="inlineStr">
        <is>
          <t>2025-11-17</t>
        </is>
      </c>
      <c r="B213" s="11" t="inlineStr">
        <is>
          <t>INOXWIND</t>
        </is>
      </c>
      <c r="C213" s="11" t="inlineStr">
        <is>
          <t>PE</t>
        </is>
      </c>
      <c r="D213" s="11" t="inlineStr">
        <is>
          <t>small</t>
        </is>
      </c>
      <c r="E213" s="12" t="n">
        <v>33.7</v>
      </c>
      <c r="F213" s="12" t="n">
        <v>23.9</v>
      </c>
      <c r="G213" s="12" t="n">
        <v>52.8</v>
      </c>
      <c r="H213" s="11" t="inlineStr">
        <is>
          <t>2025-11-25</t>
        </is>
      </c>
      <c r="I213" s="13" t="n">
        <v>147.5</v>
      </c>
      <c r="J213" s="5" t="n">
        <v>3272</v>
      </c>
      <c r="K213" s="14" t="n">
        <v>2.06</v>
      </c>
      <c r="L213" s="14" t="n">
        <v>3.88</v>
      </c>
      <c r="M213" s="5">
        <f>K213*J213</f>
        <v/>
      </c>
      <c r="N213" s="8">
        <f>(L213-K213)*J213</f>
        <v/>
      </c>
      <c r="O213" s="8" t="n">
        <v>5297.37</v>
      </c>
      <c r="P213" s="7">
        <f>O213/M213*100</f>
        <v/>
      </c>
      <c r="Q213" s="9" t="n">
        <v>2.917</v>
      </c>
      <c r="R213" s="11" t="inlineStr">
        <is>
          <t>2025_H2</t>
        </is>
      </c>
    </row>
    <row r="214">
      <c r="A214" s="11" t="inlineStr">
        <is>
          <t>2025-11-17</t>
        </is>
      </c>
      <c r="B214" s="11" t="inlineStr">
        <is>
          <t>MAXHEALTH</t>
        </is>
      </c>
      <c r="C214" s="11" t="inlineStr">
        <is>
          <t>PE</t>
        </is>
      </c>
      <c r="D214" s="11" t="inlineStr">
        <is>
          <t>large</t>
        </is>
      </c>
      <c r="E214" s="12" t="n">
        <v>74.3</v>
      </c>
      <c r="F214" s="12" t="n">
        <v>59.5</v>
      </c>
      <c r="G214" s="12" t="n">
        <v>25.1</v>
      </c>
      <c r="H214" s="11" t="inlineStr">
        <is>
          <t>2025-11-25</t>
        </is>
      </c>
      <c r="I214" s="13" t="n">
        <v>1060</v>
      </c>
      <c r="J214" s="5" t="n">
        <v>525</v>
      </c>
      <c r="K214" s="14" t="n">
        <v>6.2</v>
      </c>
      <c r="L214" s="14" t="n">
        <v>2.85</v>
      </c>
      <c r="M214" s="5">
        <f>K214*J214</f>
        <v/>
      </c>
      <c r="N214" s="8">
        <f>(L214-K214)*J214</f>
        <v/>
      </c>
      <c r="O214" s="8" t="n">
        <v>-1857.8</v>
      </c>
      <c r="P214" s="7">
        <f>O214/M214*100</f>
        <v/>
      </c>
      <c r="Q214" s="9" t="n">
        <v>-1.502</v>
      </c>
      <c r="R214" s="11" t="inlineStr">
        <is>
          <t>2025_H2</t>
        </is>
      </c>
    </row>
    <row r="215">
      <c r="A215" s="11" t="inlineStr">
        <is>
          <t>2025-11-17</t>
        </is>
      </c>
      <c r="B215" s="11" t="inlineStr">
        <is>
          <t>OIL</t>
        </is>
      </c>
      <c r="C215" s="11" t="inlineStr">
        <is>
          <t>PE</t>
        </is>
      </c>
      <c r="D215" s="11" t="inlineStr">
        <is>
          <t>mid</t>
        </is>
      </c>
      <c r="E215" s="12" t="n">
        <v>78.3</v>
      </c>
      <c r="F215" s="12" t="n">
        <v>80.3</v>
      </c>
      <c r="G215" s="12" t="n">
        <v>120.3</v>
      </c>
      <c r="H215" s="11" t="inlineStr">
        <is>
          <t>2025-11-25</t>
        </is>
      </c>
      <c r="I215" s="13" t="n">
        <v>420</v>
      </c>
      <c r="J215" s="5" t="n">
        <v>1400</v>
      </c>
      <c r="K215" s="14" t="n">
        <v>4.8</v>
      </c>
      <c r="L215" s="14" t="n">
        <v>2.5</v>
      </c>
      <c r="M215" s="5">
        <f>K215*J215</f>
        <v/>
      </c>
      <c r="N215" s="8">
        <f>(L215-K215)*J215</f>
        <v/>
      </c>
      <c r="O215" s="8" t="n">
        <v>-3481.34</v>
      </c>
      <c r="P215" s="7">
        <f>O215/M215*100</f>
        <v/>
      </c>
      <c r="Q215" s="9" t="n">
        <v>0.16</v>
      </c>
      <c r="R215" s="11" t="inlineStr">
        <is>
          <t>2025_H2</t>
        </is>
      </c>
    </row>
    <row r="216">
      <c r="A216" s="11" t="inlineStr">
        <is>
          <t>2026-01-12</t>
        </is>
      </c>
      <c r="B216" s="11" t="inlineStr">
        <is>
          <t>DMART</t>
        </is>
      </c>
      <c r="C216" s="11" t="inlineStr">
        <is>
          <t>PE</t>
        </is>
      </c>
      <c r="D216" s="11" t="inlineStr">
        <is>
          <t>large</t>
        </is>
      </c>
      <c r="E216" s="12" t="n">
        <v>18.3</v>
      </c>
      <c r="F216" s="12" t="n">
        <v>25</v>
      </c>
      <c r="G216" s="12" t="n">
        <v>13.3</v>
      </c>
      <c r="H216" s="11" t="inlineStr">
        <is>
          <t>2026-01-27</t>
        </is>
      </c>
      <c r="I216" s="13" t="n">
        <v>3750</v>
      </c>
      <c r="J216" s="5" t="n">
        <v>150</v>
      </c>
      <c r="K216" s="14" t="n">
        <v>51.05</v>
      </c>
      <c r="L216" s="14" t="n">
        <v>37.2</v>
      </c>
      <c r="M216" s="5">
        <f>K216*J216</f>
        <v/>
      </c>
      <c r="N216" s="8">
        <f>(L216-K216)*J216</f>
        <v/>
      </c>
      <c r="O216" s="8" t="n">
        <v>-2271.24</v>
      </c>
      <c r="P216" s="7">
        <f>O216/M216*100</f>
        <v/>
      </c>
      <c r="Q216" s="9" t="n">
        <v>0.506</v>
      </c>
      <c r="R216" s="11" t="inlineStr">
        <is>
          <t>2026_H1</t>
        </is>
      </c>
    </row>
    <row r="217">
      <c r="A217" s="11" t="inlineStr">
        <is>
          <t>2026-01-13</t>
        </is>
      </c>
      <c r="B217" s="11" t="inlineStr">
        <is>
          <t>HCLTECH</t>
        </is>
      </c>
      <c r="C217" s="11" t="inlineStr">
        <is>
          <t>CE</t>
        </is>
      </c>
      <c r="D217" s="11" t="inlineStr">
        <is>
          <t>large</t>
        </is>
      </c>
      <c r="E217" s="12" t="n">
        <v>-11.1</v>
      </c>
      <c r="F217" s="12" t="n">
        <v>-3.6</v>
      </c>
      <c r="G217" s="12" t="n">
        <v>13.3</v>
      </c>
      <c r="H217" s="11" t="inlineStr">
        <is>
          <t>2026-01-27</t>
        </is>
      </c>
      <c r="I217" s="13" t="n">
        <v>1700</v>
      </c>
      <c r="J217" s="5" t="n">
        <v>350</v>
      </c>
      <c r="K217" s="14" t="n">
        <v>22.75</v>
      </c>
      <c r="L217" s="14" t="n">
        <v>11.1</v>
      </c>
      <c r="M217" s="5">
        <f>K217*J217</f>
        <v/>
      </c>
      <c r="N217" s="8">
        <f>(L217-K217)*J217</f>
        <v/>
      </c>
      <c r="O217" s="8" t="n">
        <v>-4254.23</v>
      </c>
      <c r="P217" s="7">
        <f>O217/M217*100</f>
        <v/>
      </c>
      <c r="Q217" s="9" t="n">
        <v>-1.187</v>
      </c>
      <c r="R217" s="11" t="inlineStr">
        <is>
          <t>2026_H1</t>
        </is>
      </c>
    </row>
    <row r="218">
      <c r="A218" s="11" t="inlineStr">
        <is>
          <t>2026-01-13</t>
        </is>
      </c>
      <c r="B218" s="11" t="inlineStr">
        <is>
          <t>TCS</t>
        </is>
      </c>
      <c r="C218" s="11" t="inlineStr">
        <is>
          <t>CE</t>
        </is>
      </c>
      <c r="D218" s="11" t="inlineStr">
        <is>
          <t>large</t>
        </is>
      </c>
      <c r="E218" s="12" t="n">
        <v>-13.9</v>
      </c>
      <c r="F218" s="12" t="n">
        <v>-11.6</v>
      </c>
      <c r="G218" s="12" t="n">
        <v>4.9</v>
      </c>
      <c r="H218" s="11" t="inlineStr">
        <is>
          <t>2026-01-27</t>
        </is>
      </c>
      <c r="I218" s="13" t="n">
        <v>3260</v>
      </c>
      <c r="J218" s="5" t="n">
        <v>175</v>
      </c>
      <c r="K218" s="14" t="n">
        <v>40.05</v>
      </c>
      <c r="L218" s="14" t="n">
        <v>26</v>
      </c>
      <c r="M218" s="5">
        <f>K218*J218</f>
        <v/>
      </c>
      <c r="N218" s="8">
        <f>(L218-K218)*J218</f>
        <v/>
      </c>
      <c r="O218" s="8" t="n">
        <v>-2633.44</v>
      </c>
      <c r="P218" s="7">
        <f>O218/M218*100</f>
        <v/>
      </c>
      <c r="Q218" s="9" t="n">
        <v>0.709</v>
      </c>
      <c r="R218" s="11" t="inlineStr">
        <is>
          <t>2026_H1</t>
        </is>
      </c>
    </row>
    <row r="219">
      <c r="A219" s="11" t="inlineStr">
        <is>
          <t>2026-01-14</t>
        </is>
      </c>
      <c r="B219" s="11" t="inlineStr">
        <is>
          <t>TATAELXSI</t>
        </is>
      </c>
      <c r="C219" s="11" t="inlineStr">
        <is>
          <t>CE</t>
        </is>
      </c>
      <c r="D219" s="11" t="inlineStr">
        <is>
          <t>mid</t>
        </is>
      </c>
      <c r="E219" s="12" t="n">
        <v>-45.3</v>
      </c>
      <c r="F219" s="12" t="n">
        <v>-29.7</v>
      </c>
      <c r="G219" s="12" t="n">
        <v>1.5</v>
      </c>
      <c r="H219" s="11" t="inlineStr">
        <is>
          <t>2026-01-27</t>
        </is>
      </c>
      <c r="I219" s="13" t="n">
        <v>5900</v>
      </c>
      <c r="J219" s="5" t="n">
        <v>100</v>
      </c>
      <c r="K219" s="14" t="n">
        <v>75.05</v>
      </c>
      <c r="L219" s="14" t="n">
        <v>25.7</v>
      </c>
      <c r="M219" s="5">
        <f>K219*J219</f>
        <v/>
      </c>
      <c r="N219" s="8">
        <f>(L219-K219)*J219</f>
        <v/>
      </c>
      <c r="O219" s="8" t="n">
        <v>-5192.01</v>
      </c>
      <c r="P219" s="7">
        <f>O219/M219*100</f>
        <v/>
      </c>
      <c r="Q219" s="9" t="n">
        <v>-3.421</v>
      </c>
      <c r="R219" s="11" t="inlineStr">
        <is>
          <t>2026_H1</t>
        </is>
      </c>
    </row>
    <row r="220">
      <c r="A220" s="11" t="inlineStr">
        <is>
          <t>2026-01-16</t>
        </is>
      </c>
      <c r="B220" s="11" t="inlineStr">
        <is>
          <t>HDFCAMC</t>
        </is>
      </c>
      <c r="C220" s="11" t="inlineStr">
        <is>
          <t>PE</t>
        </is>
      </c>
      <c r="D220" s="11" t="inlineStr">
        <is>
          <t>mid</t>
        </is>
      </c>
      <c r="E220" s="12" t="n">
        <v>20</v>
      </c>
      <c r="F220" s="12" t="n">
        <v>7.1</v>
      </c>
      <c r="G220" s="12" t="n">
        <v>15</v>
      </c>
      <c r="H220" s="11" t="inlineStr">
        <is>
          <t>2026-01-27</t>
        </is>
      </c>
      <c r="I220" s="13" t="n">
        <v>2540</v>
      </c>
      <c r="J220" s="5" t="n">
        <v>300</v>
      </c>
      <c r="K220" s="14" t="n">
        <v>15.05</v>
      </c>
      <c r="L220" s="14" t="n">
        <v>18.2</v>
      </c>
      <c r="M220" s="5">
        <f>K220*J220</f>
        <v/>
      </c>
      <c r="N220" s="8">
        <f>(L220-K220)*J220</f>
        <v/>
      </c>
      <c r="O220" s="8" t="n">
        <v>685.78</v>
      </c>
      <c r="P220" s="7">
        <f>O220/M220*100</f>
        <v/>
      </c>
      <c r="Q220" s="9" t="n">
        <v>-0.628</v>
      </c>
      <c r="R220" s="11" t="inlineStr">
        <is>
          <t>2026_H1</t>
        </is>
      </c>
    </row>
    <row r="221">
      <c r="A221" s="11" t="inlineStr">
        <is>
          <t>2026-01-19</t>
        </is>
      </c>
      <c r="B221" s="11" t="inlineStr">
        <is>
          <t>HDFCBANK</t>
        </is>
      </c>
      <c r="C221" s="11" t="inlineStr">
        <is>
          <t>PE</t>
        </is>
      </c>
      <c r="D221" s="11" t="inlineStr">
        <is>
          <t>large</t>
        </is>
      </c>
      <c r="E221" s="12" t="n">
        <v>12.2</v>
      </c>
      <c r="F221" s="12" t="n">
        <v>1</v>
      </c>
      <c r="G221" s="12" t="n">
        <v>2.4</v>
      </c>
      <c r="H221" s="11" t="inlineStr">
        <is>
          <t>2026-01-27</t>
        </is>
      </c>
      <c r="I221" s="13" t="n">
        <v>930</v>
      </c>
      <c r="J221" s="5" t="n">
        <v>550</v>
      </c>
      <c r="K221" s="14" t="n">
        <v>10.6</v>
      </c>
      <c r="L221" s="14" t="n">
        <v>10.5</v>
      </c>
      <c r="M221" s="5">
        <f>K221*J221</f>
        <v/>
      </c>
      <c r="N221" s="8">
        <f>(L221-K221)*J221</f>
        <v/>
      </c>
      <c r="O221" s="8" t="n">
        <v>-231.96</v>
      </c>
      <c r="P221" s="7">
        <f>O221/M221*100</f>
        <v/>
      </c>
      <c r="Q221" s="9" t="n">
        <v>0.855</v>
      </c>
      <c r="R221" s="11" t="inlineStr">
        <is>
          <t>2026_H1</t>
        </is>
      </c>
    </row>
    <row r="222">
      <c r="A222" s="11" t="inlineStr">
        <is>
          <t>2026-01-19</t>
        </is>
      </c>
      <c r="B222" s="11" t="inlineStr">
        <is>
          <t>LTF</t>
        </is>
      </c>
      <c r="C222" s="11" t="inlineStr">
        <is>
          <t>PE</t>
        </is>
      </c>
      <c r="D222" s="11" t="inlineStr">
        <is>
          <t>mid</t>
        </is>
      </c>
      <c r="E222" s="12" t="n">
        <v>18</v>
      </c>
      <c r="F222" s="12" t="n">
        <v>0.4</v>
      </c>
      <c r="G222" s="12" t="n">
        <v>11.7</v>
      </c>
      <c r="H222" s="11" t="inlineStr">
        <is>
          <t>2026-01-27</t>
        </is>
      </c>
      <c r="I222" s="13" t="n">
        <v>277.5</v>
      </c>
      <c r="J222" s="5" t="n">
        <v>2250</v>
      </c>
      <c r="K222" s="14" t="n">
        <v>3.05</v>
      </c>
      <c r="L222" s="14" t="n">
        <v>0.55</v>
      </c>
      <c r="M222" s="5">
        <f>K222*J222</f>
        <v/>
      </c>
      <c r="N222" s="8">
        <f>(L222-K222)*J222</f>
        <v/>
      </c>
      <c r="O222" s="8" t="n">
        <v>-5839.68</v>
      </c>
      <c r="P222" s="7">
        <f>O222/M222*100</f>
        <v/>
      </c>
      <c r="Q222" s="9" t="n">
        <v>-5.466</v>
      </c>
      <c r="R222" s="11" t="inlineStr">
        <is>
          <t>2026_H1</t>
        </is>
      </c>
    </row>
    <row r="223">
      <c r="A223" s="11" t="inlineStr">
        <is>
          <t>2026-01-20</t>
        </is>
      </c>
      <c r="B223" s="11" t="inlineStr">
        <is>
          <t>BHEL</t>
        </is>
      </c>
      <c r="C223" s="11" t="inlineStr">
        <is>
          <t>PE</t>
        </is>
      </c>
      <c r="D223" s="11" t="inlineStr">
        <is>
          <t>mid</t>
        </is>
      </c>
      <c r="E223" s="12" t="n">
        <v>189.8</v>
      </c>
      <c r="F223" s="12" t="n">
        <v>4.1</v>
      </c>
      <c r="G223" s="12" t="n">
        <v>16.4</v>
      </c>
      <c r="H223" s="11" t="inlineStr">
        <is>
          <t>2026-01-27</t>
        </is>
      </c>
      <c r="I223" s="13" t="n">
        <v>252.5</v>
      </c>
      <c r="J223" s="5" t="n">
        <v>2625</v>
      </c>
      <c r="K223" s="14" t="n">
        <v>2.75</v>
      </c>
      <c r="L223" s="14" t="n">
        <v>5.4</v>
      </c>
      <c r="M223" s="5">
        <f>K223*J223</f>
        <v/>
      </c>
      <c r="N223" s="8">
        <f>(L223-K223)*J223</f>
        <v/>
      </c>
      <c r="O223" s="8" t="n">
        <v>6450.71</v>
      </c>
      <c r="P223" s="7">
        <f>O223/M223*100</f>
        <v/>
      </c>
      <c r="Q223" s="9" t="n">
        <v>4.705</v>
      </c>
      <c r="R223" s="11" t="inlineStr">
        <is>
          <t>2026_H1</t>
        </is>
      </c>
    </row>
    <row r="224">
      <c r="A224" s="11" t="inlineStr">
        <is>
          <t>2026-01-20</t>
        </is>
      </c>
      <c r="B224" s="11" t="inlineStr">
        <is>
          <t>HINDZINC</t>
        </is>
      </c>
      <c r="C224" s="11" t="inlineStr">
        <is>
          <t>PE</t>
        </is>
      </c>
      <c r="D224" s="11" t="inlineStr">
        <is>
          <t>large</t>
        </is>
      </c>
      <c r="E224" s="12" t="n">
        <v>46.2</v>
      </c>
      <c r="F224" s="12" t="n">
        <v>47.8</v>
      </c>
      <c r="G224" s="12" t="n">
        <v>27.5</v>
      </c>
      <c r="H224" s="11" t="inlineStr">
        <is>
          <t>2026-01-27</t>
        </is>
      </c>
      <c r="I224" s="13" t="n">
        <v>630</v>
      </c>
      <c r="J224" s="5" t="n">
        <v>1225</v>
      </c>
      <c r="K224" s="14" t="n">
        <v>4.2</v>
      </c>
      <c r="L224" s="14" t="n">
        <v>2.6</v>
      </c>
      <c r="M224" s="5">
        <f>K224*J224</f>
        <v/>
      </c>
      <c r="N224" s="8">
        <f>(L224-K224)*J224</f>
        <v/>
      </c>
      <c r="O224" s="8" t="n">
        <v>-2098.93</v>
      </c>
      <c r="P224" s="7">
        <f>O224/M224*100</f>
        <v/>
      </c>
      <c r="Q224" s="9" t="n">
        <v>-1.787</v>
      </c>
      <c r="R224" s="11" t="inlineStr">
        <is>
          <t>2026_H1</t>
        </is>
      </c>
    </row>
    <row r="225">
      <c r="A225" s="11" t="inlineStr">
        <is>
          <t>2026-01-21</t>
        </is>
      </c>
      <c r="B225" s="11" t="inlineStr">
        <is>
          <t>AUBANK</t>
        </is>
      </c>
      <c r="C225" s="11" t="inlineStr">
        <is>
          <t>PE</t>
        </is>
      </c>
      <c r="D225" s="11" t="inlineStr">
        <is>
          <t>mid</t>
        </is>
      </c>
      <c r="E225" s="12" t="n">
        <v>26.3</v>
      </c>
      <c r="F225" s="12" t="n">
        <v>19</v>
      </c>
      <c r="G225" s="12" t="n">
        <v>14.9</v>
      </c>
      <c r="H225" s="11" t="inlineStr">
        <is>
          <t>2026-01-27</t>
        </is>
      </c>
      <c r="I225" s="13" t="n">
        <v>960</v>
      </c>
      <c r="J225" s="5" t="n">
        <v>1000</v>
      </c>
      <c r="K225" s="14" t="n">
        <v>6.05</v>
      </c>
      <c r="L225" s="14" t="n">
        <v>3.15</v>
      </c>
      <c r="M225" s="5">
        <f>K225*J225</f>
        <v/>
      </c>
      <c r="N225" s="8">
        <f>(L225-K225)*J225</f>
        <v/>
      </c>
      <c r="O225" s="8" t="n">
        <v>-3139.98</v>
      </c>
      <c r="P225" s="7">
        <f>O225/M225*100</f>
        <v/>
      </c>
      <c r="Q225" s="9" t="n">
        <v>1.397</v>
      </c>
      <c r="R225" s="11" t="inlineStr">
        <is>
          <t>2026_H1</t>
        </is>
      </c>
    </row>
    <row r="226">
      <c r="A226" s="11" t="inlineStr">
        <is>
          <t>2026-01-21</t>
        </is>
      </c>
      <c r="B226" s="11" t="inlineStr">
        <is>
          <t>SRF</t>
        </is>
      </c>
      <c r="C226" s="11" t="inlineStr">
        <is>
          <t>PE</t>
        </is>
      </c>
      <c r="D226" s="11" t="inlineStr">
        <is>
          <t>mid</t>
        </is>
      </c>
      <c r="E226" s="12" t="n">
        <v>59.6</v>
      </c>
      <c r="F226" s="12" t="n">
        <v>11.5</v>
      </c>
      <c r="G226" s="12" t="n">
        <v>6.3</v>
      </c>
      <c r="H226" s="11" t="inlineStr">
        <is>
          <t>2026-01-27</t>
        </is>
      </c>
      <c r="I226" s="13" t="n">
        <v>2760</v>
      </c>
      <c r="J226" s="5" t="n">
        <v>200</v>
      </c>
      <c r="K226" s="14" t="n">
        <v>37.3</v>
      </c>
      <c r="L226" s="14" t="n">
        <v>89.59999999999999</v>
      </c>
      <c r="M226" s="5">
        <f>K226*J226</f>
        <v/>
      </c>
      <c r="N226" s="8">
        <f>(L226-K226)*J226</f>
        <v/>
      </c>
      <c r="O226" s="8" t="n">
        <v>9867.42</v>
      </c>
      <c r="P226" s="7">
        <f>O226/M226*100</f>
        <v/>
      </c>
      <c r="Q226" s="9" t="n">
        <v>4.485</v>
      </c>
      <c r="R226" s="11" t="inlineStr">
        <is>
          <t>2026_H1</t>
        </is>
      </c>
    </row>
    <row r="227">
      <c r="A227" s="11" t="inlineStr">
        <is>
          <t>2026-01-22</t>
        </is>
      </c>
      <c r="B227" s="11" t="inlineStr">
        <is>
          <t>DRREDDY</t>
        </is>
      </c>
      <c r="C227" s="11" t="inlineStr">
        <is>
          <t>CE</t>
        </is>
      </c>
      <c r="D227" s="11" t="inlineStr">
        <is>
          <t>large</t>
        </is>
      </c>
      <c r="E227" s="12" t="n">
        <v>-15.3</v>
      </c>
      <c r="F227" s="12" t="n">
        <v>-11</v>
      </c>
      <c r="G227" s="12" t="n">
        <v>4.4</v>
      </c>
      <c r="H227" s="11" t="inlineStr">
        <is>
          <t>2026-01-27</t>
        </is>
      </c>
      <c r="I227" s="13" t="n">
        <v>1220</v>
      </c>
      <c r="J227" s="5" t="n">
        <v>625</v>
      </c>
      <c r="K227" s="14" t="n">
        <v>10.05</v>
      </c>
      <c r="L227" s="14" t="n">
        <v>14.25</v>
      </c>
      <c r="M227" s="5">
        <f>K227*J227</f>
        <v/>
      </c>
      <c r="N227" s="8">
        <f>(L227-K227)*J227</f>
        <v/>
      </c>
      <c r="O227" s="8" t="n">
        <v>2405.99</v>
      </c>
      <c r="P227" s="7">
        <f>O227/M227*100</f>
        <v/>
      </c>
      <c r="Q227" s="9" t="n">
        <v>1.883</v>
      </c>
      <c r="R227" s="11" t="inlineStr">
        <is>
          <t>2026_H1</t>
        </is>
      </c>
    </row>
    <row r="228">
      <c r="A228" s="11" t="inlineStr">
        <is>
          <t>2026-01-22</t>
        </is>
      </c>
      <c r="B228" s="11" t="inlineStr">
        <is>
          <t>HINDPETRO</t>
        </is>
      </c>
      <c r="C228" s="11" t="inlineStr">
        <is>
          <t>PE</t>
        </is>
      </c>
      <c r="D228" s="11" t="inlineStr">
        <is>
          <t>mid</t>
        </is>
      </c>
      <c r="E228" s="12" t="n">
        <v>57.7</v>
      </c>
      <c r="F228" s="12" t="n">
        <v>3.9</v>
      </c>
      <c r="G228" s="12" t="n">
        <v>4.7</v>
      </c>
      <c r="H228" s="11" t="inlineStr">
        <is>
          <t>2026-01-27</t>
        </is>
      </c>
      <c r="I228" s="13" t="n">
        <v>415</v>
      </c>
      <c r="J228" s="5" t="n">
        <v>2025</v>
      </c>
      <c r="K228" s="14" t="n">
        <v>2.05</v>
      </c>
      <c r="L228" s="14" t="n">
        <v>1.05</v>
      </c>
      <c r="M228" s="5">
        <f>K228*J228</f>
        <v/>
      </c>
      <c r="N228" s="8">
        <f>(L228-K228)*J228</f>
        <v/>
      </c>
      <c r="O228" s="8" t="n">
        <v>-2203.7</v>
      </c>
      <c r="P228" s="7">
        <f>O228/M228*100</f>
        <v/>
      </c>
      <c r="Q228" s="9" t="n">
        <v>0.465</v>
      </c>
      <c r="R228" s="11" t="inlineStr">
        <is>
          <t>2026_H1</t>
        </is>
      </c>
    </row>
    <row r="229">
      <c r="A229" s="11" t="inlineStr">
        <is>
          <t>2026-01-22</t>
        </is>
      </c>
      <c r="B229" s="11" t="inlineStr">
        <is>
          <t>OFSS</t>
        </is>
      </c>
      <c r="C229" s="11" t="inlineStr">
        <is>
          <t>PE</t>
        </is>
      </c>
      <c r="D229" s="11" t="inlineStr">
        <is>
          <t>mid</t>
        </is>
      </c>
      <c r="E229" s="12" t="n">
        <v>12.6</v>
      </c>
      <c r="F229" s="12" t="n">
        <v>11.6</v>
      </c>
      <c r="G229" s="12" t="n">
        <v>14.6</v>
      </c>
      <c r="H229" s="11" t="inlineStr">
        <is>
          <t>2026-01-27</t>
        </is>
      </c>
      <c r="I229" s="13" t="n">
        <v>7700</v>
      </c>
      <c r="J229" s="5" t="n">
        <v>75</v>
      </c>
      <c r="K229" s="14" t="n">
        <v>73.55</v>
      </c>
      <c r="L229" s="14" t="n">
        <v>36.85</v>
      </c>
      <c r="M229" s="5">
        <f>K229*J229</f>
        <v/>
      </c>
      <c r="N229" s="8">
        <f>(L229-K229)*J229</f>
        <v/>
      </c>
      <c r="O229" s="8" t="n">
        <v>-2973.1</v>
      </c>
      <c r="P229" s="7">
        <f>O229/M229*100</f>
        <v/>
      </c>
      <c r="Q229" s="9" t="n">
        <v>-0.663</v>
      </c>
      <c r="R229" s="11" t="inlineStr">
        <is>
          <t>2026_H1</t>
        </is>
      </c>
    </row>
    <row r="230">
      <c r="A230" s="11" t="inlineStr">
        <is>
          <t>2026-01-22</t>
        </is>
      </c>
      <c r="B230" s="11" t="inlineStr">
        <is>
          <t>WAAREEENER</t>
        </is>
      </c>
      <c r="C230" s="11" t="inlineStr">
        <is>
          <t>PE</t>
        </is>
      </c>
      <c r="D230" s="11" t="inlineStr">
        <is>
          <t>mid</t>
        </is>
      </c>
      <c r="E230" s="12" t="n">
        <v>118.4</v>
      </c>
      <c r="F230" s="12" t="n">
        <v>26</v>
      </c>
      <c r="G230" s="12" t="n">
        <v>118.8</v>
      </c>
      <c r="H230" s="11" t="inlineStr">
        <is>
          <t>2026-01-27</t>
        </is>
      </c>
      <c r="I230" s="13" t="n">
        <v>2400</v>
      </c>
      <c r="J230" s="5" t="n">
        <v>175</v>
      </c>
      <c r="K230" s="14" t="n">
        <v>20.05</v>
      </c>
      <c r="L230" s="14" t="n">
        <v>4</v>
      </c>
      <c r="M230" s="5">
        <f>K230*J230</f>
        <v/>
      </c>
      <c r="N230" s="8">
        <f>(L230-K230)*J230</f>
        <v/>
      </c>
      <c r="O230" s="8" t="n">
        <v>-2943.06</v>
      </c>
      <c r="P230" s="7">
        <f>O230/M230*100</f>
        <v/>
      </c>
      <c r="Q230" s="9" t="n">
        <v>-2.99</v>
      </c>
      <c r="R230" s="11" t="inlineStr">
        <is>
          <t>2026_H1</t>
        </is>
      </c>
    </row>
    <row r="231">
      <c r="A231" s="11" t="inlineStr">
        <is>
          <t>2026-01-23</t>
        </is>
      </c>
      <c r="B231" s="11" t="inlineStr">
        <is>
          <t>APLAPOLLO</t>
        </is>
      </c>
      <c r="C231" s="11" t="inlineStr">
        <is>
          <t>PE</t>
        </is>
      </c>
      <c r="D231" s="11" t="inlineStr">
        <is>
          <t>mid</t>
        </is>
      </c>
      <c r="E231" s="12" t="n">
        <v>42.9</v>
      </c>
      <c r="F231" s="12" t="n">
        <v>2.8</v>
      </c>
      <c r="G231" s="12" t="n">
        <v>7</v>
      </c>
      <c r="H231" s="11" t="inlineStr">
        <is>
          <t>2026-02-24</t>
        </is>
      </c>
      <c r="I231" s="13" t="n">
        <v>1920</v>
      </c>
      <c r="J231" s="5" t="n">
        <v>350</v>
      </c>
      <c r="K231" s="14" t="n">
        <v>19.15</v>
      </c>
      <c r="L231" s="14" t="n">
        <v>31.1</v>
      </c>
      <c r="M231" s="5">
        <f>K231*J231</f>
        <v/>
      </c>
      <c r="N231" s="8">
        <f>(L231-K231)*J231</f>
        <v/>
      </c>
      <c r="O231" s="8" t="n">
        <v>3759.62</v>
      </c>
      <c r="P231" s="7">
        <f>O231/M231*100</f>
        <v/>
      </c>
      <c r="Q231" s="9" t="n">
        <v>-0.005</v>
      </c>
      <c r="R231" s="11" t="inlineStr">
        <is>
          <t>2026_H1</t>
        </is>
      </c>
    </row>
    <row r="232">
      <c r="A232" s="11" t="inlineStr">
        <is>
          <t>2026-01-23</t>
        </is>
      </c>
      <c r="B232" s="11" t="inlineStr">
        <is>
          <t>DLF</t>
        </is>
      </c>
      <c r="C232" s="11" t="inlineStr">
        <is>
          <t>PE</t>
        </is>
      </c>
      <c r="D232" s="11" t="inlineStr">
        <is>
          <t>large</t>
        </is>
      </c>
      <c r="E232" s="12" t="n">
        <v>13.7</v>
      </c>
      <c r="F232" s="12" t="n">
        <v>2</v>
      </c>
      <c r="G232" s="12" t="n">
        <v>32.2</v>
      </c>
      <c r="H232" s="11" t="inlineStr">
        <is>
          <t>2026-02-24</t>
        </is>
      </c>
      <c r="I232" s="13" t="n">
        <v>570</v>
      </c>
      <c r="J232" s="5" t="n">
        <v>825</v>
      </c>
      <c r="K232" s="14" t="n">
        <v>7.35</v>
      </c>
      <c r="L232" s="14" t="n">
        <v>16.5</v>
      </c>
      <c r="M232" s="5">
        <f>K232*J232</f>
        <v/>
      </c>
      <c r="N232" s="8">
        <f>(L232-K232)*J232</f>
        <v/>
      </c>
      <c r="O232" s="8" t="n">
        <v>7275.92</v>
      </c>
      <c r="P232" s="7">
        <f>O232/M232*100</f>
        <v/>
      </c>
      <c r="Q232" s="9" t="n">
        <v>5.089</v>
      </c>
      <c r="R232" s="11" t="inlineStr">
        <is>
          <t>2026_H1</t>
        </is>
      </c>
    </row>
    <row r="233">
      <c r="A233" s="11" t="inlineStr">
        <is>
          <t>2026-01-23</t>
        </is>
      </c>
      <c r="B233" s="11" t="inlineStr">
        <is>
          <t>PREMIERENE</t>
        </is>
      </c>
      <c r="C233" s="11" t="inlineStr">
        <is>
          <t>PE</t>
        </is>
      </c>
      <c r="D233" s="11" t="inlineStr">
        <is>
          <t>mid</t>
        </is>
      </c>
      <c r="E233" s="12" t="n">
        <v>53.4</v>
      </c>
      <c r="F233" s="12" t="n">
        <v>10.8</v>
      </c>
      <c r="G233" s="12" t="n">
        <v>13</v>
      </c>
      <c r="H233" s="11" t="inlineStr">
        <is>
          <t>2026-02-24</t>
        </is>
      </c>
      <c r="I233" s="13" t="n">
        <v>600</v>
      </c>
      <c r="J233" s="5" t="n">
        <v>575</v>
      </c>
      <c r="K233" s="14" t="n">
        <v>5.6</v>
      </c>
      <c r="L233" s="14" t="n">
        <v>14.85</v>
      </c>
      <c r="M233" s="5">
        <f>K233*J233</f>
        <v/>
      </c>
      <c r="N233" s="8">
        <f>(L233-K233)*J233</f>
        <v/>
      </c>
      <c r="O233" s="8" t="n">
        <v>5018.52</v>
      </c>
      <c r="P233" s="7">
        <f>O233/M233*100</f>
        <v/>
      </c>
      <c r="Q233" s="9" t="n">
        <v>5.779</v>
      </c>
      <c r="R233" s="11" t="inlineStr">
        <is>
          <t>2026_H1</t>
        </is>
      </c>
    </row>
    <row r="234">
      <c r="A234" s="11" t="inlineStr">
        <is>
          <t>2026-01-27</t>
        </is>
      </c>
      <c r="B234" s="11" t="inlineStr">
        <is>
          <t>BPCL</t>
        </is>
      </c>
      <c r="C234" s="11" t="inlineStr">
        <is>
          <t>PE</t>
        </is>
      </c>
      <c r="D234" s="11" t="inlineStr">
        <is>
          <t>large</t>
        </is>
      </c>
      <c r="E234" s="12" t="n">
        <v>88.90000000000001</v>
      </c>
      <c r="F234" s="12" t="n">
        <v>16.1</v>
      </c>
      <c r="G234" s="12" t="n">
        <v>7.1</v>
      </c>
      <c r="H234" s="11" t="inlineStr">
        <is>
          <t>2026-02-24</t>
        </is>
      </c>
      <c r="I234" s="13" t="n">
        <v>335</v>
      </c>
      <c r="J234" s="5" t="n">
        <v>1975</v>
      </c>
      <c r="K234" s="14" t="n">
        <v>3.95</v>
      </c>
      <c r="L234" s="14" t="n">
        <v>4.1</v>
      </c>
      <c r="M234" s="5">
        <f>K234*J234</f>
        <v/>
      </c>
      <c r="N234" s="8">
        <f>(L234-K234)*J234</f>
        <v/>
      </c>
      <c r="O234" s="8" t="n">
        <v>70.98999999999999</v>
      </c>
      <c r="P234" s="7">
        <f>O234/M234*100</f>
        <v/>
      </c>
      <c r="Q234" s="9" t="n">
        <v>0.168</v>
      </c>
      <c r="R234" s="11" t="inlineStr">
        <is>
          <t>2026_H1</t>
        </is>
      </c>
    </row>
    <row r="235">
      <c r="A235" s="11" t="inlineStr">
        <is>
          <t>2026-01-27</t>
        </is>
      </c>
      <c r="B235" s="11" t="inlineStr">
        <is>
          <t>CIPLA</t>
        </is>
      </c>
      <c r="C235" s="11" t="inlineStr">
        <is>
          <t>CE</t>
        </is>
      </c>
      <c r="D235" s="11" t="inlineStr">
        <is>
          <t>large</t>
        </is>
      </c>
      <c r="E235" s="12" t="n">
        <v>-57.2</v>
      </c>
      <c r="F235" s="12" t="n">
        <v>-50.2</v>
      </c>
      <c r="G235" s="12" t="n">
        <v>0</v>
      </c>
      <c r="H235" s="11" t="inlineStr">
        <is>
          <t>2026-02-24</t>
        </is>
      </c>
      <c r="I235" s="13" t="n">
        <v>1360</v>
      </c>
      <c r="J235" s="5" t="n">
        <v>375</v>
      </c>
      <c r="K235" s="14" t="n">
        <v>17.45</v>
      </c>
      <c r="L235" s="14" t="n">
        <v>17.3</v>
      </c>
      <c r="M235" s="5">
        <f>K235*J235</f>
        <v/>
      </c>
      <c r="N235" s="8">
        <f>(L235-K235)*J235</f>
        <v/>
      </c>
      <c r="O235" s="8" t="n">
        <v>-249.18</v>
      </c>
      <c r="P235" s="7">
        <f>O235/M235*100</f>
        <v/>
      </c>
      <c r="Q235" s="9" t="n">
        <v>1</v>
      </c>
      <c r="R235" s="11" t="inlineStr">
        <is>
          <t>2026_H1</t>
        </is>
      </c>
    </row>
    <row r="236">
      <c r="A236" s="11" t="inlineStr">
        <is>
          <t>2026-01-27</t>
        </is>
      </c>
      <c r="B236" s="11" t="inlineStr">
        <is>
          <t>JSWSTEEL</t>
        </is>
      </c>
      <c r="C236" s="11" t="inlineStr">
        <is>
          <t>PE</t>
        </is>
      </c>
      <c r="D236" s="11" t="inlineStr">
        <is>
          <t>large</t>
        </is>
      </c>
      <c r="E236" s="12" t="n">
        <v>235.2</v>
      </c>
      <c r="F236" s="12" t="n">
        <v>46.4</v>
      </c>
      <c r="G236" s="12" t="n">
        <v>11.1</v>
      </c>
      <c r="H236" s="11" t="inlineStr">
        <is>
          <t>2026-02-24</t>
        </is>
      </c>
      <c r="I236" s="13" t="n">
        <v>1120</v>
      </c>
      <c r="J236" s="5" t="n">
        <v>675</v>
      </c>
      <c r="K236" s="14" t="n">
        <v>8.4</v>
      </c>
      <c r="L236" s="14" t="n">
        <v>7.2</v>
      </c>
      <c r="M236" s="5">
        <f>K236*J236</f>
        <v/>
      </c>
      <c r="N236" s="8">
        <f>(L236-K236)*J236</f>
        <v/>
      </c>
      <c r="O236" s="8" t="n">
        <v>-974.38</v>
      </c>
      <c r="P236" s="7">
        <f>O236/M236*100</f>
        <v/>
      </c>
      <c r="Q236" s="9" t="n">
        <v>-2.089</v>
      </c>
      <c r="R236" s="11" t="inlineStr">
        <is>
          <t>2026_H1</t>
        </is>
      </c>
    </row>
    <row r="237">
      <c r="A237" s="11" t="inlineStr">
        <is>
          <t>2026-01-27</t>
        </is>
      </c>
      <c r="B237" s="11" t="inlineStr">
        <is>
          <t>ULTRACEMCO</t>
        </is>
      </c>
      <c r="C237" s="11" t="inlineStr">
        <is>
          <t>PE</t>
        </is>
      </c>
      <c r="D237" s="11" t="inlineStr">
        <is>
          <t>large</t>
        </is>
      </c>
      <c r="E237" s="12" t="n">
        <v>17.4</v>
      </c>
      <c r="F237" s="12" t="n">
        <v>39.7</v>
      </c>
      <c r="G237" s="12" t="n">
        <v>27</v>
      </c>
      <c r="H237" s="11" t="inlineStr">
        <is>
          <t>2026-02-24</t>
        </is>
      </c>
      <c r="I237" s="13" t="n">
        <v>12200</v>
      </c>
      <c r="J237" s="5" t="n">
        <v>50</v>
      </c>
      <c r="K237" s="14" t="n">
        <v>154.9</v>
      </c>
      <c r="L237" s="14" t="n">
        <v>161.1</v>
      </c>
      <c r="M237" s="5">
        <f>K237*J237</f>
        <v/>
      </c>
      <c r="N237" s="8">
        <f>(L237-K237)*J237</f>
        <v/>
      </c>
      <c r="O237" s="8" t="n">
        <v>85.84</v>
      </c>
      <c r="P237" s="7">
        <f>O237/M237*100</f>
        <v/>
      </c>
      <c r="Q237" s="9" t="n">
        <v>-0.359</v>
      </c>
      <c r="R237" s="11" t="inlineStr">
        <is>
          <t>2026_H1</t>
        </is>
      </c>
    </row>
    <row r="238">
      <c r="A238" s="11" t="inlineStr">
        <is>
          <t>2026-01-29</t>
        </is>
      </c>
      <c r="B238" s="11" t="inlineStr">
        <is>
          <t>BEL</t>
        </is>
      </c>
      <c r="C238" s="11" t="inlineStr">
        <is>
          <t>PE</t>
        </is>
      </c>
      <c r="D238" s="11" t="inlineStr">
        <is>
          <t>large</t>
        </is>
      </c>
      <c r="E238" s="12" t="n">
        <v>20.4</v>
      </c>
      <c r="F238" s="12" t="n">
        <v>22.7</v>
      </c>
      <c r="G238" s="12" t="n">
        <v>24</v>
      </c>
      <c r="H238" s="11" t="inlineStr">
        <is>
          <t>2026-02-24</t>
        </is>
      </c>
      <c r="I238" s="13" t="n">
        <v>420</v>
      </c>
      <c r="J238" s="5" t="n">
        <v>1425</v>
      </c>
      <c r="K238" s="14" t="n">
        <v>5.4</v>
      </c>
      <c r="L238" s="14" t="n">
        <v>6.45</v>
      </c>
      <c r="M238" s="5">
        <f>K238*J238</f>
        <v/>
      </c>
      <c r="N238" s="8">
        <f>(L238-K238)*J238</f>
        <v/>
      </c>
      <c r="O238" s="8" t="n">
        <v>1259.07</v>
      </c>
      <c r="P238" s="7">
        <f>O238/M238*100</f>
        <v/>
      </c>
      <c r="Q238" s="9" t="n">
        <v>2.146</v>
      </c>
      <c r="R238" s="11" t="inlineStr">
        <is>
          <t>2026_H1</t>
        </is>
      </c>
    </row>
    <row r="239">
      <c r="A239" s="11" t="inlineStr">
        <is>
          <t>2026-01-29</t>
        </is>
      </c>
      <c r="B239" s="11" t="inlineStr">
        <is>
          <t>SBICARD</t>
        </is>
      </c>
      <c r="C239" s="11" t="inlineStr">
        <is>
          <t>PE</t>
        </is>
      </c>
      <c r="D239" s="11" t="inlineStr">
        <is>
          <t>mid</t>
        </is>
      </c>
      <c r="E239" s="12" t="n">
        <v>45.2</v>
      </c>
      <c r="F239" s="12" t="n">
        <v>25.2</v>
      </c>
      <c r="G239" s="12" t="n">
        <v>11</v>
      </c>
      <c r="H239" s="11" t="inlineStr">
        <is>
          <t>2026-02-24</t>
        </is>
      </c>
      <c r="I239" s="13" t="n">
        <v>720</v>
      </c>
      <c r="J239" s="5" t="n">
        <v>800</v>
      </c>
      <c r="K239" s="14" t="n">
        <v>8.15</v>
      </c>
      <c r="L239" s="14" t="n">
        <v>7.5</v>
      </c>
      <c r="M239" s="5">
        <f>K239*J239</f>
        <v/>
      </c>
      <c r="N239" s="8">
        <f>(L239-K239)*J239</f>
        <v/>
      </c>
      <c r="O239" s="8" t="n">
        <v>-832.0700000000001</v>
      </c>
      <c r="P239" s="7">
        <f>O239/M239*100</f>
        <v/>
      </c>
      <c r="Q239" s="9" t="n">
        <v>1.359</v>
      </c>
      <c r="R239" s="11" t="inlineStr">
        <is>
          <t>2026_H1</t>
        </is>
      </c>
    </row>
    <row r="240">
      <c r="A240" s="11" t="inlineStr">
        <is>
          <t>2026-01-29</t>
        </is>
      </c>
      <c r="B240" s="11" t="inlineStr">
        <is>
          <t>TVSMOTOR</t>
        </is>
      </c>
      <c r="C240" s="11" t="inlineStr">
        <is>
          <t>PE</t>
        </is>
      </c>
      <c r="D240" s="11" t="inlineStr">
        <is>
          <t>large</t>
        </is>
      </c>
      <c r="E240" s="12" t="n">
        <v>46.3</v>
      </c>
      <c r="F240" s="12" t="n">
        <v>7</v>
      </c>
      <c r="G240" s="12" t="n">
        <v>32.5</v>
      </c>
      <c r="H240" s="11" t="inlineStr">
        <is>
          <t>2026-02-24</t>
        </is>
      </c>
      <c r="I240" s="13" t="n">
        <v>3560</v>
      </c>
      <c r="J240" s="5" t="n">
        <v>175</v>
      </c>
      <c r="K240" s="14" t="n">
        <v>38.6</v>
      </c>
      <c r="L240" s="14" t="n">
        <v>56.9</v>
      </c>
      <c r="M240" s="5">
        <f>K240*J240</f>
        <v/>
      </c>
      <c r="N240" s="8">
        <f>(L240-K240)*J240</f>
        <v/>
      </c>
      <c r="O240" s="8" t="n">
        <v>2966</v>
      </c>
      <c r="P240" s="7">
        <f>O240/M240*100</f>
        <v/>
      </c>
      <c r="Q240" s="9" t="n">
        <v>1.665</v>
      </c>
      <c r="R240" s="11" t="inlineStr">
        <is>
          <t>2026_H1</t>
        </is>
      </c>
    </row>
    <row r="241">
      <c r="A241" s="11" t="inlineStr">
        <is>
          <t>2026-01-30</t>
        </is>
      </c>
      <c r="B241" s="11" t="inlineStr">
        <is>
          <t>BLUESTARCO</t>
        </is>
      </c>
      <c r="C241" s="11" t="inlineStr">
        <is>
          <t>CE</t>
        </is>
      </c>
      <c r="D241" s="11" t="inlineStr">
        <is>
          <t>mid</t>
        </is>
      </c>
      <c r="E241" s="12" t="n">
        <v>-39.2</v>
      </c>
      <c r="F241" s="12" t="n">
        <v>-18.5</v>
      </c>
      <c r="G241" s="12" t="n">
        <v>4.2</v>
      </c>
      <c r="H241" s="11" t="inlineStr">
        <is>
          <t>2026-02-24</t>
        </is>
      </c>
      <c r="I241" s="13" t="n">
        <v>1860</v>
      </c>
      <c r="J241" s="5" t="n">
        <v>325</v>
      </c>
      <c r="K241" s="14" t="n">
        <v>22.55</v>
      </c>
      <c r="L241" s="14" t="n">
        <v>48.85</v>
      </c>
      <c r="M241" s="5">
        <f>K241*J241</f>
        <v/>
      </c>
      <c r="N241" s="8">
        <f>(L241-K241)*J241</f>
        <v/>
      </c>
      <c r="O241" s="8" t="n">
        <v>8002.41</v>
      </c>
      <c r="P241" s="7">
        <f>O241/M241*100</f>
        <v/>
      </c>
      <c r="Q241" s="9" t="n">
        <v>6.876</v>
      </c>
      <c r="R241" s="11" t="inlineStr">
        <is>
          <t>2026_H1</t>
        </is>
      </c>
    </row>
    <row r="242">
      <c r="A242" s="11" t="inlineStr">
        <is>
          <t>2026-01-30</t>
        </is>
      </c>
      <c r="B242" s="11" t="inlineStr">
        <is>
          <t>KPITTECH</t>
        </is>
      </c>
      <c r="C242" s="11" t="inlineStr">
        <is>
          <t>CE</t>
        </is>
      </c>
      <c r="D242" s="11" t="inlineStr">
        <is>
          <t>mid</t>
        </is>
      </c>
      <c r="E242" s="12" t="n">
        <v>-28.6</v>
      </c>
      <c r="F242" s="12" t="n">
        <v>-21.1</v>
      </c>
      <c r="G242" s="12" t="n">
        <v>9.4</v>
      </c>
      <c r="H242" s="11" t="inlineStr">
        <is>
          <t>2026-02-24</t>
        </is>
      </c>
      <c r="I242" s="13" t="n">
        <v>1080</v>
      </c>
      <c r="J242" s="5" t="n">
        <v>425</v>
      </c>
      <c r="K242" s="14" t="n">
        <v>17.8</v>
      </c>
      <c r="L242" s="14" t="n">
        <v>18.95</v>
      </c>
      <c r="M242" s="5">
        <f>K242*J242</f>
        <v/>
      </c>
      <c r="N242" s="8">
        <f>(L242-K242)*J242</f>
        <v/>
      </c>
      <c r="O242" s="8" t="n">
        <v>110.28</v>
      </c>
      <c r="P242" s="7">
        <f>O242/M242*100</f>
        <v/>
      </c>
      <c r="Q242" s="9" t="n">
        <v>0.569</v>
      </c>
      <c r="R242" s="11" t="inlineStr">
        <is>
          <t>2026_H1</t>
        </is>
      </c>
    </row>
    <row r="243">
      <c r="A243" s="11" t="inlineStr">
        <is>
          <t>2026-02-01</t>
        </is>
      </c>
      <c r="B243" s="11" t="inlineStr">
        <is>
          <t>AMBUJACEM</t>
        </is>
      </c>
      <c r="C243" s="11" t="inlineStr">
        <is>
          <t>CE</t>
        </is>
      </c>
      <c r="D243" s="11" t="inlineStr">
        <is>
          <t>large</t>
        </is>
      </c>
      <c r="E243" s="12" t="n">
        <v>-86</v>
      </c>
      <c r="F243" s="12" t="n">
        <v>-84.09999999999999</v>
      </c>
      <c r="G243" s="12" t="n">
        <v>10.2</v>
      </c>
      <c r="H243" s="11" t="inlineStr">
        <is>
          <t>2026-02-24</t>
        </is>
      </c>
      <c r="I243" s="13" t="n">
        <v>535</v>
      </c>
      <c r="J243" s="5" t="n">
        <v>1050</v>
      </c>
      <c r="K243" s="14" t="n">
        <v>7.05</v>
      </c>
      <c r="L243" s="14" t="n">
        <v>3.25</v>
      </c>
      <c r="M243" s="5">
        <f>K243*J243</f>
        <v/>
      </c>
      <c r="N243" s="8">
        <f>(L243-K243)*J243</f>
        <v/>
      </c>
      <c r="O243" s="8" t="n">
        <v>-4155.23</v>
      </c>
      <c r="P243" s="7">
        <f>O243/M243*100</f>
        <v/>
      </c>
      <c r="Q243" s="9" t="n">
        <v>-2.671</v>
      </c>
      <c r="R243" s="11" t="inlineStr">
        <is>
          <t>2026_H1</t>
        </is>
      </c>
    </row>
    <row r="244">
      <c r="A244" s="11" t="inlineStr">
        <is>
          <t>2026-02-01</t>
        </is>
      </c>
      <c r="B244" s="11" t="inlineStr">
        <is>
          <t>BAJAJ-AUTO</t>
        </is>
      </c>
      <c r="C244" s="11" t="inlineStr">
        <is>
          <t>PE</t>
        </is>
      </c>
      <c r="D244" s="11" t="inlineStr">
        <is>
          <t>large</t>
        </is>
      </c>
      <c r="E244" s="12" t="n">
        <v>25.2</v>
      </c>
      <c r="F244" s="12" t="n">
        <v>29.6</v>
      </c>
      <c r="G244" s="12" t="n">
        <v>23.1</v>
      </c>
      <c r="H244" s="11" t="inlineStr">
        <is>
          <t>2026-02-24</t>
        </is>
      </c>
      <c r="I244" s="13" t="n">
        <v>9200</v>
      </c>
      <c r="J244" s="5" t="n">
        <v>75</v>
      </c>
      <c r="K244" s="14" t="n">
        <v>86.09999999999999</v>
      </c>
      <c r="L244" s="14" t="n">
        <v>127.05</v>
      </c>
      <c r="M244" s="5">
        <f>K244*J244</f>
        <v/>
      </c>
      <c r="N244" s="8">
        <f>(L244-K244)*J244</f>
        <v/>
      </c>
      <c r="O244" s="8" t="n">
        <v>2842.99</v>
      </c>
      <c r="P244" s="7">
        <f>O244/M244*100</f>
        <v/>
      </c>
      <c r="Q244" s="9" t="n">
        <v>2.952</v>
      </c>
      <c r="R244" s="11" t="inlineStr">
        <is>
          <t>2026_H1</t>
        </is>
      </c>
    </row>
    <row r="245">
      <c r="A245" s="11" t="inlineStr">
        <is>
          <t>2026-02-01</t>
        </is>
      </c>
      <c r="B245" s="11" t="inlineStr">
        <is>
          <t>BDL</t>
        </is>
      </c>
      <c r="C245" s="11" t="inlineStr">
        <is>
          <t>CE</t>
        </is>
      </c>
      <c r="D245" s="11" t="inlineStr">
        <is>
          <t>mid</t>
        </is>
      </c>
      <c r="E245" s="12" t="n">
        <v>-50.4</v>
      </c>
      <c r="F245" s="12" t="n">
        <v>-66.2</v>
      </c>
      <c r="G245" s="12" t="n">
        <v>-31.9</v>
      </c>
      <c r="H245" s="11" t="inlineStr">
        <is>
          <t>2026-02-24</t>
        </is>
      </c>
      <c r="I245" s="13" t="n">
        <v>1680</v>
      </c>
      <c r="J245" s="5" t="n">
        <v>350</v>
      </c>
      <c r="K245" s="14" t="n">
        <v>22.1</v>
      </c>
      <c r="L245" s="14" t="n">
        <v>7.35</v>
      </c>
      <c r="M245" s="5">
        <f>K245*J245</f>
        <v/>
      </c>
      <c r="N245" s="8">
        <f>(L245-K245)*J245</f>
        <v/>
      </c>
      <c r="O245" s="8" t="n">
        <v>-5424.27</v>
      </c>
      <c r="P245" s="7">
        <f>O245/M245*100</f>
        <v/>
      </c>
      <c r="Q245" s="9" t="n">
        <v>-8.032999999999999</v>
      </c>
      <c r="R245" s="11" t="inlineStr">
        <is>
          <t>2026_H1</t>
        </is>
      </c>
    </row>
    <row r="246">
      <c r="A246" s="11" t="inlineStr">
        <is>
          <t>2026-02-01</t>
        </is>
      </c>
      <c r="B246" s="11" t="inlineStr">
        <is>
          <t>CHOLAFIN</t>
        </is>
      </c>
      <c r="C246" s="11" t="inlineStr">
        <is>
          <t>PE</t>
        </is>
      </c>
      <c r="D246" s="11" t="inlineStr">
        <is>
          <t>large</t>
        </is>
      </c>
      <c r="E246" s="12" t="n">
        <v>18.5</v>
      </c>
      <c r="F246" s="12" t="n">
        <v>11.2</v>
      </c>
      <c r="G246" s="12" t="n">
        <v>17.3</v>
      </c>
      <c r="H246" s="11" t="inlineStr">
        <is>
          <t>2026-02-24</t>
        </is>
      </c>
      <c r="I246" s="13" t="n">
        <v>1440</v>
      </c>
      <c r="J246" s="5" t="n">
        <v>625</v>
      </c>
      <c r="K246" s="14" t="n">
        <v>6.95</v>
      </c>
      <c r="L246" s="14" t="n">
        <v>12.8</v>
      </c>
      <c r="M246" s="5">
        <f>K246*J246</f>
        <v/>
      </c>
      <c r="N246" s="8">
        <f>(L246-K246)*J246</f>
        <v/>
      </c>
      <c r="O246" s="8" t="n">
        <v>3468.3</v>
      </c>
      <c r="P246" s="7">
        <f>O246/M246*100</f>
        <v/>
      </c>
      <c r="Q246" s="9" t="n">
        <v>2.379</v>
      </c>
      <c r="R246" s="11" t="inlineStr">
        <is>
          <t>2026_H1</t>
        </is>
      </c>
    </row>
    <row r="247">
      <c r="A247" s="11" t="inlineStr">
        <is>
          <t>2026-02-01</t>
        </is>
      </c>
      <c r="B247" s="11" t="inlineStr">
        <is>
          <t>JINDALSTEL</t>
        </is>
      </c>
      <c r="C247" s="11" t="inlineStr">
        <is>
          <t>CE</t>
        </is>
      </c>
      <c r="D247" s="11" t="inlineStr">
        <is>
          <t>mid</t>
        </is>
      </c>
      <c r="E247" s="12" t="n">
        <v>-80.2</v>
      </c>
      <c r="F247" s="12" t="n">
        <v>-70.3</v>
      </c>
      <c r="G247" s="12" t="n">
        <v>10.9</v>
      </c>
      <c r="H247" s="11" t="inlineStr">
        <is>
          <t>2026-02-24</t>
        </is>
      </c>
      <c r="I247" s="13" t="n">
        <v>1210</v>
      </c>
      <c r="J247" s="5" t="n">
        <v>625</v>
      </c>
      <c r="K247" s="14" t="n">
        <v>11.05</v>
      </c>
      <c r="L247" s="14" t="n">
        <v>6.9</v>
      </c>
      <c r="M247" s="5">
        <f>K247*J247</f>
        <v/>
      </c>
      <c r="N247" s="8">
        <f>(L247-K247)*J247</f>
        <v/>
      </c>
      <c r="O247" s="8" t="n">
        <v>-2876.72</v>
      </c>
      <c r="P247" s="7">
        <f>O247/M247*100</f>
        <v/>
      </c>
      <c r="Q247" s="9" t="n">
        <v>0.364</v>
      </c>
      <c r="R247" s="11" t="inlineStr">
        <is>
          <t>2026_H1</t>
        </is>
      </c>
    </row>
    <row r="248">
      <c r="A248" s="11" t="inlineStr">
        <is>
          <t>2026-02-01</t>
        </is>
      </c>
      <c r="B248" s="11" t="inlineStr">
        <is>
          <t>NESTLEIND</t>
        </is>
      </c>
      <c r="C248" s="11" t="inlineStr">
        <is>
          <t>PE</t>
        </is>
      </c>
      <c r="D248" s="11" t="inlineStr">
        <is>
          <t>large</t>
        </is>
      </c>
      <c r="E248" s="12" t="n">
        <v>45.1</v>
      </c>
      <c r="F248" s="12" t="n">
        <v>34.3</v>
      </c>
      <c r="G248" s="12" t="n">
        <v>18.6</v>
      </c>
      <c r="H248" s="11" t="inlineStr">
        <is>
          <t>2026-02-24</t>
        </is>
      </c>
      <c r="I248" s="13" t="n">
        <v>1270</v>
      </c>
      <c r="J248" s="5" t="n">
        <v>500</v>
      </c>
      <c r="K248" s="14" t="n">
        <v>12.7</v>
      </c>
      <c r="L248" s="14" t="n">
        <v>31.9</v>
      </c>
      <c r="M248" s="5">
        <f>K248*J248</f>
        <v/>
      </c>
      <c r="N248" s="8">
        <f>(L248-K248)*J248</f>
        <v/>
      </c>
      <c r="O248" s="8" t="n">
        <v>9296.290000000001</v>
      </c>
      <c r="P248" s="7">
        <f>O248/M248*100</f>
        <v/>
      </c>
      <c r="Q248" s="9" t="n">
        <v>2.841</v>
      </c>
      <c r="R248" s="11" t="inlineStr">
        <is>
          <t>2026_H1</t>
        </is>
      </c>
    </row>
    <row r="249">
      <c r="A249" s="11" t="inlineStr">
        <is>
          <t>2026-02-01</t>
        </is>
      </c>
      <c r="B249" s="11" t="inlineStr">
        <is>
          <t>SUNPHARMA</t>
        </is>
      </c>
      <c r="C249" s="11" t="inlineStr">
        <is>
          <t>PE</t>
        </is>
      </c>
      <c r="D249" s="11" t="inlineStr">
        <is>
          <t>large</t>
        </is>
      </c>
      <c r="E249" s="12" t="n">
        <v>16.1</v>
      </c>
      <c r="F249" s="12" t="n">
        <v>8.199999999999999</v>
      </c>
      <c r="G249" s="12" t="n">
        <v>13.5</v>
      </c>
      <c r="H249" s="11" t="inlineStr">
        <is>
          <t>2026-02-24</t>
        </is>
      </c>
      <c r="I249" s="13" t="n">
        <v>1600</v>
      </c>
      <c r="J249" s="5" t="n">
        <v>350</v>
      </c>
      <c r="K249" s="14" t="n">
        <v>20.25</v>
      </c>
      <c r="L249" s="14" t="n">
        <v>32.55</v>
      </c>
      <c r="M249" s="5">
        <f>K249*J249</f>
        <v/>
      </c>
      <c r="N249" s="8">
        <f>(L249-K249)*J249</f>
        <v/>
      </c>
      <c r="O249" s="8" t="n">
        <v>4047.93</v>
      </c>
      <c r="P249" s="7">
        <f>O249/M249*100</f>
        <v/>
      </c>
      <c r="Q249" s="9" t="n">
        <v>1.823</v>
      </c>
      <c r="R249" s="11" t="inlineStr">
        <is>
          <t>2026_H1</t>
        </is>
      </c>
    </row>
    <row r="250">
      <c r="A250" s="11" t="inlineStr">
        <is>
          <t>2026-02-03</t>
        </is>
      </c>
      <c r="B250" s="11" t="inlineStr">
        <is>
          <t>INDUSTOWER</t>
        </is>
      </c>
      <c r="C250" s="11" t="inlineStr">
        <is>
          <t>CE</t>
        </is>
      </c>
      <c r="D250" s="11" t="inlineStr">
        <is>
          <t>mid</t>
        </is>
      </c>
      <c r="E250" s="12" t="n">
        <v>-55.6</v>
      </c>
      <c r="F250" s="12" t="n">
        <v>-3.4</v>
      </c>
      <c r="G250" s="12" t="n">
        <v>7.9</v>
      </c>
      <c r="H250" s="11" t="inlineStr">
        <is>
          <t>2026-02-24</t>
        </is>
      </c>
      <c r="I250" s="13" t="n">
        <v>470</v>
      </c>
      <c r="J250" s="5" t="n">
        <v>1700</v>
      </c>
      <c r="K250" s="14" t="n">
        <v>4.05</v>
      </c>
      <c r="L250" s="14" t="n">
        <v>4</v>
      </c>
      <c r="M250" s="5">
        <f>K250*J250</f>
        <v/>
      </c>
      <c r="N250" s="8">
        <f>(L250-K250)*J250</f>
        <v/>
      </c>
      <c r="O250" s="8" t="n">
        <v>-422.08</v>
      </c>
      <c r="P250" s="7">
        <f>O250/M250*100</f>
        <v/>
      </c>
      <c r="Q250" s="9" t="n">
        <v>-1.094</v>
      </c>
      <c r="R250" s="11" t="inlineStr">
        <is>
          <t>2026_H1</t>
        </is>
      </c>
    </row>
    <row r="251">
      <c r="A251" s="11" t="inlineStr">
        <is>
          <t>2026-02-03</t>
        </is>
      </c>
      <c r="B251" s="11" t="inlineStr">
        <is>
          <t>PGEL</t>
        </is>
      </c>
      <c r="C251" s="11" t="inlineStr">
        <is>
          <t>PE</t>
        </is>
      </c>
      <c r="D251" s="11" t="inlineStr">
        <is>
          <t>small</t>
        </is>
      </c>
      <c r="E251" s="12" t="n">
        <v>56.7</v>
      </c>
      <c r="F251" s="12" t="n">
        <v>2144.9</v>
      </c>
      <c r="G251" s="12" t="n">
        <v>45.9</v>
      </c>
      <c r="H251" s="11" t="inlineStr">
        <is>
          <t>2026-02-24</t>
        </is>
      </c>
      <c r="I251" s="13" t="n">
        <v>560</v>
      </c>
      <c r="J251" s="5" t="n">
        <v>950</v>
      </c>
      <c r="K251" s="14" t="n">
        <v>5.05</v>
      </c>
      <c r="L251" s="14" t="n">
        <v>24.9</v>
      </c>
      <c r="M251" s="5">
        <f>K251*J251</f>
        <v/>
      </c>
      <c r="N251" s="8">
        <f>(L251-K251)*J251</f>
        <v/>
      </c>
      <c r="O251" s="8" t="n">
        <v>17909.15</v>
      </c>
      <c r="P251" s="7">
        <f>O251/M251*100</f>
        <v/>
      </c>
      <c r="Q251" s="9" t="n">
        <v>4.413</v>
      </c>
      <c r="R251" s="11" t="inlineStr">
        <is>
          <t>2026_H1</t>
        </is>
      </c>
    </row>
    <row r="252">
      <c r="A252" s="11" t="inlineStr">
        <is>
          <t>2026-02-03</t>
        </is>
      </c>
      <c r="B252" s="11" t="inlineStr">
        <is>
          <t>POLICYBZR</t>
        </is>
      </c>
      <c r="C252" s="11" t="inlineStr">
        <is>
          <t>PE</t>
        </is>
      </c>
      <c r="D252" s="11" t="inlineStr">
        <is>
          <t>mid</t>
        </is>
      </c>
      <c r="E252" s="12" t="n">
        <v>164.8</v>
      </c>
      <c r="F252" s="12" t="n">
        <v>40.4</v>
      </c>
      <c r="G252" s="12" t="n">
        <v>37.1</v>
      </c>
      <c r="H252" s="11" t="inlineStr">
        <is>
          <t>2026-02-24</t>
        </is>
      </c>
      <c r="I252" s="13" t="n">
        <v>1520</v>
      </c>
      <c r="J252" s="5" t="n">
        <v>350</v>
      </c>
      <c r="K252" s="14" t="n">
        <v>22.7</v>
      </c>
      <c r="L252" s="14" t="n">
        <v>94.09999999999999</v>
      </c>
      <c r="M252" s="5">
        <f>K252*J252</f>
        <v/>
      </c>
      <c r="N252" s="8">
        <f>(L252-K252)*J252</f>
        <v/>
      </c>
      <c r="O252" s="8" t="n">
        <v>24058.38</v>
      </c>
      <c r="P252" s="7">
        <f>O252/M252*100</f>
        <v/>
      </c>
      <c r="Q252" s="9" t="n">
        <v>10.025</v>
      </c>
      <c r="R252" s="11" t="inlineStr">
        <is>
          <t>2026_H1</t>
        </is>
      </c>
    </row>
    <row r="253">
      <c r="A253" s="11" t="inlineStr">
        <is>
          <t>2026-02-03</t>
        </is>
      </c>
      <c r="B253" s="11" t="inlineStr">
        <is>
          <t>UPL</t>
        </is>
      </c>
      <c r="C253" s="11" t="inlineStr">
        <is>
          <t>CE</t>
        </is>
      </c>
      <c r="D253" s="11" t="inlineStr">
        <is>
          <t>mid</t>
        </is>
      </c>
      <c r="E253" s="12" t="n">
        <v>-42.6</v>
      </c>
      <c r="F253" s="12" t="n">
        <v>-19.9</v>
      </c>
      <c r="G253" s="12" t="n">
        <v>12.5</v>
      </c>
      <c r="H253" s="11" t="inlineStr">
        <is>
          <t>2026-02-24</t>
        </is>
      </c>
      <c r="I253" s="13" t="n">
        <v>770</v>
      </c>
      <c r="J253" s="5" t="n">
        <v>1355</v>
      </c>
      <c r="K253" s="14" t="n">
        <v>5.6</v>
      </c>
      <c r="L253" s="14" t="n">
        <v>8</v>
      </c>
      <c r="M253" s="5">
        <f>K253*J253</f>
        <v/>
      </c>
      <c r="N253" s="8">
        <f>(L253-K253)*J253</f>
        <v/>
      </c>
      <c r="O253" s="8" t="n">
        <v>2811.99</v>
      </c>
      <c r="P253" s="7">
        <f>O253/M253*100</f>
        <v/>
      </c>
      <c r="Q253" s="9" t="n">
        <v>-0.296</v>
      </c>
      <c r="R253" s="11" t="inlineStr">
        <is>
          <t>2026_H1</t>
        </is>
      </c>
    </row>
    <row r="254">
      <c r="A254" s="11" t="inlineStr">
        <is>
          <t>2026-02-04</t>
        </is>
      </c>
      <c r="B254" s="11" t="inlineStr">
        <is>
          <t>ADANIENT</t>
        </is>
      </c>
      <c r="C254" s="11" t="inlineStr">
        <is>
          <t>PE</t>
        </is>
      </c>
      <c r="D254" s="11" t="inlineStr">
        <is>
          <t>large</t>
        </is>
      </c>
      <c r="E254" s="12" t="n">
        <v>2404.6</v>
      </c>
      <c r="F254" s="12" t="n">
        <v>67.7</v>
      </c>
      <c r="G254" s="12" t="n">
        <v>8.6</v>
      </c>
      <c r="H254" s="11" t="inlineStr">
        <is>
          <t>2026-02-24</t>
        </is>
      </c>
      <c r="I254" s="13" t="n">
        <v>2040</v>
      </c>
      <c r="J254" s="5" t="n">
        <v>309</v>
      </c>
      <c r="K254" s="14" t="n">
        <v>25.55</v>
      </c>
      <c r="L254" s="14" t="n">
        <v>22.05</v>
      </c>
      <c r="M254" s="5">
        <f>K254*J254</f>
        <v/>
      </c>
      <c r="N254" s="8">
        <f>(L254-K254)*J254</f>
        <v/>
      </c>
      <c r="O254" s="8" t="n">
        <v>-1292.44</v>
      </c>
      <c r="P254" s="7">
        <f>O254/M254*100</f>
        <v/>
      </c>
      <c r="Q254" s="9" t="n">
        <v>-0.369</v>
      </c>
      <c r="R254" s="11" t="inlineStr">
        <is>
          <t>2026_H1</t>
        </is>
      </c>
    </row>
    <row r="255">
      <c r="A255" s="11" t="inlineStr">
        <is>
          <t>2026-02-04</t>
        </is>
      </c>
      <c r="B255" s="11" t="inlineStr">
        <is>
          <t>PIDILITIND</t>
        </is>
      </c>
      <c r="C255" s="11" t="inlineStr">
        <is>
          <t>PE</t>
        </is>
      </c>
      <c r="D255" s="11" t="inlineStr">
        <is>
          <t>large</t>
        </is>
      </c>
      <c r="E255" s="12" t="n">
        <v>12</v>
      </c>
      <c r="F255" s="12" t="n">
        <v>6.7</v>
      </c>
      <c r="G255" s="12" t="n">
        <v>10.1</v>
      </c>
      <c r="H255" s="11" t="inlineStr">
        <is>
          <t>2026-02-24</t>
        </is>
      </c>
      <c r="I255" s="13" t="n">
        <v>1380</v>
      </c>
      <c r="J255" s="5" t="n">
        <v>500</v>
      </c>
      <c r="K255" s="14" t="n">
        <v>12.05</v>
      </c>
      <c r="L255" s="14" t="n">
        <v>6.4</v>
      </c>
      <c r="M255" s="5">
        <f>K255*J255</f>
        <v/>
      </c>
      <c r="N255" s="8">
        <f>(L255-K255)*J255</f>
        <v/>
      </c>
      <c r="O255" s="8" t="n">
        <v>-2973.32</v>
      </c>
      <c r="P255" s="7">
        <f>O255/M255*100</f>
        <v/>
      </c>
      <c r="Q255" s="9" t="n">
        <v>-1.248</v>
      </c>
      <c r="R255" s="11" t="inlineStr">
        <is>
          <t>2026_H1</t>
        </is>
      </c>
    </row>
    <row r="256">
      <c r="A256" s="11" t="inlineStr">
        <is>
          <t>2026-02-04</t>
        </is>
      </c>
      <c r="B256" s="11" t="inlineStr">
        <is>
          <t>SOLARINDS</t>
        </is>
      </c>
      <c r="C256" s="11" t="inlineStr">
        <is>
          <t>PE</t>
        </is>
      </c>
      <c r="D256" s="11" t="inlineStr">
        <is>
          <t>large</t>
        </is>
      </c>
      <c r="E256" s="12" t="n">
        <v>38.2</v>
      </c>
      <c r="F256" s="12" t="n">
        <v>29</v>
      </c>
      <c r="G256" s="12" t="n">
        <v>29.2</v>
      </c>
      <c r="H256" s="11" t="inlineStr">
        <is>
          <t>2026-02-24</t>
        </is>
      </c>
      <c r="I256" s="13" t="n">
        <v>12800</v>
      </c>
      <c r="J256" s="5" t="n">
        <v>50</v>
      </c>
      <c r="K256" s="14" t="n">
        <v>150.05</v>
      </c>
      <c r="L256" s="14" t="n">
        <v>212.4</v>
      </c>
      <c r="M256" s="5">
        <f>K256*J256</f>
        <v/>
      </c>
      <c r="N256" s="8">
        <f>(L256-K256)*J256</f>
        <v/>
      </c>
      <c r="O256" s="8" t="n">
        <v>2865.29</v>
      </c>
      <c r="P256" s="7">
        <f>O256/M256*100</f>
        <v/>
      </c>
      <c r="Q256" s="9" t="n">
        <v>2.8</v>
      </c>
      <c r="R256" s="11" t="inlineStr">
        <is>
          <t>2026_H1</t>
        </is>
      </c>
    </row>
    <row r="257">
      <c r="A257" s="11" t="inlineStr">
        <is>
          <t>2026-02-05</t>
        </is>
      </c>
      <c r="B257" s="11" t="inlineStr">
        <is>
          <t>BAJAJHLDNG</t>
        </is>
      </c>
      <c r="C257" s="11" t="inlineStr">
        <is>
          <t>PE</t>
        </is>
      </c>
      <c r="D257" s="11" t="inlineStr">
        <is>
          <t>large</t>
        </is>
      </c>
      <c r="E257" s="12" t="n">
        <v>15.3</v>
      </c>
      <c r="F257" s="12" t="n">
        <v>19.4</v>
      </c>
      <c r="G257" s="12" t="n">
        <v>127.6</v>
      </c>
      <c r="H257" s="11" t="inlineStr">
        <is>
          <t>2026-02-24</t>
        </is>
      </c>
      <c r="I257" s="13" t="n">
        <v>10500</v>
      </c>
      <c r="J257" s="5" t="n">
        <v>50</v>
      </c>
      <c r="K257" s="14" t="n">
        <v>100.05</v>
      </c>
      <c r="L257" s="14" t="n">
        <v>131.9</v>
      </c>
      <c r="M257" s="5">
        <f>K257*J257</f>
        <v/>
      </c>
      <c r="N257" s="8">
        <f>(L257-K257)*J257</f>
        <v/>
      </c>
      <c r="O257" s="8" t="n">
        <v>1414.41</v>
      </c>
      <c r="P257" s="7">
        <f>O257/M257*100</f>
        <v/>
      </c>
      <c r="Q257" s="9" t="n">
        <v>0.991</v>
      </c>
      <c r="R257" s="11" t="inlineStr">
        <is>
          <t>2026_H1</t>
        </is>
      </c>
    </row>
    <row r="258">
      <c r="A258" s="11" t="inlineStr">
        <is>
          <t>2026-02-05</t>
        </is>
      </c>
      <c r="B258" s="11" t="inlineStr">
        <is>
          <t>CUMMINSIND</t>
        </is>
      </c>
      <c r="C258" s="11" t="inlineStr">
        <is>
          <t>CE</t>
        </is>
      </c>
      <c r="D258" s="11" t="inlineStr">
        <is>
          <t>large</t>
        </is>
      </c>
      <c r="E258" s="12" t="n">
        <v>-13</v>
      </c>
      <c r="F258" s="12" t="n">
        <v>-21.9</v>
      </c>
      <c r="G258" s="12" t="n">
        <v>-1.3</v>
      </c>
      <c r="H258" s="11" t="inlineStr">
        <is>
          <t>2026-02-24</t>
        </is>
      </c>
      <c r="I258" s="13" t="n">
        <v>4350</v>
      </c>
      <c r="J258" s="5" t="n">
        <v>200</v>
      </c>
      <c r="K258" s="14" t="n">
        <v>40</v>
      </c>
      <c r="L258" s="14" t="n">
        <v>154.15</v>
      </c>
      <c r="M258" s="5">
        <f>K258*J258</f>
        <v/>
      </c>
      <c r="N258" s="8">
        <f>(L258-K258)*J258</f>
        <v/>
      </c>
      <c r="O258" s="8" t="n">
        <v>22331.7</v>
      </c>
      <c r="P258" s="7">
        <f>O258/M258*100</f>
        <v/>
      </c>
      <c r="Q258" s="9" t="n">
        <v>7.422</v>
      </c>
      <c r="R258" s="11" t="inlineStr">
        <is>
          <t>2026_H1</t>
        </is>
      </c>
    </row>
    <row r="259">
      <c r="A259" s="11" t="inlineStr">
        <is>
          <t>2026-02-06</t>
        </is>
      </c>
      <c r="B259" s="11" t="inlineStr">
        <is>
          <t>BHARTIARTL</t>
        </is>
      </c>
      <c r="C259" s="11" t="inlineStr">
        <is>
          <t>CE</t>
        </is>
      </c>
      <c r="D259" s="11" t="inlineStr">
        <is>
          <t>large</t>
        </is>
      </c>
      <c r="E259" s="12" t="n">
        <v>-47.3</v>
      </c>
      <c r="F259" s="12" t="n">
        <v>-1.7</v>
      </c>
      <c r="G259" s="12" t="n">
        <v>19.6</v>
      </c>
      <c r="H259" s="11" t="inlineStr">
        <is>
          <t>2026-02-24</t>
        </is>
      </c>
      <c r="I259" s="13" t="n">
        <v>2060</v>
      </c>
      <c r="J259" s="5" t="n">
        <v>475</v>
      </c>
      <c r="K259" s="14" t="n">
        <v>16.1</v>
      </c>
      <c r="L259" s="14" t="n">
        <v>20.5</v>
      </c>
      <c r="M259" s="5">
        <f>K259*J259</f>
        <v/>
      </c>
      <c r="N259" s="8">
        <f>(L259-K259)*J259</f>
        <v/>
      </c>
      <c r="O259" s="8" t="n">
        <v>1846.8</v>
      </c>
      <c r="P259" s="7">
        <f>O259/M259*100</f>
        <v/>
      </c>
      <c r="Q259" s="9" t="n">
        <v>2.227</v>
      </c>
      <c r="R259" s="11" t="inlineStr">
        <is>
          <t>2026_H1</t>
        </is>
      </c>
    </row>
    <row r="260">
      <c r="A260" s="11" t="inlineStr">
        <is>
          <t>2026-02-06</t>
        </is>
      </c>
      <c r="B260" s="11" t="inlineStr">
        <is>
          <t>TMPV</t>
        </is>
      </c>
      <c r="C260" s="11" t="inlineStr">
        <is>
          <t>CE</t>
        </is>
      </c>
      <c r="D260" s="11" t="inlineStr">
        <is>
          <t>large</t>
        </is>
      </c>
      <c r="E260" s="12" t="n">
        <v>-162.4</v>
      </c>
      <c r="F260" s="12" t="n">
        <v>-104.6</v>
      </c>
      <c r="G260" s="12" t="n">
        <v>-38.3</v>
      </c>
      <c r="H260" s="11" t="inlineStr">
        <is>
          <t>2026-02-24</t>
        </is>
      </c>
      <c r="I260" s="13" t="n">
        <v>375</v>
      </c>
      <c r="J260" s="5" t="n">
        <v>800</v>
      </c>
      <c r="K260" s="14" t="n">
        <v>10</v>
      </c>
      <c r="L260" s="14" t="n">
        <v>6.55</v>
      </c>
      <c r="M260" s="5">
        <f>K260*J260</f>
        <v/>
      </c>
      <c r="N260" s="8">
        <f>(L260-K260)*J260</f>
        <v/>
      </c>
      <c r="O260" s="8" t="n">
        <v>-2953.27</v>
      </c>
      <c r="P260" s="7">
        <f>O260/M260*100</f>
        <v/>
      </c>
      <c r="Q260" s="9" t="n">
        <v>1.233</v>
      </c>
      <c r="R260" s="11" t="inlineStr">
        <is>
          <t>2026_H1</t>
        </is>
      </c>
    </row>
    <row r="261">
      <c r="A261" s="11" t="inlineStr">
        <is>
          <t>2026-02-09</t>
        </is>
      </c>
      <c r="B261" s="11" t="inlineStr">
        <is>
          <t>KALYANKJIL</t>
        </is>
      </c>
      <c r="C261" s="11" t="inlineStr">
        <is>
          <t>PE</t>
        </is>
      </c>
      <c r="D261" s="11" t="inlineStr">
        <is>
          <t>mid</t>
        </is>
      </c>
      <c r="E261" s="12" t="n">
        <v>90.40000000000001</v>
      </c>
      <c r="F261" s="12" t="n">
        <v>59.8</v>
      </c>
      <c r="G261" s="12" t="n">
        <v>41.9</v>
      </c>
      <c r="H261" s="11" t="inlineStr">
        <is>
          <t>2026-02-24</t>
        </is>
      </c>
      <c r="I261" s="13" t="n">
        <v>370</v>
      </c>
      <c r="J261" s="5" t="n">
        <v>1175</v>
      </c>
      <c r="K261" s="14" t="n">
        <v>6</v>
      </c>
      <c r="L261" s="14" t="n">
        <v>1.95</v>
      </c>
      <c r="M261" s="5">
        <f>K261*J261</f>
        <v/>
      </c>
      <c r="N261" s="8">
        <f>(L261-K261)*J261</f>
        <v/>
      </c>
      <c r="O261" s="8" t="n">
        <v>-5000.35</v>
      </c>
      <c r="P261" s="7">
        <f>O261/M261*100</f>
        <v/>
      </c>
      <c r="Q261" s="9" t="n">
        <v>-7.988</v>
      </c>
      <c r="R261" s="11" t="inlineStr">
        <is>
          <t>2026_H1</t>
        </is>
      </c>
    </row>
    <row r="262">
      <c r="A262" s="11" t="inlineStr">
        <is>
          <t>2026-02-09</t>
        </is>
      </c>
      <c r="B262" s="11" t="inlineStr">
        <is>
          <t>SBIN</t>
        </is>
      </c>
      <c r="C262" s="11" t="inlineStr">
        <is>
          <t>PE</t>
        </is>
      </c>
      <c r="D262" s="11" t="inlineStr">
        <is>
          <t>large</t>
        </is>
      </c>
      <c r="E262" s="12" t="n">
        <v>13.1</v>
      </c>
      <c r="F262" s="12" t="n">
        <v>0.9</v>
      </c>
      <c r="G262" s="12" t="n">
        <v>4.8</v>
      </c>
      <c r="H262" s="11" t="inlineStr">
        <is>
          <t>2026-02-24</t>
        </is>
      </c>
      <c r="I262" s="13" t="n">
        <v>1065</v>
      </c>
      <c r="J262" s="5" t="n">
        <v>750</v>
      </c>
      <c r="K262" s="14" t="n">
        <v>3.65</v>
      </c>
      <c r="L262" s="14" t="n">
        <v>3.35</v>
      </c>
      <c r="M262" s="5">
        <f>K262*J262</f>
        <v/>
      </c>
      <c r="N262" s="8">
        <f>(L262-K262)*J262</f>
        <v/>
      </c>
      <c r="O262" s="8" t="n">
        <v>-330.75</v>
      </c>
      <c r="P262" s="7">
        <f>O262/M262*100</f>
        <v/>
      </c>
      <c r="Q262" s="9" t="n">
        <v>-2.321</v>
      </c>
      <c r="R262" s="11" t="inlineStr">
        <is>
          <t>2026_H1</t>
        </is>
      </c>
    </row>
    <row r="263">
      <c r="A263" s="11" t="inlineStr">
        <is>
          <t>2026-02-09</t>
        </is>
      </c>
      <c r="B263" s="11" t="inlineStr">
        <is>
          <t>SIEMENS</t>
        </is>
      </c>
      <c r="C263" s="11" t="inlineStr">
        <is>
          <t>CE</t>
        </is>
      </c>
      <c r="D263" s="11" t="inlineStr">
        <is>
          <t>large</t>
        </is>
      </c>
      <c r="E263" s="12" t="n">
        <v>-54.8</v>
      </c>
      <c r="F263" s="12" t="n">
        <v>-42.8</v>
      </c>
      <c r="G263" s="12" t="n">
        <v>6.8</v>
      </c>
      <c r="H263" s="11" t="inlineStr">
        <is>
          <t>2026-02-24</t>
        </is>
      </c>
      <c r="I263" s="13" t="n">
        <v>3250</v>
      </c>
      <c r="J263" s="5" t="n">
        <v>175</v>
      </c>
      <c r="K263" s="14" t="n">
        <v>30.1</v>
      </c>
      <c r="L263" s="14" t="n">
        <v>33.1</v>
      </c>
      <c r="M263" s="5">
        <f>K263*J263</f>
        <v/>
      </c>
      <c r="N263" s="8">
        <f>(L263-K263)*J263</f>
        <v/>
      </c>
      <c r="O263" s="8" t="n">
        <v>353.69</v>
      </c>
      <c r="P263" s="7">
        <f>O263/M263*100</f>
        <v/>
      </c>
      <c r="Q263" s="9" t="n">
        <v>-0.196</v>
      </c>
      <c r="R263" s="11" t="inlineStr">
        <is>
          <t>2026_H1</t>
        </is>
      </c>
    </row>
    <row r="264">
      <c r="A264" s="11" t="inlineStr">
        <is>
          <t>2026-02-10</t>
        </is>
      </c>
      <c r="B264" s="11" t="inlineStr">
        <is>
          <t>BSE</t>
        </is>
      </c>
      <c r="C264" s="11" t="inlineStr">
        <is>
          <t>PE</t>
        </is>
      </c>
      <c r="D264" s="11" t="inlineStr">
        <is>
          <t>mid</t>
        </is>
      </c>
      <c r="E264" s="12" t="n">
        <v>172.9</v>
      </c>
      <c r="F264" s="12" t="n">
        <v>7.1</v>
      </c>
      <c r="G264" s="12" t="n">
        <v>60.8</v>
      </c>
      <c r="H264" s="11" t="inlineStr">
        <is>
          <t>2026-02-24</t>
        </is>
      </c>
      <c r="I264" s="13" t="n">
        <v>2800</v>
      </c>
      <c r="J264" s="5" t="n">
        <v>375</v>
      </c>
      <c r="K264" s="14" t="n">
        <v>20.15</v>
      </c>
      <c r="L264" s="14" t="n">
        <v>12.55</v>
      </c>
      <c r="M264" s="5">
        <f>K264*J264</f>
        <v/>
      </c>
      <c r="N264" s="8">
        <f>(L264-K264)*J264</f>
        <v/>
      </c>
      <c r="O264" s="8" t="n">
        <v>-3154.88</v>
      </c>
      <c r="P264" s="7">
        <f>O264/M264*100</f>
        <v/>
      </c>
      <c r="Q264" s="9" t="n">
        <v>-2.064</v>
      </c>
      <c r="R264" s="11" t="inlineStr">
        <is>
          <t>2026_H1</t>
        </is>
      </c>
    </row>
    <row r="265">
      <c r="A265" s="11" t="inlineStr">
        <is>
          <t>2026-02-11</t>
        </is>
      </c>
      <c r="B265" s="11" t="inlineStr">
        <is>
          <t>APOLLOHOSP</t>
        </is>
      </c>
      <c r="C265" s="11" t="inlineStr">
        <is>
          <t>PE</t>
        </is>
      </c>
      <c r="D265" s="11" t="inlineStr">
        <is>
          <t>large</t>
        </is>
      </c>
      <c r="E265" s="12" t="n">
        <v>36.1</v>
      </c>
      <c r="F265" s="12" t="n">
        <v>4.5</v>
      </c>
      <c r="G265" s="12" t="n">
        <v>17.2</v>
      </c>
      <c r="H265" s="11" t="inlineStr">
        <is>
          <t>2026-02-24</t>
        </is>
      </c>
      <c r="I265" s="13" t="n">
        <v>7150</v>
      </c>
      <c r="J265" s="5" t="n">
        <v>125</v>
      </c>
      <c r="K265" s="14" t="n">
        <v>38.55</v>
      </c>
      <c r="L265" s="14" t="n">
        <v>16.85</v>
      </c>
      <c r="M265" s="5">
        <f>K265*J265</f>
        <v/>
      </c>
      <c r="N265" s="8">
        <f>(L265-K265)*J265</f>
        <v/>
      </c>
      <c r="O265" s="8" t="n">
        <v>-2835.16</v>
      </c>
      <c r="P265" s="7">
        <f>O265/M265*100</f>
        <v/>
      </c>
      <c r="Q265" s="9" t="n">
        <v>-1.377</v>
      </c>
      <c r="R265" s="11" t="inlineStr">
        <is>
          <t>2026_H1</t>
        </is>
      </c>
    </row>
    <row r="266">
      <c r="A266" s="11" t="inlineStr">
        <is>
          <t>2026-02-11</t>
        </is>
      </c>
      <c r="B266" s="11" t="inlineStr">
        <is>
          <t>BRITANNIA</t>
        </is>
      </c>
      <c r="C266" s="11" t="inlineStr">
        <is>
          <t>PE</t>
        </is>
      </c>
      <c r="D266" s="11" t="inlineStr">
        <is>
          <t>large</t>
        </is>
      </c>
      <c r="E266" s="12" t="n">
        <v>17.1</v>
      </c>
      <c r="F266" s="12" t="n">
        <v>4.1</v>
      </c>
      <c r="G266" s="12" t="n">
        <v>8.199999999999999</v>
      </c>
      <c r="H266" s="11" t="inlineStr">
        <is>
          <t>2026-02-24</t>
        </is>
      </c>
      <c r="I266" s="13" t="n">
        <v>5850</v>
      </c>
      <c r="J266" s="5" t="n">
        <v>125</v>
      </c>
      <c r="K266" s="14" t="n">
        <v>60.6</v>
      </c>
      <c r="L266" s="14" t="n">
        <v>35.95</v>
      </c>
      <c r="M266" s="5">
        <f>K266*J266</f>
        <v/>
      </c>
      <c r="N266" s="8">
        <f>(L266-K266)*J266</f>
        <v/>
      </c>
      <c r="O266" s="8" t="n">
        <v>-3261.19</v>
      </c>
      <c r="P266" s="7">
        <f>O266/M266*100</f>
        <v/>
      </c>
      <c r="Q266" s="9" t="n">
        <v>-0.317</v>
      </c>
      <c r="R266" s="11" t="inlineStr">
        <is>
          <t>2026_H1</t>
        </is>
      </c>
    </row>
    <row r="267">
      <c r="A267" s="11" t="inlineStr">
        <is>
          <t>2026-02-11</t>
        </is>
      </c>
      <c r="B267" s="11" t="inlineStr">
        <is>
          <t>EICHERMOT</t>
        </is>
      </c>
      <c r="C267" s="11" t="inlineStr">
        <is>
          <t>PE</t>
        </is>
      </c>
      <c r="D267" s="11" t="inlineStr">
        <is>
          <t>large</t>
        </is>
      </c>
      <c r="E267" s="12" t="n">
        <v>21.4</v>
      </c>
      <c r="F267" s="12" t="n">
        <v>3.7</v>
      </c>
      <c r="G267" s="12" t="n">
        <v>22.9</v>
      </c>
      <c r="H267" s="11" t="inlineStr">
        <is>
          <t>2026-02-24</t>
        </is>
      </c>
      <c r="I267" s="13" t="n">
        <v>7200</v>
      </c>
      <c r="J267" s="5" t="n">
        <v>100</v>
      </c>
      <c r="K267" s="14" t="n">
        <v>54.65</v>
      </c>
      <c r="L267" s="14" t="n">
        <v>21.85</v>
      </c>
      <c r="M267" s="5">
        <f>K267*J267</f>
        <v/>
      </c>
      <c r="N267" s="8">
        <f>(L267-K267)*J267</f>
        <v/>
      </c>
      <c r="O267" s="8" t="n">
        <v>-3410.36</v>
      </c>
      <c r="P267" s="7">
        <f>O267/M267*100</f>
        <v/>
      </c>
      <c r="Q267" s="9" t="n">
        <v>-3.544</v>
      </c>
      <c r="R267" s="11" t="inlineStr">
        <is>
          <t>2026_H1</t>
        </is>
      </c>
    </row>
    <row r="268">
      <c r="A268" s="11" t="inlineStr">
        <is>
          <t>2026-02-11</t>
        </is>
      </c>
      <c r="B268" s="11" t="inlineStr">
        <is>
          <t>GRASIM</t>
        </is>
      </c>
      <c r="C268" s="11" t="inlineStr">
        <is>
          <t>PE</t>
        </is>
      </c>
      <c r="D268" s="11" t="inlineStr">
        <is>
          <t>large</t>
        </is>
      </c>
      <c r="E268" s="12" t="n">
        <v>21.1</v>
      </c>
      <c r="F268" s="12" t="n">
        <v>49.1</v>
      </c>
      <c r="G268" s="12" t="n">
        <v>27.4</v>
      </c>
      <c r="H268" s="11" t="inlineStr">
        <is>
          <t>2026-02-24</t>
        </is>
      </c>
      <c r="I268" s="13" t="n">
        <v>2900</v>
      </c>
      <c r="J268" s="5" t="n">
        <v>250</v>
      </c>
      <c r="K268" s="14" t="n">
        <v>30.05</v>
      </c>
      <c r="L268" s="14" t="n">
        <v>36.45</v>
      </c>
      <c r="M268" s="5">
        <f>K268*J268</f>
        <v/>
      </c>
      <c r="N268" s="8">
        <f>(L268-K268)*J268</f>
        <v/>
      </c>
      <c r="O268" s="8" t="n">
        <v>1365.66</v>
      </c>
      <c r="P268" s="7">
        <f>O268/M268*100</f>
        <v/>
      </c>
      <c r="Q268" s="9" t="n">
        <v>1.558</v>
      </c>
      <c r="R268" s="11" t="inlineStr">
        <is>
          <t>2026_H1</t>
        </is>
      </c>
    </row>
    <row r="269">
      <c r="A269" s="11" t="inlineStr">
        <is>
          <t>2026-02-11</t>
        </is>
      </c>
      <c r="B269" s="11" t="inlineStr">
        <is>
          <t>TITAN</t>
        </is>
      </c>
      <c r="C269" s="11" t="inlineStr">
        <is>
          <t>PE</t>
        </is>
      </c>
      <c r="D269" s="11" t="inlineStr">
        <is>
          <t>large</t>
        </is>
      </c>
      <c r="E269" s="12" t="n">
        <v>60.8</v>
      </c>
      <c r="F269" s="12" t="n">
        <v>50.4</v>
      </c>
      <c r="G269" s="12" t="n">
        <v>43.3</v>
      </c>
      <c r="H269" s="11" t="inlineStr">
        <is>
          <t>2026-02-24</t>
        </is>
      </c>
      <c r="I269" s="13" t="n">
        <v>4180</v>
      </c>
      <c r="J269" s="5" t="n">
        <v>175</v>
      </c>
      <c r="K269" s="14" t="n">
        <v>35.05</v>
      </c>
      <c r="L269" s="14" t="n">
        <v>51.25</v>
      </c>
      <c r="M269" s="5">
        <f>K269*J269</f>
        <v/>
      </c>
      <c r="N269" s="8">
        <f>(L269-K269)*J269</f>
        <v/>
      </c>
      <c r="O269" s="8" t="n">
        <v>2616.79</v>
      </c>
      <c r="P269" s="7">
        <f>O269/M269*100</f>
        <v/>
      </c>
      <c r="Q269" s="9" t="n">
        <v>2.32</v>
      </c>
      <c r="R269" s="11" t="inlineStr">
        <is>
          <t>2026_H1</t>
        </is>
      </c>
    </row>
    <row r="270">
      <c r="A270" s="11" t="inlineStr">
        <is>
          <t>2026-02-12</t>
        </is>
      </c>
      <c r="B270" s="11" t="inlineStr">
        <is>
          <t>M&amp;M</t>
        </is>
      </c>
      <c r="C270" s="11" t="inlineStr">
        <is>
          <t>PE</t>
        </is>
      </c>
      <c r="D270" s="11" t="inlineStr">
        <is>
          <t>large</t>
        </is>
      </c>
      <c r="E270" s="12" t="n">
        <v>38.5</v>
      </c>
      <c r="F270" s="12" t="n">
        <v>26.7</v>
      </c>
      <c r="G270" s="12" t="n">
        <v>25.6</v>
      </c>
      <c r="H270" s="11" t="inlineStr">
        <is>
          <t>2026-02-24</t>
        </is>
      </c>
      <c r="I270" s="13" t="n">
        <v>3550</v>
      </c>
      <c r="J270" s="5" t="n">
        <v>200</v>
      </c>
      <c r="K270" s="14" t="n">
        <v>34.05</v>
      </c>
      <c r="L270" s="14" t="n">
        <v>46.95</v>
      </c>
      <c r="M270" s="5">
        <f>K270*J270</f>
        <v/>
      </c>
      <c r="N270" s="8">
        <f>(L270-K270)*J270</f>
        <v/>
      </c>
      <c r="O270" s="8" t="n">
        <v>2349.69</v>
      </c>
      <c r="P270" s="7">
        <f>O270/M270*100</f>
        <v/>
      </c>
      <c r="Q270" s="9" t="n">
        <v>2.842</v>
      </c>
      <c r="R270" s="11" t="inlineStr">
        <is>
          <t>2026_H1</t>
        </is>
      </c>
    </row>
    <row r="271">
      <c r="A271" s="11" t="inlineStr">
        <is>
          <t>2026-02-12</t>
        </is>
      </c>
      <c r="B271" s="11" t="inlineStr">
        <is>
          <t>PATANJALI</t>
        </is>
      </c>
      <c r="C271" s="11" t="inlineStr">
        <is>
          <t>PE</t>
        </is>
      </c>
      <c r="D271" s="11" t="inlineStr">
        <is>
          <t>mid</t>
        </is>
      </c>
      <c r="E271" s="12" t="n">
        <v>60</v>
      </c>
      <c r="F271" s="12" t="n">
        <v>14.9</v>
      </c>
      <c r="G271" s="12" t="n">
        <v>15.2</v>
      </c>
      <c r="H271" s="11" t="inlineStr">
        <is>
          <t>2026-02-24</t>
        </is>
      </c>
      <c r="I271" s="13" t="n">
        <v>500</v>
      </c>
      <c r="J271" s="5" t="n">
        <v>900</v>
      </c>
      <c r="K271" s="14" t="n">
        <v>8.550000000000001</v>
      </c>
      <c r="L271" s="14" t="n">
        <v>4.95</v>
      </c>
      <c r="M271" s="5">
        <f>K271*J271</f>
        <v/>
      </c>
      <c r="N271" s="8">
        <f>(L271-K271)*J271</f>
        <v/>
      </c>
      <c r="O271" s="8" t="n">
        <v>-3542.21</v>
      </c>
      <c r="P271" s="7">
        <f>O271/M271*100</f>
        <v/>
      </c>
      <c r="Q271" s="9" t="n">
        <v>-0.635</v>
      </c>
      <c r="R271" s="11" t="inlineStr">
        <is>
          <t>2026_H1</t>
        </is>
      </c>
    </row>
    <row r="272">
      <c r="A272" s="11" t="inlineStr">
        <is>
          <t>2026-02-13</t>
        </is>
      </c>
      <c r="B272" s="11" t="inlineStr">
        <is>
          <t>BIOCON</t>
        </is>
      </c>
      <c r="C272" s="11" t="inlineStr">
        <is>
          <t>CE</t>
        </is>
      </c>
      <c r="D272" s="11" t="inlineStr">
        <is>
          <t>mid</t>
        </is>
      </c>
      <c r="E272" s="12" t="n">
        <v>-163.9</v>
      </c>
      <c r="F272" s="12" t="n">
        <v>-139</v>
      </c>
      <c r="G272" s="12" t="n">
        <v>9.199999999999999</v>
      </c>
      <c r="H272" s="11" t="inlineStr">
        <is>
          <t>2026-02-24</t>
        </is>
      </c>
      <c r="I272" s="13" t="n">
        <v>405</v>
      </c>
      <c r="J272" s="5" t="n">
        <v>2500</v>
      </c>
      <c r="K272" s="14" t="n">
        <v>2.7</v>
      </c>
      <c r="L272" s="14" t="n">
        <v>2.35</v>
      </c>
      <c r="M272" s="5">
        <f>K272*J272</f>
        <v/>
      </c>
      <c r="N272" s="8">
        <f>(L272-K272)*J272</f>
        <v/>
      </c>
      <c r="O272" s="8" t="n">
        <v>-1189.03</v>
      </c>
      <c r="P272" s="7">
        <f>O272/M272*100</f>
        <v/>
      </c>
      <c r="Q272" s="9" t="n">
        <v>1.056</v>
      </c>
      <c r="R272" s="11" t="inlineStr">
        <is>
          <t>2026_H1</t>
        </is>
      </c>
    </row>
    <row r="273">
      <c r="A273" s="11" t="inlineStr">
        <is>
          <t>2026-02-13</t>
        </is>
      </c>
      <c r="B273" s="11" t="inlineStr">
        <is>
          <t>HAL</t>
        </is>
      </c>
      <c r="C273" s="11" t="inlineStr">
        <is>
          <t>PE</t>
        </is>
      </c>
      <c r="D273" s="11" t="inlineStr">
        <is>
          <t>large</t>
        </is>
      </c>
      <c r="E273" s="12" t="n">
        <v>29.6</v>
      </c>
      <c r="F273" s="12" t="n">
        <v>11.8</v>
      </c>
      <c r="G273" s="12" t="n">
        <v>10.7</v>
      </c>
      <c r="H273" s="11" t="inlineStr">
        <is>
          <t>2026-02-24</t>
        </is>
      </c>
      <c r="I273" s="13" t="n">
        <v>4000</v>
      </c>
      <c r="J273" s="5" t="n">
        <v>150</v>
      </c>
      <c r="K273" s="14" t="n">
        <v>52.05</v>
      </c>
      <c r="L273" s="14" t="n">
        <v>40.1</v>
      </c>
      <c r="M273" s="5">
        <f>K273*J273</f>
        <v/>
      </c>
      <c r="N273" s="8">
        <f>(L273-K273)*J273</f>
        <v/>
      </c>
      <c r="O273" s="8" t="n">
        <v>-1992.99</v>
      </c>
      <c r="P273" s="7">
        <f>O273/M273*100</f>
        <v/>
      </c>
      <c r="Q273" s="9" t="n">
        <v>-0.5590000000000001</v>
      </c>
      <c r="R273" s="11" t="inlineStr">
        <is>
          <t>2026_H1</t>
        </is>
      </c>
    </row>
    <row r="274">
      <c r="A274" s="11" t="inlineStr">
        <is>
          <t>2026-02-13</t>
        </is>
      </c>
      <c r="B274" s="11" t="inlineStr">
        <is>
          <t>HINDALCO</t>
        </is>
      </c>
      <c r="C274" s="11" t="inlineStr">
        <is>
          <t>CE</t>
        </is>
      </c>
      <c r="D274" s="11" t="inlineStr">
        <is>
          <t>large</t>
        </is>
      </c>
      <c r="E274" s="12" t="n">
        <v>-45.1</v>
      </c>
      <c r="F274" s="12" t="n">
        <v>-56.8</v>
      </c>
      <c r="G274" s="12" t="n">
        <v>13.9</v>
      </c>
      <c r="H274" s="11" t="inlineStr">
        <is>
          <t>2026-02-24</t>
        </is>
      </c>
      <c r="I274" s="13" t="n">
        <v>980</v>
      </c>
      <c r="J274" s="5" t="n">
        <v>700</v>
      </c>
      <c r="K274" s="14" t="n">
        <v>10.1</v>
      </c>
      <c r="L274" s="14" t="n">
        <v>4.6</v>
      </c>
      <c r="M274" s="5">
        <f>K274*J274</f>
        <v/>
      </c>
      <c r="N274" s="8">
        <f>(L274-K274)*J274</f>
        <v/>
      </c>
      <c r="O274" s="8" t="n">
        <v>-4009.46</v>
      </c>
      <c r="P274" s="7">
        <f>O274/M274*100</f>
        <v/>
      </c>
      <c r="Q274" s="9" t="n">
        <v>-1.575</v>
      </c>
      <c r="R274" s="11" t="inlineStr">
        <is>
          <t>2026_H1</t>
        </is>
      </c>
    </row>
    <row r="275">
      <c r="A275" s="11" t="inlineStr">
        <is>
          <t>2026-02-13</t>
        </is>
      </c>
      <c r="B275" s="11" t="inlineStr">
        <is>
          <t>HINDUNILVR</t>
        </is>
      </c>
      <c r="C275" s="11" t="inlineStr">
        <is>
          <t>PE</t>
        </is>
      </c>
      <c r="D275" s="11" t="inlineStr">
        <is>
          <t>large</t>
        </is>
      </c>
      <c r="E275" s="12" t="n">
        <v>120.9</v>
      </c>
      <c r="F275" s="12" t="n">
        <v>145.1</v>
      </c>
      <c r="G275" s="12" t="n">
        <v>3.9</v>
      </c>
      <c r="H275" s="11" t="inlineStr">
        <is>
          <t>2026-02-24</t>
        </is>
      </c>
      <c r="I275" s="13" t="n">
        <v>2360</v>
      </c>
      <c r="J275" s="5" t="n">
        <v>300</v>
      </c>
      <c r="K275" s="14" t="n">
        <v>26.05</v>
      </c>
      <c r="L275" s="14" t="n">
        <v>66.5</v>
      </c>
      <c r="M275" s="5">
        <f>K275*J275</f>
        <v/>
      </c>
      <c r="N275" s="8">
        <f>(L275-K275)*J275</f>
        <v/>
      </c>
      <c r="O275" s="8" t="n">
        <v>11768.31</v>
      </c>
      <c r="P275" s="7">
        <f>O275/M275*100</f>
        <v/>
      </c>
      <c r="Q275" s="9" t="n">
        <v>3.95</v>
      </c>
      <c r="R275" s="11" t="inlineStr">
        <is>
          <t>2026_H1</t>
        </is>
      </c>
    </row>
    <row r="276">
      <c r="A276" s="11" t="inlineStr">
        <is>
          <t>2026-02-13</t>
        </is>
      </c>
      <c r="B276" s="11" t="inlineStr">
        <is>
          <t>INDHOTEL</t>
        </is>
      </c>
      <c r="C276" s="11" t="inlineStr">
        <is>
          <t>PE</t>
        </is>
      </c>
      <c r="D276" s="11" t="inlineStr">
        <is>
          <t>large</t>
        </is>
      </c>
      <c r="E276" s="12" t="n">
        <v>50.9</v>
      </c>
      <c r="F276" s="12" t="n">
        <v>199.8</v>
      </c>
      <c r="G276" s="12" t="n">
        <v>12.2</v>
      </c>
      <c r="H276" s="11" t="inlineStr">
        <is>
          <t>2026-02-24</t>
        </is>
      </c>
      <c r="I276" s="13" t="n">
        <v>675</v>
      </c>
      <c r="J276" s="5" t="n">
        <v>1000</v>
      </c>
      <c r="K276" s="14" t="n">
        <v>5.45</v>
      </c>
      <c r="L276" s="14" t="n">
        <v>3.6</v>
      </c>
      <c r="M276" s="5">
        <f>K276*J276</f>
        <v/>
      </c>
      <c r="N276" s="8">
        <f>(L276-K276)*J276</f>
        <v/>
      </c>
      <c r="O276" s="8" t="n">
        <v>-1997.07</v>
      </c>
      <c r="P276" s="7">
        <f>O276/M276*100</f>
        <v/>
      </c>
      <c r="Q276" s="9" t="n">
        <v>1.004</v>
      </c>
      <c r="R276" s="11" t="inlineStr">
        <is>
          <t>2026_H1</t>
        </is>
      </c>
    </row>
    <row r="277">
      <c r="A277" s="11" t="inlineStr">
        <is>
          <t>2026-02-13</t>
        </is>
      </c>
      <c r="B277" s="11" t="inlineStr">
        <is>
          <t>MUTHOOTFIN</t>
        </is>
      </c>
      <c r="C277" s="11" t="inlineStr">
        <is>
          <t>PE</t>
        </is>
      </c>
      <c r="D277" s="11" t="inlineStr">
        <is>
          <t>large</t>
        </is>
      </c>
      <c r="E277" s="12" t="n">
        <v>102.9</v>
      </c>
      <c r="F277" s="12" t="n">
        <v>17.1</v>
      </c>
      <c r="G277" s="12" t="n">
        <v>57.8</v>
      </c>
      <c r="H277" s="11" t="inlineStr">
        <is>
          <t>2026-02-24</t>
        </is>
      </c>
      <c r="I277" s="13" t="n">
        <v>3400</v>
      </c>
      <c r="J277" s="5" t="n">
        <v>275</v>
      </c>
      <c r="K277" s="14" t="n">
        <v>25.05</v>
      </c>
      <c r="L277" s="14" t="n">
        <v>49.5</v>
      </c>
      <c r="M277" s="5">
        <f>K277*J277</f>
        <v/>
      </c>
      <c r="N277" s="8">
        <f>(L277-K277)*J277</f>
        <v/>
      </c>
      <c r="O277" s="8" t="n">
        <v>6442.29</v>
      </c>
      <c r="P277" s="7">
        <f>O277/M277*100</f>
        <v/>
      </c>
      <c r="Q277" s="9" t="n">
        <v>7.336</v>
      </c>
      <c r="R277" s="11" t="inlineStr">
        <is>
          <t>2026_H1</t>
        </is>
      </c>
    </row>
    <row r="278">
      <c r="A278" s="11" t="inlineStr">
        <is>
          <t>2026-02-13</t>
        </is>
      </c>
      <c r="B278" s="11" t="inlineStr">
        <is>
          <t>PIIND</t>
        </is>
      </c>
      <c r="C278" s="11" t="inlineStr">
        <is>
          <t>CE</t>
        </is>
      </c>
      <c r="D278" s="11" t="inlineStr">
        <is>
          <t>mid</t>
        </is>
      </c>
      <c r="E278" s="12" t="n">
        <v>-16.5</v>
      </c>
      <c r="F278" s="12" t="n">
        <v>-23.9</v>
      </c>
      <c r="G278" s="12" t="n">
        <v>-27.6</v>
      </c>
      <c r="H278" s="11" t="inlineStr">
        <is>
          <t>2026-02-24</t>
        </is>
      </c>
      <c r="I278" s="13" t="n">
        <v>3280</v>
      </c>
      <c r="J278" s="5" t="n">
        <v>175</v>
      </c>
      <c r="K278" s="14" t="n">
        <v>40</v>
      </c>
      <c r="L278" s="14" t="n">
        <v>21.6</v>
      </c>
      <c r="M278" s="5">
        <f>K278*J278</f>
        <v/>
      </c>
      <c r="N278" s="8">
        <f>(L278-K278)*J278</f>
        <v/>
      </c>
      <c r="O278" s="8" t="n">
        <v>-3493.21</v>
      </c>
      <c r="P278" s="7">
        <f>O278/M278*100</f>
        <v/>
      </c>
      <c r="Q278" s="9" t="n">
        <v>3.809</v>
      </c>
      <c r="R278" s="11" t="inlineStr">
        <is>
          <t>2026_H1</t>
        </is>
      </c>
    </row>
    <row r="279">
      <c r="A279" s="11" t="inlineStr">
        <is>
          <t>2026-02-16</t>
        </is>
      </c>
      <c r="B279" s="11" t="inlineStr">
        <is>
          <t>FORTIS</t>
        </is>
      </c>
      <c r="C279" s="11" t="inlineStr">
        <is>
          <t>CE</t>
        </is>
      </c>
      <c r="D279" s="11" t="inlineStr">
        <is>
          <t>mid</t>
        </is>
      </c>
      <c r="E279" s="12" t="n">
        <v>-22.4</v>
      </c>
      <c r="F279" s="12" t="n">
        <v>-40</v>
      </c>
      <c r="G279" s="12" t="n">
        <v>17.5</v>
      </c>
      <c r="H279" s="11" t="inlineStr">
        <is>
          <t>2026-02-24</t>
        </is>
      </c>
      <c r="I279" s="13" t="n">
        <v>960</v>
      </c>
      <c r="J279" s="5" t="n">
        <v>775</v>
      </c>
      <c r="K279" s="14" t="n">
        <v>8.050000000000001</v>
      </c>
      <c r="L279" s="14" t="n">
        <v>4.15</v>
      </c>
      <c r="M279" s="5">
        <f>K279*J279</f>
        <v/>
      </c>
      <c r="N279" s="8">
        <f>(L279-K279)*J279</f>
        <v/>
      </c>
      <c r="O279" s="8" t="n">
        <v>-3267.79</v>
      </c>
      <c r="P279" s="7">
        <f>O279/M279*100</f>
        <v/>
      </c>
      <c r="Q279" s="9" t="n">
        <v>-0.104</v>
      </c>
      <c r="R279" s="11" t="inlineStr">
        <is>
          <t>2026_H1</t>
        </is>
      </c>
    </row>
    <row r="280">
      <c r="A280" s="11" t="inlineStr">
        <is>
          <t>2026-02-16</t>
        </is>
      </c>
      <c r="B280" s="11" t="inlineStr">
        <is>
          <t>INOXWIND</t>
        </is>
      </c>
      <c r="C280" s="11" t="inlineStr">
        <is>
          <t>PE</t>
        </is>
      </c>
      <c r="D280" s="11" t="inlineStr">
        <is>
          <t>small</t>
        </is>
      </c>
      <c r="E280" s="12" t="n">
        <v>13.4</v>
      </c>
      <c r="F280" s="12" t="n">
        <v>5</v>
      </c>
      <c r="G280" s="12" t="n">
        <v>32.5</v>
      </c>
      <c r="H280" s="11" t="inlineStr">
        <is>
          <t>2026-02-24</t>
        </is>
      </c>
      <c r="I280" s="13" t="n">
        <v>100</v>
      </c>
      <c r="J280" s="5" t="n">
        <v>3575</v>
      </c>
      <c r="K280" s="14" t="n">
        <v>2.03</v>
      </c>
      <c r="L280" s="14" t="n">
        <v>2.44</v>
      </c>
      <c r="M280" s="5">
        <f>K280*J280</f>
        <v/>
      </c>
      <c r="N280" s="8">
        <f>(L280-K280)*J280</f>
        <v/>
      </c>
      <c r="O280" s="8" t="n">
        <v>919.11</v>
      </c>
      <c r="P280" s="7">
        <f>O280/M280*100</f>
        <v/>
      </c>
      <c r="Q280" s="9" t="n">
        <v>4.798</v>
      </c>
      <c r="R280" s="11" t="inlineStr">
        <is>
          <t>2026_H1</t>
        </is>
      </c>
    </row>
    <row r="281">
      <c r="A281" s="11" t="inlineStr">
        <is>
          <t>2026-02-16</t>
        </is>
      </c>
      <c r="B281" s="11" t="inlineStr">
        <is>
          <t>TORNTPHARM</t>
        </is>
      </c>
      <c r="C281" s="11" t="inlineStr">
        <is>
          <t>PE</t>
        </is>
      </c>
      <c r="D281" s="11" t="inlineStr">
        <is>
          <t>large</t>
        </is>
      </c>
      <c r="E281" s="12" t="n">
        <v>26.2</v>
      </c>
      <c r="F281" s="12" t="n">
        <v>7.4</v>
      </c>
      <c r="G281" s="12" t="n">
        <v>17.6</v>
      </c>
      <c r="H281" s="11" t="inlineStr">
        <is>
          <t>2026-02-24</t>
        </is>
      </c>
      <c r="I281" s="13" t="n">
        <v>4020</v>
      </c>
      <c r="J281" s="5" t="n">
        <v>250</v>
      </c>
      <c r="K281" s="14" t="n">
        <v>15</v>
      </c>
      <c r="L281" s="14" t="n">
        <v>15.1</v>
      </c>
      <c r="M281" s="5">
        <f>K281*J281</f>
        <v/>
      </c>
      <c r="N281" s="8">
        <f>(L281-K281)*J281</f>
        <v/>
      </c>
      <c r="O281" s="8" t="n">
        <v>-106.37</v>
      </c>
      <c r="P281" s="7">
        <f>O281/M281*100</f>
        <v/>
      </c>
      <c r="Q281" s="9" t="n">
        <v>-2.828</v>
      </c>
      <c r="R281" s="11" t="inlineStr">
        <is>
          <t>2026_H1</t>
        </is>
      </c>
    </row>
    <row r="282">
      <c r="A282" s="11" t="inlineStr">
        <is>
          <t>2026-04-10</t>
        </is>
      </c>
      <c r="B282" s="11" t="inlineStr">
        <is>
          <t>TCS</t>
        </is>
      </c>
      <c r="C282" s="11" t="inlineStr">
        <is>
          <t>PE</t>
        </is>
      </c>
      <c r="D282" s="11" t="inlineStr">
        <is>
          <t>large</t>
        </is>
      </c>
      <c r="E282" s="12" t="n">
        <v>12.1</v>
      </c>
      <c r="F282" s="12" t="n">
        <v>28.6</v>
      </c>
      <c r="G282" s="12" t="n">
        <v>9.6</v>
      </c>
      <c r="H282" s="11" t="inlineStr">
        <is>
          <t>2026-04-28</t>
        </is>
      </c>
      <c r="I282" s="13" t="n">
        <v>2500</v>
      </c>
      <c r="J282" s="5" t="n">
        <v>175</v>
      </c>
      <c r="K282" s="14" t="n">
        <v>39.75</v>
      </c>
      <c r="L282" s="14" t="n">
        <v>51.9</v>
      </c>
      <c r="M282" s="5">
        <f>K282*J282</f>
        <v/>
      </c>
      <c r="N282" s="8">
        <f>(L282-K282)*J282</f>
        <v/>
      </c>
      <c r="O282" s="8" t="n">
        <v>1898.08</v>
      </c>
      <c r="P282" s="7">
        <f>O282/M282*100</f>
        <v/>
      </c>
      <c r="Q282" s="9" t="n">
        <v>1.617</v>
      </c>
      <c r="R282" s="11" t="inlineStr">
        <is>
          <t>2026_H1</t>
        </is>
      </c>
    </row>
    <row r="283">
      <c r="A283" s="11" t="inlineStr">
        <is>
          <t>2026-04-20</t>
        </is>
      </c>
      <c r="B283" s="11" t="inlineStr">
        <is>
          <t>HDFCBANK</t>
        </is>
      </c>
      <c r="C283" s="11" t="inlineStr">
        <is>
          <t>PE</t>
        </is>
      </c>
      <c r="D283" s="11" t="inlineStr">
        <is>
          <t>large</t>
        </is>
      </c>
      <c r="E283" s="12" t="n">
        <v>10.7</v>
      </c>
      <c r="F283" s="12" t="n">
        <v>2.7</v>
      </c>
      <c r="G283" s="12" t="n">
        <v>0.5</v>
      </c>
      <c r="H283" s="11" t="inlineStr">
        <is>
          <t>2026-04-28</t>
        </is>
      </c>
      <c r="I283" s="13" t="n">
        <v>790</v>
      </c>
      <c r="J283" s="5" t="n">
        <v>550</v>
      </c>
      <c r="K283" s="14" t="n">
        <v>10.55</v>
      </c>
      <c r="L283" s="14" t="n">
        <v>11.05</v>
      </c>
      <c r="M283" s="5">
        <f>K283*J283</f>
        <v/>
      </c>
      <c r="N283" s="8">
        <f>(L283-K283)*J283</f>
        <v/>
      </c>
      <c r="O283" s="8" t="n">
        <v>94.70999999999999</v>
      </c>
      <c r="P283" s="7">
        <f>O283/M283*100</f>
        <v/>
      </c>
      <c r="Q283" s="9" t="n">
        <v>0.207</v>
      </c>
      <c r="R283" s="11" t="inlineStr">
        <is>
          <t>2026_H1</t>
        </is>
      </c>
    </row>
    <row r="284">
      <c r="A284" s="11" t="inlineStr">
        <is>
          <t>2026-04-21</t>
        </is>
      </c>
      <c r="B284" s="11" t="inlineStr">
        <is>
          <t>PNBHOUSING</t>
        </is>
      </c>
      <c r="C284" s="11" t="inlineStr">
        <is>
          <t>PE</t>
        </is>
      </c>
      <c r="D284" s="11" t="inlineStr">
        <is>
          <t>small</t>
        </is>
      </c>
      <c r="E284" s="12" t="n">
        <v>19.2</v>
      </c>
      <c r="F284" s="12" t="n">
        <v>26</v>
      </c>
      <c r="G284" s="12" t="n">
        <v>7.9</v>
      </c>
      <c r="H284" s="11" t="inlineStr">
        <is>
          <t>2026-04-28</t>
        </is>
      </c>
      <c r="I284" s="13" t="n">
        <v>910</v>
      </c>
      <c r="J284" s="5" t="n">
        <v>650</v>
      </c>
      <c r="K284" s="14" t="n">
        <v>8.1</v>
      </c>
      <c r="L284" s="14" t="n">
        <v>3.9</v>
      </c>
      <c r="M284" s="5">
        <f>K284*J284</f>
        <v/>
      </c>
      <c r="N284" s="8">
        <f>(L284-K284)*J284</f>
        <v/>
      </c>
      <c r="O284" s="8" t="n">
        <v>-3018.44</v>
      </c>
      <c r="P284" s="7">
        <f>O284/M284*100</f>
        <v/>
      </c>
      <c r="Q284" s="9" t="n">
        <v>-3.117</v>
      </c>
      <c r="R284" s="11" t="inlineStr">
        <is>
          <t>2026_H1</t>
        </is>
      </c>
    </row>
    <row r="285">
      <c r="A285" s="11" t="inlineStr">
        <is>
          <t>2026-04-22</t>
        </is>
      </c>
      <c r="B285" s="11" t="inlineStr">
        <is>
          <t>NESTLEIND</t>
        </is>
      </c>
      <c r="C285" s="11" t="inlineStr">
        <is>
          <t>PE</t>
        </is>
      </c>
      <c r="D285" s="11" t="inlineStr">
        <is>
          <t>large</t>
        </is>
      </c>
      <c r="E285" s="12" t="n">
        <v>27.2</v>
      </c>
      <c r="F285" s="12" t="n">
        <v>11.3</v>
      </c>
      <c r="G285" s="12" t="n">
        <v>22.6</v>
      </c>
      <c r="H285" s="11" t="inlineStr">
        <is>
          <t>2026-04-28</t>
        </is>
      </c>
      <c r="I285" s="13" t="n">
        <v>1360</v>
      </c>
      <c r="J285" s="5" t="n">
        <v>500</v>
      </c>
      <c r="K285" s="14" t="n">
        <v>11.2</v>
      </c>
      <c r="L285" s="14" t="n">
        <v>6</v>
      </c>
      <c r="M285" s="5">
        <f>K285*J285</f>
        <v/>
      </c>
      <c r="N285" s="8">
        <f>(L285-K285)*J285</f>
        <v/>
      </c>
      <c r="O285" s="8" t="n">
        <v>-2741.49</v>
      </c>
      <c r="P285" s="7">
        <f>O285/M285*100</f>
        <v/>
      </c>
      <c r="Q285" s="9" t="n">
        <v>-0.345</v>
      </c>
      <c r="R285" s="11" t="inlineStr">
        <is>
          <t>2026_H1</t>
        </is>
      </c>
    </row>
    <row r="286">
      <c r="A286" s="11" t="inlineStr">
        <is>
          <t>2026-04-22</t>
        </is>
      </c>
      <c r="B286" s="11" t="inlineStr">
        <is>
          <t>PERSISTENT</t>
        </is>
      </c>
      <c r="C286" s="11" t="inlineStr">
        <is>
          <t>PE</t>
        </is>
      </c>
      <c r="D286" s="11" t="inlineStr">
        <is>
          <t>mid</t>
        </is>
      </c>
      <c r="E286" s="12" t="n">
        <v>33.7</v>
      </c>
      <c r="F286" s="12" t="n">
        <v>20.4</v>
      </c>
      <c r="G286" s="12" t="n">
        <v>25.1</v>
      </c>
      <c r="H286" s="11" t="inlineStr">
        <is>
          <t>2026-04-28</t>
        </is>
      </c>
      <c r="I286" s="13" t="n">
        <v>5000</v>
      </c>
      <c r="J286" s="5" t="n">
        <v>100</v>
      </c>
      <c r="K286" s="14" t="n">
        <v>70.05</v>
      </c>
      <c r="L286" s="14" t="n">
        <v>72.25</v>
      </c>
      <c r="M286" s="5">
        <f>K286*J286</f>
        <v/>
      </c>
      <c r="N286" s="8">
        <f>(L286-K286)*J286</f>
        <v/>
      </c>
      <c r="O286" s="8" t="n">
        <v>-128.84</v>
      </c>
      <c r="P286" s="7">
        <f>O286/M286*100</f>
        <v/>
      </c>
      <c r="Q286" s="9" t="n">
        <v>2.769</v>
      </c>
      <c r="R286" s="11" t="inlineStr">
        <is>
          <t>2026_H1</t>
        </is>
      </c>
    </row>
    <row r="287">
      <c r="A287" s="11" t="inlineStr">
        <is>
          <t>2026-04-22</t>
        </is>
      </c>
      <c r="B287" s="11" t="inlineStr">
        <is>
          <t>TATAELXSI</t>
        </is>
      </c>
      <c r="C287" s="11" t="inlineStr">
        <is>
          <t>PE</t>
        </is>
      </c>
      <c r="D287" s="11" t="inlineStr">
        <is>
          <t>small</t>
        </is>
      </c>
      <c r="E287" s="12" t="n">
        <v>27.8</v>
      </c>
      <c r="F287" s="12" t="n">
        <v>102.4</v>
      </c>
      <c r="G287" s="12" t="n">
        <v>9.4</v>
      </c>
      <c r="H287" s="11" t="inlineStr">
        <is>
          <t>2026-04-28</t>
        </is>
      </c>
      <c r="I287" s="13" t="n">
        <v>4450</v>
      </c>
      <c r="J287" s="5" t="n">
        <v>100</v>
      </c>
      <c r="K287" s="14" t="n">
        <v>65.05</v>
      </c>
      <c r="L287" s="14" t="n">
        <v>188.95</v>
      </c>
      <c r="M287" s="5">
        <f>K287*J287</f>
        <v/>
      </c>
      <c r="N287" s="8">
        <f>(L287-K287)*J287</f>
        <v/>
      </c>
      <c r="O287" s="8" t="n">
        <v>11541.58</v>
      </c>
      <c r="P287" s="7">
        <f>O287/M287*100</f>
        <v/>
      </c>
      <c r="Q287" s="9" t="n">
        <v>4.948</v>
      </c>
      <c r="R287" s="11" t="inlineStr">
        <is>
          <t>2026_H1</t>
        </is>
      </c>
    </row>
    <row r="288">
      <c r="A288" s="11" t="inlineStr">
        <is>
          <t>2026-04-23</t>
        </is>
      </c>
      <c r="B288" s="11" t="inlineStr">
        <is>
          <t>HAVELLS</t>
        </is>
      </c>
      <c r="C288" s="11" t="inlineStr">
        <is>
          <t>PE</t>
        </is>
      </c>
      <c r="D288" s="11" t="inlineStr">
        <is>
          <t>mid</t>
        </is>
      </c>
      <c r="E288" s="12" t="n">
        <v>39.9</v>
      </c>
      <c r="F288" s="12" t="n">
        <v>141.1</v>
      </c>
      <c r="G288" s="12" t="n">
        <v>2.5</v>
      </c>
      <c r="H288" s="11" t="inlineStr">
        <is>
          <t>2026-04-28</t>
        </is>
      </c>
      <c r="I288" s="13" t="n">
        <v>1260</v>
      </c>
      <c r="J288" s="5" t="n">
        <v>500</v>
      </c>
      <c r="K288" s="14" t="n">
        <v>12.8</v>
      </c>
      <c r="L288" s="14" t="n">
        <v>29.35</v>
      </c>
      <c r="M288" s="5">
        <f>K288*J288</f>
        <v/>
      </c>
      <c r="N288" s="8">
        <f>(L288-K288)*J288</f>
        <v/>
      </c>
      <c r="O288" s="8" t="n">
        <v>7775.25</v>
      </c>
      <c r="P288" s="7">
        <f>O288/M288*100</f>
        <v/>
      </c>
      <c r="Q288" s="9" t="n">
        <v>2.649</v>
      </c>
      <c r="R288" s="11" t="inlineStr">
        <is>
          <t>2026_H1</t>
        </is>
      </c>
    </row>
    <row r="289">
      <c r="A289" s="11" t="inlineStr">
        <is>
          <t>2026-04-23</t>
        </is>
      </c>
      <c r="B289" s="11" t="inlineStr">
        <is>
          <t>OFSS</t>
        </is>
      </c>
      <c r="C289" s="11" t="inlineStr">
        <is>
          <t>PE</t>
        </is>
      </c>
      <c r="D289" s="11" t="inlineStr">
        <is>
          <t>mid</t>
        </is>
      </c>
      <c r="E289" s="12" t="n">
        <v>30.7</v>
      </c>
      <c r="F289" s="12" t="n">
        <v>38.1</v>
      </c>
      <c r="G289" s="12" t="n">
        <v>20.3</v>
      </c>
      <c r="H289" s="11" t="inlineStr">
        <is>
          <t>2026-04-28</t>
        </is>
      </c>
      <c r="I289" s="13" t="n">
        <v>8100</v>
      </c>
      <c r="J289" s="5" t="n">
        <v>75</v>
      </c>
      <c r="K289" s="14" t="n">
        <v>80.05</v>
      </c>
      <c r="L289" s="14" t="n">
        <v>18</v>
      </c>
      <c r="M289" s="5">
        <f>K289*J289</f>
        <v/>
      </c>
      <c r="N289" s="8">
        <f>(L289-K289)*J289</f>
        <v/>
      </c>
      <c r="O289" s="8" t="n">
        <v>-4853.32</v>
      </c>
      <c r="P289" s="7">
        <f>O289/M289*100</f>
        <v/>
      </c>
      <c r="Q289" s="9" t="n">
        <v>-4.288</v>
      </c>
      <c r="R289" s="11" t="inlineStr">
        <is>
          <t>2026_H1</t>
        </is>
      </c>
    </row>
    <row r="290">
      <c r="A290" s="11" t="inlineStr">
        <is>
          <t>2026-04-23</t>
        </is>
      </c>
      <c r="B290" s="11" t="inlineStr">
        <is>
          <t>TECHM</t>
        </is>
      </c>
      <c r="C290" s="11" t="inlineStr">
        <is>
          <t>PE</t>
        </is>
      </c>
      <c r="D290" s="11" t="inlineStr">
        <is>
          <t>large</t>
        </is>
      </c>
      <c r="E290" s="12" t="n">
        <v>18.8</v>
      </c>
      <c r="F290" s="12" t="n">
        <v>21.3</v>
      </c>
      <c r="G290" s="12" t="n">
        <v>12.6</v>
      </c>
      <c r="H290" s="11" t="inlineStr">
        <is>
          <t>2026-04-28</t>
        </is>
      </c>
      <c r="I290" s="13" t="n">
        <v>1400</v>
      </c>
      <c r="J290" s="5" t="n">
        <v>600</v>
      </c>
      <c r="K290" s="14" t="n">
        <v>7.85</v>
      </c>
      <c r="L290" s="14" t="n">
        <v>11</v>
      </c>
      <c r="M290" s="5">
        <f>K290*J290</f>
        <v/>
      </c>
      <c r="N290" s="8">
        <f>(L290-K290)*J290</f>
        <v/>
      </c>
      <c r="O290" s="8" t="n">
        <v>1714.92</v>
      </c>
      <c r="P290" s="7">
        <f>O290/M290*100</f>
        <v/>
      </c>
      <c r="Q290" s="9" t="n">
        <v>3.312</v>
      </c>
      <c r="R290" s="11" t="inlineStr">
        <is>
          <t>2026_H1</t>
        </is>
      </c>
    </row>
    <row r="291">
      <c r="A291" s="11" t="inlineStr">
        <is>
          <t>2026-04-24</t>
        </is>
      </c>
      <c r="B291" s="11" t="inlineStr">
        <is>
          <t>INFY</t>
        </is>
      </c>
      <c r="C291" s="11" t="inlineStr">
        <is>
          <t>PE</t>
        </is>
      </c>
      <c r="D291" s="11" t="inlineStr">
        <is>
          <t>large</t>
        </is>
      </c>
      <c r="E291" s="12" t="n">
        <v>20.9</v>
      </c>
      <c r="F291" s="12" t="n">
        <v>27.6</v>
      </c>
      <c r="G291" s="12" t="n">
        <v>13.4</v>
      </c>
      <c r="H291" s="11" t="inlineStr">
        <is>
          <t>2026-04-28</t>
        </is>
      </c>
      <c r="I291" s="13" t="n">
        <v>1180</v>
      </c>
      <c r="J291" s="5" t="n">
        <v>400</v>
      </c>
      <c r="K291" s="14" t="n">
        <v>14.05</v>
      </c>
      <c r="L291" s="14" t="n">
        <v>27.25</v>
      </c>
      <c r="M291" s="5">
        <f>K291*J291</f>
        <v/>
      </c>
      <c r="N291" s="8">
        <f>(L291-K291)*J291</f>
        <v/>
      </c>
      <c r="O291" s="8" t="n">
        <v>5044.13</v>
      </c>
      <c r="P291" s="7">
        <f>O291/M291*100</f>
        <v/>
      </c>
      <c r="Q291" s="9" t="n">
        <v>3.783</v>
      </c>
      <c r="R291" s="11" t="inlineStr">
        <is>
          <t>2026_H1</t>
        </is>
      </c>
    </row>
    <row r="292">
      <c r="A292" s="11" t="inlineStr">
        <is>
          <t>2026-04-24</t>
        </is>
      </c>
      <c r="B292" s="11" t="inlineStr">
        <is>
          <t>LTM</t>
        </is>
      </c>
      <c r="C292" s="11" t="inlineStr">
        <is>
          <t>PE</t>
        </is>
      </c>
      <c r="D292" s="11" t="inlineStr">
        <is>
          <t>large</t>
        </is>
      </c>
      <c r="E292" s="12" t="n">
        <v>22.9</v>
      </c>
      <c r="F292" s="12" t="n">
        <v>44.6</v>
      </c>
      <c r="G292" s="12" t="n">
        <v>15.6</v>
      </c>
      <c r="H292" s="11" t="inlineStr">
        <is>
          <t>2026-04-28</t>
        </is>
      </c>
      <c r="I292" s="13" t="n">
        <v>4250</v>
      </c>
      <c r="J292" s="5" t="n">
        <v>150</v>
      </c>
      <c r="K292" s="14" t="n">
        <v>27.95</v>
      </c>
      <c r="L292" s="14" t="n">
        <v>45.95</v>
      </c>
      <c r="M292" s="5">
        <f>K292*J292</f>
        <v/>
      </c>
      <c r="N292" s="8">
        <f>(L292-K292)*J292</f>
        <v/>
      </c>
      <c r="O292" s="8" t="n">
        <v>2526.82</v>
      </c>
      <c r="P292" s="7">
        <f>O292/M292*100</f>
        <v/>
      </c>
      <c r="Q292" s="9" t="n">
        <v>3.552</v>
      </c>
      <c r="R292" s="11" t="inlineStr">
        <is>
          <t>2026_H1</t>
        </is>
      </c>
    </row>
    <row r="293">
      <c r="A293" s="11" t="inlineStr">
        <is>
          <t>2026-04-27</t>
        </is>
      </c>
      <c r="B293" s="11" t="inlineStr">
        <is>
          <t>HINDZINC</t>
        </is>
      </c>
      <c r="C293" s="11" t="inlineStr">
        <is>
          <t>PE</t>
        </is>
      </c>
      <c r="D293" s="11" t="inlineStr">
        <is>
          <t>large</t>
        </is>
      </c>
      <c r="E293" s="12" t="n">
        <v>67.59999999999999</v>
      </c>
      <c r="F293" s="12" t="n">
        <v>28.5</v>
      </c>
      <c r="G293" s="12" t="n">
        <v>49</v>
      </c>
      <c r="H293" s="11" t="inlineStr">
        <is>
          <t>2026-05-26</t>
        </is>
      </c>
      <c r="I293" s="13" t="n">
        <v>530</v>
      </c>
      <c r="J293" s="5" t="n">
        <v>1225</v>
      </c>
      <c r="K293" s="14" t="n">
        <v>6.35</v>
      </c>
      <c r="L293" s="14" t="n">
        <v>2.7</v>
      </c>
      <c r="M293" s="5">
        <f>K293*J293</f>
        <v/>
      </c>
      <c r="N293" s="8">
        <f>(L293-K293)*J293</f>
        <v/>
      </c>
      <c r="O293" s="8" t="n">
        <v>-4639.16</v>
      </c>
      <c r="P293" s="7">
        <f>O293/M293*100</f>
        <v/>
      </c>
      <c r="Q293" s="9" t="n">
        <v>-3.596</v>
      </c>
      <c r="R293" s="11" t="inlineStr">
        <is>
          <t>2026_H1</t>
        </is>
      </c>
    </row>
    <row r="294">
      <c r="A294" s="11" t="inlineStr">
        <is>
          <t>2026-04-27</t>
        </is>
      </c>
      <c r="B294" s="11" t="inlineStr">
        <is>
          <t>LTF</t>
        </is>
      </c>
      <c r="C294" s="11" t="inlineStr">
        <is>
          <t>PE</t>
        </is>
      </c>
      <c r="D294" s="11" t="inlineStr">
        <is>
          <t>mid</t>
        </is>
      </c>
      <c r="E294" s="12" t="n">
        <v>27.3</v>
      </c>
      <c r="F294" s="12" t="n">
        <v>9.6</v>
      </c>
      <c r="G294" s="12" t="n">
        <v>18.6</v>
      </c>
      <c r="H294" s="11" t="inlineStr">
        <is>
          <t>2026-05-26</t>
        </is>
      </c>
      <c r="I294" s="13" t="n">
        <v>260</v>
      </c>
      <c r="J294" s="5" t="n">
        <v>2250</v>
      </c>
      <c r="K294" s="14" t="n">
        <v>3.55</v>
      </c>
      <c r="L294" s="14" t="n">
        <v>3.54</v>
      </c>
      <c r="M294" s="5">
        <f>K294*J294</f>
        <v/>
      </c>
      <c r="N294" s="8">
        <f>(L294-K294)*J294</f>
        <v/>
      </c>
      <c r="O294" s="8" t="n">
        <v>-407.65</v>
      </c>
      <c r="P294" s="7">
        <f>O294/M294*100</f>
        <v/>
      </c>
      <c r="Q294" s="9" t="n">
        <v>1.34</v>
      </c>
      <c r="R294" s="11" t="inlineStr">
        <is>
          <t>2026_H1</t>
        </is>
      </c>
    </row>
    <row r="295">
      <c r="A295" s="11" t="inlineStr">
        <is>
          <t>2026-04-27</t>
        </is>
      </c>
      <c r="B295" s="11" t="inlineStr">
        <is>
          <t>RBLBANK</t>
        </is>
      </c>
      <c r="C295" s="11" t="inlineStr">
        <is>
          <t>PE</t>
        </is>
      </c>
      <c r="D295" s="11" t="inlineStr">
        <is>
          <t>small</t>
        </is>
      </c>
      <c r="E295" s="12" t="n">
        <v>181</v>
      </c>
      <c r="F295" s="12" t="n">
        <v>7.2</v>
      </c>
      <c r="G295" s="12" t="n">
        <v>7</v>
      </c>
      <c r="H295" s="11" t="inlineStr">
        <is>
          <t>2026-05-26</t>
        </is>
      </c>
      <c r="I295" s="13" t="n">
        <v>285</v>
      </c>
      <c r="J295" s="5" t="n">
        <v>3175</v>
      </c>
      <c r="K295" s="14" t="n">
        <v>2.35</v>
      </c>
      <c r="L295" s="14" t="n">
        <v>2.25</v>
      </c>
      <c r="M295" s="5">
        <f>K295*J295</f>
        <v/>
      </c>
      <c r="N295" s="8">
        <f>(L295-K295)*J295</f>
        <v/>
      </c>
      <c r="O295" s="8" t="n">
        <v>-819.9400000000001</v>
      </c>
      <c r="P295" s="7">
        <f>O295/M295*100</f>
        <v/>
      </c>
      <c r="Q295" s="9" t="n">
        <v>1.635</v>
      </c>
      <c r="R295" s="11" t="inlineStr">
        <is>
          <t>2026_H1</t>
        </is>
      </c>
    </row>
    <row r="296">
      <c r="A296" s="11" t="inlineStr">
        <is>
          <t>2026-04-28</t>
        </is>
      </c>
      <c r="B296" s="11" t="inlineStr">
        <is>
          <t>AUBANK</t>
        </is>
      </c>
      <c r="C296" s="11" t="inlineStr">
        <is>
          <t>PE</t>
        </is>
      </c>
      <c r="D296" s="11" t="inlineStr">
        <is>
          <t>mid</t>
        </is>
      </c>
      <c r="E296" s="12" t="n">
        <v>65.2</v>
      </c>
      <c r="F296" s="12" t="n">
        <v>24.6</v>
      </c>
      <c r="G296" s="12" t="n">
        <v>17.5</v>
      </c>
      <c r="H296" s="11" t="inlineStr">
        <is>
          <t>2026-05-26</t>
        </is>
      </c>
      <c r="I296" s="13" t="n">
        <v>930</v>
      </c>
      <c r="J296" s="5" t="n">
        <v>1000</v>
      </c>
      <c r="K296" s="14" t="n">
        <v>7.7</v>
      </c>
      <c r="L296" s="14" t="n">
        <v>6.25</v>
      </c>
      <c r="M296" s="5">
        <f>K296*J296</f>
        <v/>
      </c>
      <c r="N296" s="8">
        <f>(L296-K296)*J296</f>
        <v/>
      </c>
      <c r="O296" s="8" t="n">
        <v>-1791.68</v>
      </c>
      <c r="P296" s="7">
        <f>O296/M296*100</f>
        <v/>
      </c>
      <c r="Q296" s="9" t="n">
        <v>3.773</v>
      </c>
      <c r="R296" s="11" t="inlineStr">
        <is>
          <t>2026_H1</t>
        </is>
      </c>
    </row>
    <row r="297">
      <c r="A297" s="11" t="inlineStr">
        <is>
          <t>2026-04-28</t>
        </is>
      </c>
      <c r="B297" s="11" t="inlineStr">
        <is>
          <t>PHOENIXLTD</t>
        </is>
      </c>
      <c r="C297" s="11" t="inlineStr">
        <is>
          <t>PE</t>
        </is>
      </c>
      <c r="D297" s="11" t="inlineStr">
        <is>
          <t>mid</t>
        </is>
      </c>
      <c r="E297" s="12" t="n">
        <v>39.6</v>
      </c>
      <c r="F297" s="12" t="n">
        <v>32.6</v>
      </c>
      <c r="G297" s="12" t="n">
        <v>21.3</v>
      </c>
      <c r="H297" s="11" t="inlineStr">
        <is>
          <t>2026-05-26</t>
        </is>
      </c>
      <c r="I297" s="13" t="n">
        <v>1680</v>
      </c>
      <c r="J297" s="5" t="n">
        <v>350</v>
      </c>
      <c r="K297" s="14" t="n">
        <v>16.05</v>
      </c>
      <c r="L297" s="14" t="n">
        <v>28.85</v>
      </c>
      <c r="M297" s="5">
        <f>K297*J297</f>
        <v/>
      </c>
      <c r="N297" s="8">
        <f>(L297-K297)*J297</f>
        <v/>
      </c>
      <c r="O297" s="8" t="n">
        <v>4096.56</v>
      </c>
      <c r="P297" s="7">
        <f>O297/M297*100</f>
        <v/>
      </c>
      <c r="Q297" s="9" t="n">
        <v>3.192</v>
      </c>
      <c r="R297" s="11" t="inlineStr">
        <is>
          <t>2026_H1</t>
        </is>
      </c>
    </row>
    <row r="298">
      <c r="A298" s="11" t="inlineStr">
        <is>
          <t>2026-04-28</t>
        </is>
      </c>
      <c r="B298" s="11" t="inlineStr">
        <is>
          <t>SBICARD</t>
        </is>
      </c>
      <c r="C298" s="11" t="inlineStr">
        <is>
          <t>PE</t>
        </is>
      </c>
      <c r="D298" s="11" t="inlineStr">
        <is>
          <t>mid</t>
        </is>
      </c>
      <c r="E298" s="12" t="n">
        <v>14.1</v>
      </c>
      <c r="F298" s="12" t="n">
        <v>9.5</v>
      </c>
      <c r="G298" s="12" t="n">
        <v>5.6</v>
      </c>
      <c r="H298" s="11" t="inlineStr">
        <is>
          <t>2026-05-26</t>
        </is>
      </c>
      <c r="I298" s="13" t="n">
        <v>610</v>
      </c>
      <c r="J298" s="5" t="n">
        <v>800</v>
      </c>
      <c r="K298" s="14" t="n">
        <v>9.5</v>
      </c>
      <c r="L298" s="14" t="n">
        <v>7.6</v>
      </c>
      <c r="M298" s="5">
        <f>K298*J298</f>
        <v/>
      </c>
      <c r="N298" s="8">
        <f>(L298-K298)*J298</f>
        <v/>
      </c>
      <c r="O298" s="8" t="n">
        <v>-1855.91</v>
      </c>
      <c r="P298" s="7">
        <f>O298/M298*100</f>
        <v/>
      </c>
      <c r="Q298" s="9" t="n">
        <v>0.865</v>
      </c>
      <c r="R298" s="11" t="inlineStr">
        <is>
          <t>2026_H1</t>
        </is>
      </c>
    </row>
    <row r="299">
      <c r="A299" s="11" t="inlineStr">
        <is>
          <t>2026-04-28</t>
        </is>
      </c>
      <c r="B299" s="11" t="inlineStr">
        <is>
          <t>SUPREMEIND</t>
        </is>
      </c>
      <c r="C299" s="11" t="inlineStr">
        <is>
          <t>PE</t>
        </is>
      </c>
      <c r="D299" s="11" t="inlineStr">
        <is>
          <t>mid</t>
        </is>
      </c>
      <c r="E299" s="12" t="n">
        <v>47.5</v>
      </c>
      <c r="F299" s="12" t="n">
        <v>182.7</v>
      </c>
      <c r="G299" s="12" t="n">
        <v>16.5</v>
      </c>
      <c r="H299" s="11" t="inlineStr">
        <is>
          <t>2026-05-26</t>
        </is>
      </c>
      <c r="I299" s="13" t="n">
        <v>3400</v>
      </c>
      <c r="J299" s="5" t="n">
        <v>175</v>
      </c>
      <c r="K299" s="14" t="n">
        <v>40.05</v>
      </c>
      <c r="L299" s="14" t="n">
        <v>44.7</v>
      </c>
      <c r="M299" s="5">
        <f>K299*J299</f>
        <v/>
      </c>
      <c r="N299" s="8">
        <f>(L299-K299)*J299</f>
        <v/>
      </c>
      <c r="O299" s="8" t="n">
        <v>451.75</v>
      </c>
      <c r="P299" s="7">
        <f>O299/M299*100</f>
        <v/>
      </c>
      <c r="Q299" s="9" t="n">
        <v>1.851</v>
      </c>
      <c r="R299" s="11" t="inlineStr">
        <is>
          <t>2026_H1</t>
        </is>
      </c>
    </row>
    <row r="300">
      <c r="A300" s="11" t="inlineStr">
        <is>
          <t>2026-04-28</t>
        </is>
      </c>
      <c r="B300" s="11" t="inlineStr">
        <is>
          <t>ULTRACEMCO</t>
        </is>
      </c>
      <c r="C300" s="11" t="inlineStr">
        <is>
          <t>PE</t>
        </is>
      </c>
      <c r="D300" s="11" t="inlineStr">
        <is>
          <t>large</t>
        </is>
      </c>
      <c r="E300" s="12" t="n">
        <v>21.2</v>
      </c>
      <c r="F300" s="12" t="n">
        <v>73.5</v>
      </c>
      <c r="G300" s="12" t="n">
        <v>11.9</v>
      </c>
      <c r="H300" s="11" t="inlineStr">
        <is>
          <t>2026-05-26</t>
        </is>
      </c>
      <c r="I300" s="13" t="n">
        <v>11500</v>
      </c>
      <c r="J300" s="5" t="n">
        <v>50</v>
      </c>
      <c r="K300" s="14" t="n">
        <v>160</v>
      </c>
      <c r="L300" s="14" t="n">
        <v>223.25</v>
      </c>
      <c r="M300" s="5">
        <f>K300*J300</f>
        <v/>
      </c>
      <c r="N300" s="8">
        <f>(L300-K300)*J300</f>
        <v/>
      </c>
      <c r="O300" s="8" t="n">
        <v>2898.64</v>
      </c>
      <c r="P300" s="7">
        <f>O300/M300*100</f>
        <v/>
      </c>
      <c r="Q300" s="9" t="n">
        <v>3.786</v>
      </c>
      <c r="R300" s="11" t="inlineStr">
        <is>
          <t>2026_H1</t>
        </is>
      </c>
    </row>
    <row r="301">
      <c r="A301" s="11" t="inlineStr">
        <is>
          <t>2026-04-28</t>
        </is>
      </c>
      <c r="B301" s="11" t="inlineStr">
        <is>
          <t>VBL</t>
        </is>
      </c>
      <c r="C301" s="11" t="inlineStr">
        <is>
          <t>PE</t>
        </is>
      </c>
      <c r="D301" s="11" t="inlineStr">
        <is>
          <t>large</t>
        </is>
      </c>
      <c r="E301" s="12" t="n">
        <v>20.1</v>
      </c>
      <c r="F301" s="12" t="n">
        <v>238</v>
      </c>
      <c r="G301" s="12" t="n">
        <v>18.3</v>
      </c>
      <c r="H301" s="11" t="inlineStr">
        <is>
          <t>2026-05-26</t>
        </is>
      </c>
      <c r="I301" s="13" t="n">
        <v>485</v>
      </c>
      <c r="J301" s="5" t="n">
        <v>1125</v>
      </c>
      <c r="K301" s="14" t="n">
        <v>6.95</v>
      </c>
      <c r="L301" s="14" t="n">
        <v>6.05</v>
      </c>
      <c r="M301" s="5">
        <f>K301*J301</f>
        <v/>
      </c>
      <c r="N301" s="8">
        <f>(L301-K301)*J301</f>
        <v/>
      </c>
      <c r="O301" s="8" t="n">
        <v>-1222.55</v>
      </c>
      <c r="P301" s="7">
        <f>O301/M301*100</f>
        <v/>
      </c>
      <c r="Q301" s="9" t="n">
        <v>0.5659999999999999</v>
      </c>
      <c r="R301" s="11" t="inlineStr">
        <is>
          <t>2026_H1</t>
        </is>
      </c>
    </row>
    <row r="302">
      <c r="A302" s="11" t="inlineStr">
        <is>
          <t>2026-04-30</t>
        </is>
      </c>
      <c r="B302" s="11" t="inlineStr">
        <is>
          <t>BAJFINANCE</t>
        </is>
      </c>
      <c r="C302" s="11" t="inlineStr">
        <is>
          <t>PE</t>
        </is>
      </c>
      <c r="D302" s="11" t="inlineStr">
        <is>
          <t>large</t>
        </is>
      </c>
      <c r="E302" s="12" t="n">
        <v>22.2</v>
      </c>
      <c r="F302" s="12" t="n">
        <v>36.6</v>
      </c>
      <c r="G302" s="12" t="n">
        <v>17.1</v>
      </c>
      <c r="H302" s="11" t="inlineStr">
        <is>
          <t>2026-05-26</t>
        </is>
      </c>
      <c r="I302" s="13" t="n">
        <v>890</v>
      </c>
      <c r="J302" s="5" t="n">
        <v>750</v>
      </c>
      <c r="K302" s="14" t="n">
        <v>10</v>
      </c>
      <c r="L302" s="14" t="n">
        <v>11.85</v>
      </c>
      <c r="M302" s="5">
        <f>K302*J302</f>
        <v/>
      </c>
      <c r="N302" s="8">
        <f>(L302-K302)*J302</f>
        <v/>
      </c>
      <c r="O302" s="8" t="n">
        <v>1155.97</v>
      </c>
      <c r="P302" s="7">
        <f>O302/M302*100</f>
        <v/>
      </c>
      <c r="Q302" s="9" t="n">
        <v>0.847</v>
      </c>
      <c r="R302" s="11" t="inlineStr">
        <is>
          <t>2026_H1</t>
        </is>
      </c>
    </row>
    <row r="303">
      <c r="A303" s="11" t="inlineStr">
        <is>
          <t>2026-04-30</t>
        </is>
      </c>
      <c r="B303" s="11" t="inlineStr">
        <is>
          <t>FEDERALBNK</t>
        </is>
      </c>
      <c r="C303" s="11" t="inlineStr">
        <is>
          <t>PE</t>
        </is>
      </c>
      <c r="D303" s="11" t="inlineStr">
        <is>
          <t>mid</t>
        </is>
      </c>
      <c r="E303" s="12" t="n">
        <v>22.9</v>
      </c>
      <c r="F303" s="12" t="n">
        <v>22.6</v>
      </c>
      <c r="G303" s="12" t="n">
        <v>11.8</v>
      </c>
      <c r="H303" s="11" t="inlineStr">
        <is>
          <t>2026-05-26</t>
        </is>
      </c>
      <c r="I303" s="13" t="n">
        <v>267.5</v>
      </c>
      <c r="J303" s="5" t="n">
        <v>2500</v>
      </c>
      <c r="K303" s="14" t="n">
        <v>2.9</v>
      </c>
      <c r="L303" s="14" t="n">
        <v>2.45</v>
      </c>
      <c r="M303" s="5">
        <f>K303*J303</f>
        <v/>
      </c>
      <c r="N303" s="8">
        <f>(L303-K303)*J303</f>
        <v/>
      </c>
      <c r="O303" s="8" t="n">
        <v>-1454.74</v>
      </c>
      <c r="P303" s="7">
        <f>O303/M303*100</f>
        <v/>
      </c>
      <c r="Q303" s="9" t="n">
        <v>-0.79</v>
      </c>
      <c r="R303" s="11" t="inlineStr">
        <is>
          <t>2026_H1</t>
        </is>
      </c>
    </row>
    <row r="304">
      <c r="A304" s="11" t="inlineStr">
        <is>
          <t>2026-04-30</t>
        </is>
      </c>
      <c r="B304" s="11" t="inlineStr">
        <is>
          <t>FORCEMOT</t>
        </is>
      </c>
      <c r="C304" s="11" t="inlineStr">
        <is>
          <t>CE</t>
        </is>
      </c>
      <c r="D304" s="11" t="inlineStr">
        <is>
          <t>small</t>
        </is>
      </c>
      <c r="E304" s="12" t="n">
        <v>-35.9</v>
      </c>
      <c r="F304" s="12" t="n">
        <v>-31.4</v>
      </c>
      <c r="G304" s="12" t="n">
        <v>8.199999999999999</v>
      </c>
      <c r="H304" s="11" t="inlineStr">
        <is>
          <t>2026-05-26</t>
        </is>
      </c>
      <c r="I304" s="13" t="n">
        <v>24500</v>
      </c>
      <c r="J304" s="5" t="n">
        <v>25</v>
      </c>
      <c r="K304" s="14" t="n">
        <v>256.2</v>
      </c>
      <c r="L304" s="14" t="n">
        <v>125.35</v>
      </c>
      <c r="M304" s="5">
        <f>K304*J304</f>
        <v/>
      </c>
      <c r="N304" s="8">
        <f>(L304-K304)*J304</f>
        <v/>
      </c>
      <c r="O304" s="8" t="n">
        <v>-3613.51</v>
      </c>
      <c r="P304" s="7">
        <f>O304/M304*100</f>
        <v/>
      </c>
      <c r="Q304" s="9" t="n">
        <v>-3.613</v>
      </c>
      <c r="R304" s="11" t="inlineStr">
        <is>
          <t>2026_H1</t>
        </is>
      </c>
    </row>
    <row r="305">
      <c r="A305" s="11" t="inlineStr">
        <is>
          <t>2026-04-30</t>
        </is>
      </c>
      <c r="B305" s="11" t="inlineStr">
        <is>
          <t>MPHASIS</t>
        </is>
      </c>
      <c r="C305" s="11" t="inlineStr">
        <is>
          <t>PE</t>
        </is>
      </c>
      <c r="D305" s="11" t="inlineStr">
        <is>
          <t>mid</t>
        </is>
      </c>
      <c r="E305" s="12" t="n">
        <v>14.1</v>
      </c>
      <c r="F305" s="12" t="n">
        <v>15.3</v>
      </c>
      <c r="G305" s="12" t="n">
        <v>14.4</v>
      </c>
      <c r="H305" s="11" t="inlineStr">
        <is>
          <t>2026-05-26</t>
        </is>
      </c>
      <c r="I305" s="13" t="n">
        <v>2100</v>
      </c>
      <c r="J305" s="5" t="n">
        <v>275</v>
      </c>
      <c r="K305" s="14" t="n">
        <v>28.05</v>
      </c>
      <c r="L305" s="14" t="n">
        <v>25.45</v>
      </c>
      <c r="M305" s="5">
        <f>K305*J305</f>
        <v/>
      </c>
      <c r="N305" s="8">
        <f>(L305-K305)*J305</f>
        <v/>
      </c>
      <c r="O305" s="8" t="n">
        <v>-1073.37</v>
      </c>
      <c r="P305" s="7">
        <f>O305/M305*100</f>
        <v/>
      </c>
      <c r="Q305" s="9" t="n">
        <v>1.633</v>
      </c>
      <c r="R305" s="11" t="inlineStr">
        <is>
          <t>2026_H1</t>
        </is>
      </c>
    </row>
    <row r="306">
      <c r="A306" s="11" t="inlineStr">
        <is>
          <t>2026-05-04</t>
        </is>
      </c>
      <c r="B306" s="11" t="inlineStr">
        <is>
          <t>APLAPOLLO</t>
        </is>
      </c>
      <c r="C306" s="11" t="inlineStr">
        <is>
          <t>PE</t>
        </is>
      </c>
      <c r="D306" s="11" t="inlineStr">
        <is>
          <t>mid</t>
        </is>
      </c>
      <c r="E306" s="12" t="n">
        <v>20.9</v>
      </c>
      <c r="F306" s="12" t="n">
        <v>14.3</v>
      </c>
      <c r="G306" s="12" t="n">
        <v>13.8</v>
      </c>
      <c r="H306" s="11" t="inlineStr">
        <is>
          <t>2026-05-26</t>
        </is>
      </c>
      <c r="I306" s="13" t="n">
        <v>1800</v>
      </c>
      <c r="J306" s="5" t="n">
        <v>350</v>
      </c>
      <c r="K306" s="14" t="n">
        <v>18.05</v>
      </c>
      <c r="L306" s="14" t="n">
        <v>24.7</v>
      </c>
      <c r="M306" s="5">
        <f>K306*J306</f>
        <v/>
      </c>
      <c r="N306" s="8">
        <f>(L306-K306)*J306</f>
        <v/>
      </c>
      <c r="O306" s="8" t="n">
        <v>1961.6</v>
      </c>
      <c r="P306" s="7">
        <f>O306/M306*100</f>
        <v/>
      </c>
      <c r="Q306" s="9" t="n">
        <v>1.942</v>
      </c>
      <c r="R306" s="11" t="inlineStr">
        <is>
          <t>2026_H1</t>
        </is>
      </c>
    </row>
    <row r="307">
      <c r="A307" s="11" t="inlineStr">
        <is>
          <t>2026-05-04</t>
        </is>
      </c>
      <c r="B307" s="11" t="inlineStr">
        <is>
          <t>CDSL</t>
        </is>
      </c>
      <c r="C307" s="11" t="inlineStr">
        <is>
          <t>CE</t>
        </is>
      </c>
      <c r="D307" s="11" t="inlineStr">
        <is>
          <t>small</t>
        </is>
      </c>
      <c r="E307" s="12" t="n">
        <v>-20.5</v>
      </c>
      <c r="F307" s="12" t="n">
        <v>-40</v>
      </c>
      <c r="G307" s="12" t="n">
        <v>17.1</v>
      </c>
      <c r="H307" s="11" t="inlineStr">
        <is>
          <t>2026-05-26</t>
        </is>
      </c>
      <c r="I307" s="13" t="n">
        <v>1360</v>
      </c>
      <c r="J307" s="5" t="n">
        <v>475</v>
      </c>
      <c r="K307" s="14" t="n">
        <v>13</v>
      </c>
      <c r="L307" s="14" t="n">
        <v>9.65</v>
      </c>
      <c r="M307" s="5">
        <f>K307*J307</f>
        <v/>
      </c>
      <c r="N307" s="8">
        <f>(L307-K307)*J307</f>
        <v/>
      </c>
      <c r="O307" s="8" t="n">
        <v>-1972.8</v>
      </c>
      <c r="P307" s="7">
        <f>O307/M307*100</f>
        <v/>
      </c>
      <c r="Q307" s="9" t="n">
        <v>-1.425</v>
      </c>
      <c r="R307" s="11" t="inlineStr">
        <is>
          <t>2026_H1</t>
        </is>
      </c>
    </row>
    <row r="308">
      <c r="A308" s="11" t="inlineStr">
        <is>
          <t>2026-05-04</t>
        </is>
      </c>
      <c r="B308" s="11" t="inlineStr">
        <is>
          <t>CHOLAFIN</t>
        </is>
      </c>
      <c r="C308" s="11" t="inlineStr">
        <is>
          <t>PE</t>
        </is>
      </c>
      <c r="D308" s="11" t="inlineStr">
        <is>
          <t>large</t>
        </is>
      </c>
      <c r="E308" s="12" t="n">
        <v>30.6</v>
      </c>
      <c r="F308" s="12" t="n">
        <v>27.5</v>
      </c>
      <c r="G308" s="12" t="n">
        <v>19.5</v>
      </c>
      <c r="H308" s="11" t="inlineStr">
        <is>
          <t>2026-05-26</t>
        </is>
      </c>
      <c r="I308" s="13" t="n">
        <v>1460</v>
      </c>
      <c r="J308" s="5" t="n">
        <v>625</v>
      </c>
      <c r="K308" s="14" t="n">
        <v>12.5</v>
      </c>
      <c r="L308" s="14" t="n">
        <v>6.9</v>
      </c>
      <c r="M308" s="5">
        <f>K308*J308</f>
        <v/>
      </c>
      <c r="N308" s="8">
        <f>(L308-K308)*J308</f>
        <v/>
      </c>
      <c r="O308" s="8" t="n">
        <v>-3680.25</v>
      </c>
      <c r="P308" s="7">
        <f>O308/M308*100</f>
        <v/>
      </c>
      <c r="Q308" s="9" t="n">
        <v>-4.774</v>
      </c>
      <c r="R308" s="11" t="inlineStr">
        <is>
          <t>2026_H1</t>
        </is>
      </c>
    </row>
    <row r="309">
      <c r="A309" s="11" t="inlineStr">
        <is>
          <t>2026-05-04</t>
        </is>
      </c>
      <c r="B309" s="11" t="inlineStr">
        <is>
          <t>LAURUSLABS</t>
        </is>
      </c>
      <c r="C309" s="11" t="inlineStr">
        <is>
          <t>PE</t>
        </is>
      </c>
      <c r="D309" s="11" t="inlineStr">
        <is>
          <t>mid</t>
        </is>
      </c>
      <c r="E309" s="12" t="n">
        <v>21.2</v>
      </c>
      <c r="F309" s="12" t="n">
        <v>12</v>
      </c>
      <c r="G309" s="12" t="n">
        <v>5.3</v>
      </c>
      <c r="H309" s="11" t="inlineStr">
        <is>
          <t>2026-05-26</t>
        </is>
      </c>
      <c r="I309" s="13" t="n">
        <v>1020</v>
      </c>
      <c r="J309" s="5" t="n">
        <v>850</v>
      </c>
      <c r="K309" s="14" t="n">
        <v>6.35</v>
      </c>
      <c r="L309" s="14" t="n">
        <v>3.55</v>
      </c>
      <c r="M309" s="5">
        <f>K309*J309</f>
        <v/>
      </c>
      <c r="N309" s="8">
        <f>(L309-K309)*J309</f>
        <v/>
      </c>
      <c r="O309" s="8" t="n">
        <v>-2603.73</v>
      </c>
      <c r="P309" s="7">
        <f>O309/M309*100</f>
        <v/>
      </c>
      <c r="Q309" s="9" t="n">
        <v>-5.825</v>
      </c>
      <c r="R309" s="11" t="inlineStr">
        <is>
          <t>2026_H1</t>
        </is>
      </c>
    </row>
    <row r="310">
      <c r="A310" s="11" t="inlineStr">
        <is>
          <t>2026-05-04</t>
        </is>
      </c>
      <c r="B310" s="11" t="inlineStr">
        <is>
          <t>SONACOMS</t>
        </is>
      </c>
      <c r="C310" s="11" t="inlineStr">
        <is>
          <t>PE</t>
        </is>
      </c>
      <c r="D310" s="11" t="inlineStr">
        <is>
          <t>small</t>
        </is>
      </c>
      <c r="E310" s="12" t="n">
        <v>14.2</v>
      </c>
      <c r="F310" s="12" t="n">
        <v>24.4</v>
      </c>
      <c r="G310" s="12" t="n">
        <v>46.5</v>
      </c>
      <c r="H310" s="11" t="inlineStr">
        <is>
          <t>2026-05-26</t>
        </is>
      </c>
      <c r="I310" s="13" t="n">
        <v>550</v>
      </c>
      <c r="J310" s="5" t="n">
        <v>1225</v>
      </c>
      <c r="K310" s="14" t="n">
        <v>6.05</v>
      </c>
      <c r="L310" s="14" t="n">
        <v>10.1</v>
      </c>
      <c r="M310" s="5">
        <f>K310*J310</f>
        <v/>
      </c>
      <c r="N310" s="8">
        <f>(L310-K310)*J310</f>
        <v/>
      </c>
      <c r="O310" s="8" t="n">
        <v>4293.44</v>
      </c>
      <c r="P310" s="7">
        <f>O310/M310*100</f>
        <v/>
      </c>
      <c r="Q310" s="9" t="n">
        <v>6.279</v>
      </c>
      <c r="R310" s="11" t="inlineStr">
        <is>
          <t>2026_H1</t>
        </is>
      </c>
    </row>
    <row r="311">
      <c r="A311" s="11" t="inlineStr">
        <is>
          <t>2026-05-05</t>
        </is>
      </c>
      <c r="B311" s="11" t="inlineStr">
        <is>
          <t>CAMS</t>
        </is>
      </c>
      <c r="C311" s="11" t="inlineStr">
        <is>
          <t>PE</t>
        </is>
      </c>
      <c r="D311" s="11" t="inlineStr">
        <is>
          <t>small</t>
        </is>
      </c>
      <c r="E311" s="12" t="n">
        <v>11.2</v>
      </c>
      <c r="F311" s="12" t="n">
        <v>0.7</v>
      </c>
      <c r="G311" s="12" t="n">
        <v>11</v>
      </c>
      <c r="H311" s="11" t="inlineStr">
        <is>
          <t>2026-05-26</t>
        </is>
      </c>
      <c r="I311" s="13" t="n">
        <v>690</v>
      </c>
      <c r="J311" s="5" t="n">
        <v>750</v>
      </c>
      <c r="K311" s="14" t="n">
        <v>9.300000000000001</v>
      </c>
      <c r="L311" s="14" t="n">
        <v>1.85</v>
      </c>
      <c r="M311" s="5">
        <f>K311*J311</f>
        <v/>
      </c>
      <c r="N311" s="8">
        <f>(L311-K311)*J311</f>
        <v/>
      </c>
      <c r="O311" s="8" t="n">
        <v>-5891.39</v>
      </c>
      <c r="P311" s="7">
        <f>O311/M311*100</f>
        <v/>
      </c>
      <c r="Q311" s="9" t="n">
        <v>-8.048999999999999</v>
      </c>
      <c r="R311" s="11" t="inlineStr">
        <is>
          <t>2026_H1</t>
        </is>
      </c>
    </row>
    <row r="312">
      <c r="A312" s="11" t="inlineStr">
        <is>
          <t>2026-05-05</t>
        </is>
      </c>
      <c r="B312" s="11" t="inlineStr">
        <is>
          <t>GODREJPROP</t>
        </is>
      </c>
      <c r="C312" s="11" t="inlineStr">
        <is>
          <t>PE</t>
        </is>
      </c>
      <c r="D312" s="11" t="inlineStr">
        <is>
          <t>mid</t>
        </is>
      </c>
      <c r="E312" s="12" t="n">
        <v>70.59999999999999</v>
      </c>
      <c r="F312" s="12" t="n">
        <v>232.9</v>
      </c>
      <c r="G312" s="12" t="n">
        <v>63</v>
      </c>
      <c r="H312" s="11" t="inlineStr">
        <is>
          <t>2026-05-26</t>
        </is>
      </c>
      <c r="I312" s="13" t="n">
        <v>1800</v>
      </c>
      <c r="J312" s="5" t="n">
        <v>275</v>
      </c>
      <c r="K312" s="14" t="n">
        <v>25.05</v>
      </c>
      <c r="L312" s="14" t="n">
        <v>56.85</v>
      </c>
      <c r="M312" s="5">
        <f>K312*J312</f>
        <v/>
      </c>
      <c r="N312" s="8">
        <f>(L312-K312)*J312</f>
        <v/>
      </c>
      <c r="O312" s="8" t="n">
        <v>8214.219999999999</v>
      </c>
      <c r="P312" s="7">
        <f>O312/M312*100</f>
        <v/>
      </c>
      <c r="Q312" s="9" t="n">
        <v>5.755</v>
      </c>
      <c r="R312" s="11" t="inlineStr">
        <is>
          <t>2026_H1</t>
        </is>
      </c>
    </row>
    <row r="313">
      <c r="A313" s="11" t="inlineStr">
        <is>
          <t>2026-05-06</t>
        </is>
      </c>
      <c r="B313" s="11" t="inlineStr">
        <is>
          <t>COFORGE</t>
        </is>
      </c>
      <c r="C313" s="11" t="inlineStr">
        <is>
          <t>PE</t>
        </is>
      </c>
      <c r="D313" s="11" t="inlineStr">
        <is>
          <t>mid</t>
        </is>
      </c>
      <c r="E313" s="12" t="n">
        <v>116.8</v>
      </c>
      <c r="F313" s="12" t="n">
        <v>124.5</v>
      </c>
      <c r="G313" s="12" t="n">
        <v>30.5</v>
      </c>
      <c r="H313" s="11" t="inlineStr">
        <is>
          <t>2026-05-26</t>
        </is>
      </c>
      <c r="I313" s="13" t="n">
        <v>1160</v>
      </c>
      <c r="J313" s="5" t="n">
        <v>375</v>
      </c>
      <c r="K313" s="14" t="n">
        <v>16.2</v>
      </c>
      <c r="L313" s="14" t="n">
        <v>4.75</v>
      </c>
      <c r="M313" s="5">
        <f>K313*J313</f>
        <v/>
      </c>
      <c r="N313" s="8">
        <f>(L313-K313)*J313</f>
        <v/>
      </c>
      <c r="O313" s="8" t="n">
        <v>-4504.23</v>
      </c>
      <c r="P313" s="7">
        <f>O313/M313*100</f>
        <v/>
      </c>
      <c r="Q313" s="9" t="n">
        <v>-1.522</v>
      </c>
      <c r="R313" s="11" t="inlineStr">
        <is>
          <t>2026_H1</t>
        </is>
      </c>
    </row>
    <row r="314">
      <c r="A314" s="11" t="inlineStr">
        <is>
          <t>2026-05-06</t>
        </is>
      </c>
      <c r="B314" s="11" t="inlineStr">
        <is>
          <t>M&amp;M</t>
        </is>
      </c>
      <c r="C314" s="11" t="inlineStr">
        <is>
          <t>PE</t>
        </is>
      </c>
      <c r="D314" s="11" t="inlineStr">
        <is>
          <t>large</t>
        </is>
      </c>
      <c r="E314" s="12" t="n">
        <v>48.5</v>
      </c>
      <c r="F314" s="12" t="n">
        <v>4.7</v>
      </c>
      <c r="G314" s="12" t="n">
        <v>29.1</v>
      </c>
      <c r="H314" s="11" t="inlineStr">
        <is>
          <t>2026-05-26</t>
        </is>
      </c>
      <c r="I314" s="13" t="n">
        <v>3140</v>
      </c>
      <c r="J314" s="5" t="n">
        <v>200</v>
      </c>
      <c r="K314" s="14" t="n">
        <v>34.6</v>
      </c>
      <c r="L314" s="14" t="n">
        <v>28.5</v>
      </c>
      <c r="M314" s="5">
        <f>K314*J314</f>
        <v/>
      </c>
      <c r="N314" s="8">
        <f>(L314-K314)*J314</f>
        <v/>
      </c>
      <c r="O314" s="8" t="n">
        <v>-1407.48</v>
      </c>
      <c r="P314" s="7">
        <f>O314/M314*100</f>
        <v/>
      </c>
      <c r="Q314" s="9" t="n">
        <v>-1.72</v>
      </c>
      <c r="R314" s="11" t="inlineStr">
        <is>
          <t>2026_H1</t>
        </is>
      </c>
    </row>
    <row r="315">
      <c r="A315" s="11" t="inlineStr">
        <is>
          <t>2026-05-06</t>
        </is>
      </c>
      <c r="B315" s="11" t="inlineStr">
        <is>
          <t>SRF</t>
        </is>
      </c>
      <c r="C315" s="11" t="inlineStr">
        <is>
          <t>PE</t>
        </is>
      </c>
      <c r="D315" s="11" t="inlineStr">
        <is>
          <t>mid</t>
        </is>
      </c>
      <c r="E315" s="12" t="n">
        <v>10.6</v>
      </c>
      <c r="F315" s="12" t="n">
        <v>34.5</v>
      </c>
      <c r="G315" s="12" t="n">
        <v>7</v>
      </c>
      <c r="H315" s="11" t="inlineStr">
        <is>
          <t>2026-05-26</t>
        </is>
      </c>
      <c r="I315" s="13" t="n">
        <v>2500</v>
      </c>
      <c r="J315" s="5" t="n">
        <v>200</v>
      </c>
      <c r="K315" s="14" t="n">
        <v>28.3</v>
      </c>
      <c r="L315" s="14" t="n">
        <v>11.15</v>
      </c>
      <c r="M315" s="5">
        <f>K315*J315</f>
        <v/>
      </c>
      <c r="N315" s="8">
        <f>(L315-K315)*J315</f>
        <v/>
      </c>
      <c r="O315" s="8" t="n">
        <v>-3641.83</v>
      </c>
      <c r="P315" s="7">
        <f>O315/M315*100</f>
        <v/>
      </c>
      <c r="Q315" s="9" t="n">
        <v>-4.399</v>
      </c>
      <c r="R315" s="11" t="inlineStr">
        <is>
          <t>2026_H1</t>
        </is>
      </c>
    </row>
    <row r="316">
      <c r="A316" s="11" t="inlineStr">
        <is>
          <t>2026-05-07</t>
        </is>
      </c>
      <c r="B316" s="11" t="inlineStr">
        <is>
          <t>BAJAJ-AUTO</t>
        </is>
      </c>
      <c r="C316" s="11" t="inlineStr">
        <is>
          <t>PE</t>
        </is>
      </c>
      <c r="D316" s="11" t="inlineStr">
        <is>
          <t>large</t>
        </is>
      </c>
      <c r="E316" s="12" t="n">
        <v>93.8</v>
      </c>
      <c r="F316" s="12" t="n">
        <v>27</v>
      </c>
      <c r="G316" s="12" t="n">
        <v>41</v>
      </c>
      <c r="H316" s="11" t="inlineStr">
        <is>
          <t>2026-05-26</t>
        </is>
      </c>
      <c r="I316" s="13" t="n">
        <v>10000</v>
      </c>
      <c r="J316" s="5" t="n">
        <v>75</v>
      </c>
      <c r="K316" s="14" t="n">
        <v>102.05</v>
      </c>
      <c r="L316" s="14" t="n">
        <v>49.1</v>
      </c>
      <c r="M316" s="5">
        <f>K316*J316</f>
        <v/>
      </c>
      <c r="N316" s="8">
        <f>(L316-K316)*J316</f>
        <v/>
      </c>
      <c r="O316" s="8" t="n">
        <v>-4142.33</v>
      </c>
      <c r="P316" s="7">
        <f>O316/M316*100</f>
        <v/>
      </c>
      <c r="Q316" s="9" t="n">
        <v>-0.217</v>
      </c>
      <c r="R316" s="11" t="inlineStr">
        <is>
          <t>2026_H1</t>
        </is>
      </c>
    </row>
    <row r="317">
      <c r="A317" s="11" t="inlineStr">
        <is>
          <t>2026-05-07</t>
        </is>
      </c>
      <c r="B317" s="11" t="inlineStr">
        <is>
          <t>BLUESTARCO</t>
        </is>
      </c>
      <c r="C317" s="11" t="inlineStr">
        <is>
          <t>PE</t>
        </is>
      </c>
      <c r="D317" s="11" t="inlineStr">
        <is>
          <t>mid</t>
        </is>
      </c>
      <c r="E317" s="12" t="n">
        <v>17.1</v>
      </c>
      <c r="F317" s="12" t="n">
        <v>182</v>
      </c>
      <c r="G317" s="12" t="n">
        <v>1.3</v>
      </c>
      <c r="H317" s="11" t="inlineStr">
        <is>
          <t>2026-05-26</t>
        </is>
      </c>
      <c r="I317" s="13" t="n">
        <v>1660</v>
      </c>
      <c r="J317" s="5" t="n">
        <v>325</v>
      </c>
      <c r="K317" s="14" t="n">
        <v>22.55</v>
      </c>
      <c r="L317" s="14" t="n">
        <v>29.35</v>
      </c>
      <c r="M317" s="5">
        <f>K317*J317</f>
        <v/>
      </c>
      <c r="N317" s="8">
        <f>(L317-K317)*J317</f>
        <v/>
      </c>
      <c r="O317" s="8" t="n">
        <v>1803.83</v>
      </c>
      <c r="P317" s="7">
        <f>O317/M317*100</f>
        <v/>
      </c>
      <c r="Q317" s="9" t="n">
        <v>4.113</v>
      </c>
      <c r="R317" s="11" t="inlineStr">
        <is>
          <t>2026_H1</t>
        </is>
      </c>
    </row>
    <row r="318">
      <c r="A318" s="11" t="inlineStr">
        <is>
          <t>2026-05-07</t>
        </is>
      </c>
      <c r="B318" s="11" t="inlineStr">
        <is>
          <t>POLICYBZR</t>
        </is>
      </c>
      <c r="C318" s="11" t="inlineStr">
        <is>
          <t>PE</t>
        </is>
      </c>
      <c r="D318" s="11" t="inlineStr">
        <is>
          <t>mid</t>
        </is>
      </c>
      <c r="E318" s="12" t="n">
        <v>53</v>
      </c>
      <c r="F318" s="12" t="n">
        <v>37.9</v>
      </c>
      <c r="G318" s="12" t="n">
        <v>36.7</v>
      </c>
      <c r="H318" s="11" t="inlineStr">
        <is>
          <t>2026-05-26</t>
        </is>
      </c>
      <c r="I318" s="13" t="n">
        <v>1600</v>
      </c>
      <c r="J318" s="5" t="n">
        <v>350</v>
      </c>
      <c r="K318" s="14" t="n">
        <v>20.1</v>
      </c>
      <c r="L318" s="14" t="n">
        <v>24.7</v>
      </c>
      <c r="M318" s="5">
        <f>K318*J318</f>
        <v/>
      </c>
      <c r="N318" s="8">
        <f>(L318-K318)*J318</f>
        <v/>
      </c>
      <c r="O318" s="8" t="n">
        <v>1229.43</v>
      </c>
      <c r="P318" s="7">
        <f>O318/M318*100</f>
        <v/>
      </c>
      <c r="Q318" s="9" t="n">
        <v>1.859</v>
      </c>
      <c r="R318" s="11" t="inlineStr">
        <is>
          <t>2026_H1</t>
        </is>
      </c>
    </row>
    <row r="319">
      <c r="A319" s="11" t="inlineStr">
        <is>
          <t>2026-05-08</t>
        </is>
      </c>
      <c r="B319" s="11" t="inlineStr">
        <is>
          <t>BHARATFORG</t>
        </is>
      </c>
      <c r="C319" s="11" t="inlineStr">
        <is>
          <t>CE</t>
        </is>
      </c>
      <c r="D319" s="11" t="inlineStr">
        <is>
          <t>mid</t>
        </is>
      </c>
      <c r="E319" s="12" t="n">
        <v>-17.4</v>
      </c>
      <c r="F319" s="12" t="n">
        <v>-14.4</v>
      </c>
      <c r="G319" s="12" t="n">
        <v>17.5</v>
      </c>
      <c r="H319" s="11" t="inlineStr">
        <is>
          <t>2026-05-26</t>
        </is>
      </c>
      <c r="I319" s="13" t="n">
        <v>2180</v>
      </c>
      <c r="J319" s="5" t="n">
        <v>500</v>
      </c>
      <c r="K319" s="14" t="n">
        <v>13.2</v>
      </c>
      <c r="L319" s="14" t="n">
        <v>8.75</v>
      </c>
      <c r="M319" s="5">
        <f>K319*J319</f>
        <v/>
      </c>
      <c r="N319" s="8">
        <f>(L319-K319)*J319</f>
        <v/>
      </c>
      <c r="O319" s="8" t="n">
        <v>-2503.06</v>
      </c>
      <c r="P319" s="7">
        <f>O319/M319*100</f>
        <v/>
      </c>
      <c r="Q319" s="9" t="n">
        <v>-0.98</v>
      </c>
      <c r="R319" s="11" t="inlineStr">
        <is>
          <t>2026_H1</t>
        </is>
      </c>
    </row>
    <row r="320">
      <c r="A320" s="11" t="inlineStr">
        <is>
          <t>2026-05-08</t>
        </is>
      </c>
      <c r="B320" s="11" t="inlineStr">
        <is>
          <t>BSE</t>
        </is>
      </c>
      <c r="C320" s="11" t="inlineStr">
        <is>
          <t>PE</t>
        </is>
      </c>
      <c r="D320" s="11" t="inlineStr">
        <is>
          <t>mid</t>
        </is>
      </c>
      <c r="E320" s="12" t="n">
        <v>61.1</v>
      </c>
      <c r="F320" s="12" t="n">
        <v>33.3</v>
      </c>
      <c r="G320" s="12" t="n">
        <v>84.7</v>
      </c>
      <c r="H320" s="11" t="inlineStr">
        <is>
          <t>2026-05-26</t>
        </is>
      </c>
      <c r="I320" s="13" t="n">
        <v>3450</v>
      </c>
      <c r="J320" s="5" t="n">
        <v>375</v>
      </c>
      <c r="K320" s="14" t="n">
        <v>20.05</v>
      </c>
      <c r="L320" s="14" t="n">
        <v>14.6</v>
      </c>
      <c r="M320" s="5">
        <f>K320*J320</f>
        <v/>
      </c>
      <c r="N320" s="8">
        <f>(L320-K320)*J320</f>
        <v/>
      </c>
      <c r="O320" s="8" t="n">
        <v>-2364.74</v>
      </c>
      <c r="P320" s="7">
        <f>O320/M320*100</f>
        <v/>
      </c>
      <c r="Q320" s="9" t="n">
        <v>1.418</v>
      </c>
      <c r="R320" s="11" t="inlineStr">
        <is>
          <t>2026_H1</t>
        </is>
      </c>
    </row>
    <row r="321">
      <c r="A321" s="11" t="inlineStr">
        <is>
          <t>2026-05-08</t>
        </is>
      </c>
      <c r="B321" s="11" t="inlineStr">
        <is>
          <t>LUPIN</t>
        </is>
      </c>
      <c r="C321" s="11" t="inlineStr">
        <is>
          <t>PE</t>
        </is>
      </c>
      <c r="D321" s="11" t="inlineStr">
        <is>
          <t>mid</t>
        </is>
      </c>
      <c r="E321" s="12" t="n">
        <v>87.7</v>
      </c>
      <c r="F321" s="12" t="n">
        <v>24.4</v>
      </c>
      <c r="G321" s="12" t="n">
        <v>31.9</v>
      </c>
      <c r="H321" s="11" t="inlineStr">
        <is>
          <t>2026-05-26</t>
        </is>
      </c>
      <c r="I321" s="13" t="n">
        <v>2300</v>
      </c>
      <c r="J321" s="5" t="n">
        <v>425</v>
      </c>
      <c r="K321" s="14" t="n">
        <v>15</v>
      </c>
      <c r="L321" s="14" t="n">
        <v>23.85</v>
      </c>
      <c r="M321" s="5">
        <f>K321*J321</f>
        <v/>
      </c>
      <c r="N321" s="8">
        <f>(L321-K321)*J321</f>
        <v/>
      </c>
      <c r="O321" s="8" t="n">
        <v>3361.49</v>
      </c>
      <c r="P321" s="7">
        <f>O321/M321*100</f>
        <v/>
      </c>
      <c r="Q321" s="9" t="n">
        <v>1.876</v>
      </c>
      <c r="R321" s="11" t="inlineStr">
        <is>
          <t>2026_H1</t>
        </is>
      </c>
    </row>
    <row r="322">
      <c r="A322" s="11" t="inlineStr">
        <is>
          <t>2026-05-11</t>
        </is>
      </c>
      <c r="B322" s="11" t="inlineStr">
        <is>
          <t>OBEROIRLTY</t>
        </is>
      </c>
      <c r="C322" s="11" t="inlineStr">
        <is>
          <t>PE</t>
        </is>
      </c>
      <c r="D322" s="11" t="inlineStr">
        <is>
          <t>mid</t>
        </is>
      </c>
      <c r="E322" s="12" t="n">
        <v>62.4</v>
      </c>
      <c r="F322" s="12" t="n">
        <v>13</v>
      </c>
      <c r="G322" s="12" t="n">
        <v>52.1</v>
      </c>
      <c r="H322" s="11" t="inlineStr">
        <is>
          <t>2026-05-26</t>
        </is>
      </c>
      <c r="I322" s="13" t="n">
        <v>1600</v>
      </c>
      <c r="J322" s="5" t="n">
        <v>350</v>
      </c>
      <c r="K322" s="14" t="n">
        <v>12.05</v>
      </c>
      <c r="L322" s="14" t="n">
        <v>27.9</v>
      </c>
      <c r="M322" s="5">
        <f>K322*J322</f>
        <v/>
      </c>
      <c r="N322" s="8">
        <f>(L322-K322)*J322</f>
        <v/>
      </c>
      <c r="O322" s="8" t="n">
        <v>5199.99</v>
      </c>
      <c r="P322" s="7">
        <f>O322/M322*100</f>
        <v/>
      </c>
      <c r="Q322" s="9" t="n">
        <v>4.56</v>
      </c>
      <c r="R322" s="11" t="inlineStr">
        <is>
          <t>2026_H1</t>
        </is>
      </c>
    </row>
    <row r="323">
      <c r="A323" s="11" t="inlineStr">
        <is>
          <t>2026-05-11</t>
        </is>
      </c>
      <c r="B323" s="11" t="inlineStr">
        <is>
          <t>TATACONSUM</t>
        </is>
      </c>
      <c r="C323" s="11" t="inlineStr">
        <is>
          <t>PE</t>
        </is>
      </c>
      <c r="D323" s="11" t="inlineStr">
        <is>
          <t>large</t>
        </is>
      </c>
      <c r="E323" s="12" t="n">
        <v>21.6</v>
      </c>
      <c r="F323" s="12" t="n">
        <v>10.3</v>
      </c>
      <c r="G323" s="12" t="n">
        <v>17.9</v>
      </c>
      <c r="H323" s="11" t="inlineStr">
        <is>
          <t>2026-05-26</t>
        </is>
      </c>
      <c r="I323" s="13" t="n">
        <v>1170</v>
      </c>
      <c r="J323" s="5" t="n">
        <v>550</v>
      </c>
      <c r="K323" s="14" t="n">
        <v>14.15</v>
      </c>
      <c r="L323" s="14" t="n">
        <v>4.4</v>
      </c>
      <c r="M323" s="5">
        <f>K323*J323</f>
        <v/>
      </c>
      <c r="N323" s="8">
        <f>(L323-K323)*J323</f>
        <v/>
      </c>
      <c r="O323" s="8" t="n">
        <v>-5519.88</v>
      </c>
      <c r="P323" s="7">
        <f>O323/M323*100</f>
        <v/>
      </c>
      <c r="Q323" s="9" t="n">
        <v>-5.723</v>
      </c>
      <c r="R323" s="11" t="inlineStr">
        <is>
          <t>2026_H1</t>
        </is>
      </c>
    </row>
    <row r="324">
      <c r="A324" s="11" t="inlineStr">
        <is>
          <t>2026-05-12</t>
        </is>
      </c>
      <c r="B324" s="11" t="inlineStr">
        <is>
          <t>JSWENERGY</t>
        </is>
      </c>
      <c r="C324" s="11" t="inlineStr">
        <is>
          <t>PE</t>
        </is>
      </c>
      <c r="D324" s="11" t="inlineStr">
        <is>
          <t>mid</t>
        </is>
      </c>
      <c r="E324" s="12" t="n">
        <v>38.4</v>
      </c>
      <c r="F324" s="12" t="n">
        <v>8.5</v>
      </c>
      <c r="G324" s="12" t="n">
        <v>41</v>
      </c>
      <c r="H324" s="11" t="inlineStr">
        <is>
          <t>2026-05-26</t>
        </is>
      </c>
      <c r="I324" s="13" t="n">
        <v>500</v>
      </c>
      <c r="J324" s="5" t="n">
        <v>1000</v>
      </c>
      <c r="K324" s="14" t="n">
        <v>7.55</v>
      </c>
      <c r="L324" s="14" t="n">
        <v>8.1</v>
      </c>
      <c r="M324" s="5">
        <f>K324*J324</f>
        <v/>
      </c>
      <c r="N324" s="8">
        <f>(L324-K324)*J324</f>
        <v/>
      </c>
      <c r="O324" s="8" t="n">
        <v>170.84</v>
      </c>
      <c r="P324" s="7">
        <f>O324/M324*100</f>
        <v/>
      </c>
      <c r="Q324" s="9" t="n">
        <v>4.039</v>
      </c>
      <c r="R324" s="11" t="inlineStr">
        <is>
          <t>2026_H1</t>
        </is>
      </c>
    </row>
    <row r="325">
      <c r="A325" s="11" t="inlineStr">
        <is>
          <t>2026-05-13</t>
        </is>
      </c>
      <c r="B325" s="11" t="inlineStr">
        <is>
          <t>DIXON</t>
        </is>
      </c>
      <c r="C325" s="11" t="inlineStr">
        <is>
          <t>CE</t>
        </is>
      </c>
      <c r="D325" s="11" t="inlineStr">
        <is>
          <t>mid</t>
        </is>
      </c>
      <c r="E325" s="12" t="n">
        <v>-35.9</v>
      </c>
      <c r="F325" s="12" t="n">
        <v>-7</v>
      </c>
      <c r="G325" s="12" t="n">
        <v>2.1</v>
      </c>
      <c r="H325" s="11" t="inlineStr">
        <is>
          <t>2026-05-26</t>
        </is>
      </c>
      <c r="I325" s="13" t="n">
        <v>11200</v>
      </c>
      <c r="J325" s="5" t="n">
        <v>50</v>
      </c>
      <c r="K325" s="14" t="n">
        <v>120.05</v>
      </c>
      <c r="L325" s="14" t="n">
        <v>398.4</v>
      </c>
      <c r="M325" s="5">
        <f>K325*J325</f>
        <v/>
      </c>
      <c r="N325" s="8">
        <f>(L325-K325)*J325</f>
        <v/>
      </c>
      <c r="O325" s="8" t="n">
        <v>13310.89</v>
      </c>
      <c r="P325" s="7">
        <f>O325/M325*100</f>
        <v/>
      </c>
      <c r="Q325" s="9" t="n">
        <v>8.474</v>
      </c>
      <c r="R325" s="11" t="inlineStr">
        <is>
          <t>2026_H1</t>
        </is>
      </c>
    </row>
    <row r="326">
      <c r="A326" s="11" t="inlineStr">
        <is>
          <t>2026-05-13</t>
        </is>
      </c>
      <c r="B326" s="11" t="inlineStr">
        <is>
          <t>DRREDDY</t>
        </is>
      </c>
      <c r="C326" s="11" t="inlineStr">
        <is>
          <t>CE</t>
        </is>
      </c>
      <c r="D326" s="11" t="inlineStr">
        <is>
          <t>large</t>
        </is>
      </c>
      <c r="E326" s="12" t="n">
        <v>-86.09999999999999</v>
      </c>
      <c r="F326" s="12" t="n">
        <v>-81.40000000000001</v>
      </c>
      <c r="G326" s="12" t="n">
        <v>-11.5</v>
      </c>
      <c r="H326" s="11" t="inlineStr">
        <is>
          <t>2026-05-26</t>
        </is>
      </c>
      <c r="I326" s="13" t="n">
        <v>1300</v>
      </c>
      <c r="J326" s="5" t="n">
        <v>625</v>
      </c>
      <c r="K326" s="14" t="n">
        <v>9.050000000000001</v>
      </c>
      <c r="L326" s="14" t="n">
        <v>13.5</v>
      </c>
      <c r="M326" s="5">
        <f>K326*J326</f>
        <v/>
      </c>
      <c r="N326" s="8">
        <f>(L326-K326)*J326</f>
        <v/>
      </c>
      <c r="O326" s="8" t="n">
        <v>2574.35</v>
      </c>
      <c r="P326" s="7">
        <f>O326/M326*100</f>
        <v/>
      </c>
      <c r="Q326" s="9" t="n">
        <v>1.582</v>
      </c>
      <c r="R326" s="11" t="inlineStr">
        <is>
          <t>2026_H1</t>
        </is>
      </c>
    </row>
    <row r="327">
      <c r="A327" s="11" t="inlineStr">
        <is>
          <t>2026-05-14</t>
        </is>
      </c>
      <c r="B327" s="11" t="inlineStr">
        <is>
          <t>CIPLA</t>
        </is>
      </c>
      <c r="C327" s="11" t="inlineStr">
        <is>
          <t>CE</t>
        </is>
      </c>
      <c r="D327" s="11" t="inlineStr">
        <is>
          <t>large</t>
        </is>
      </c>
      <c r="E327" s="12" t="n">
        <v>-55.3</v>
      </c>
      <c r="F327" s="12" t="n">
        <v>-19.5</v>
      </c>
      <c r="G327" s="12" t="n">
        <v>-2.8</v>
      </c>
      <c r="H327" s="11" t="inlineStr">
        <is>
          <t>2026-05-26</t>
        </is>
      </c>
      <c r="I327" s="13" t="n">
        <v>1390</v>
      </c>
      <c r="J327" s="5" t="n">
        <v>375</v>
      </c>
      <c r="K327" s="14" t="n">
        <v>19.05</v>
      </c>
      <c r="L327" s="14" t="n">
        <v>53.95</v>
      </c>
      <c r="M327" s="5">
        <f>K327*J327</f>
        <v/>
      </c>
      <c r="N327" s="8">
        <f>(L327-K327)*J327</f>
        <v/>
      </c>
      <c r="O327" s="8" t="n">
        <v>12724.47</v>
      </c>
      <c r="P327" s="7">
        <f>O327/M327*100</f>
        <v/>
      </c>
      <c r="Q327" s="9" t="n">
        <v>5.469</v>
      </c>
      <c r="R327" s="11" t="inlineStr">
        <is>
          <t>2026_H1</t>
        </is>
      </c>
    </row>
    <row r="328">
      <c r="A328" s="11" t="inlineStr">
        <is>
          <t>2026-05-14</t>
        </is>
      </c>
      <c r="B328" s="11" t="inlineStr">
        <is>
          <t>OIL</t>
        </is>
      </c>
      <c r="C328" s="11" t="inlineStr">
        <is>
          <t>PE</t>
        </is>
      </c>
      <c r="D328" s="11" t="inlineStr">
        <is>
          <t>mid</t>
        </is>
      </c>
      <c r="E328" s="12" t="n">
        <v>62</v>
      </c>
      <c r="F328" s="12" t="n">
        <v>68.8</v>
      </c>
      <c r="G328" s="12" t="n">
        <v>4.4</v>
      </c>
      <c r="H328" s="11" t="inlineStr">
        <is>
          <t>2026-05-26</t>
        </is>
      </c>
      <c r="I328" s="13" t="n">
        <v>505</v>
      </c>
      <c r="J328" s="5" t="n">
        <v>1400</v>
      </c>
      <c r="K328" s="14" t="n">
        <v>5.05</v>
      </c>
      <c r="L328" s="14" t="n">
        <v>6.15</v>
      </c>
      <c r="M328" s="5">
        <f>K328*J328</f>
        <v/>
      </c>
      <c r="N328" s="8">
        <f>(L328-K328)*J328</f>
        <v/>
      </c>
      <c r="O328" s="8" t="n">
        <v>1159.48</v>
      </c>
      <c r="P328" s="7">
        <f>O328/M328*100</f>
        <v/>
      </c>
      <c r="Q328" s="9" t="n">
        <v>1.494</v>
      </c>
      <c r="R328" s="11" t="inlineStr">
        <is>
          <t>2026_H1</t>
        </is>
      </c>
    </row>
    <row r="329">
      <c r="A329" s="11" t="inlineStr">
        <is>
          <t>2026-05-15</t>
        </is>
      </c>
      <c r="B329" s="11" t="inlineStr">
        <is>
          <t>UNITDSPR</t>
        </is>
      </c>
      <c r="C329" s="11" t="inlineStr">
        <is>
          <t>PE</t>
        </is>
      </c>
      <c r="D329" s="11" t="inlineStr">
        <is>
          <t>mid</t>
        </is>
      </c>
      <c r="E329" s="12" t="n">
        <v>28</v>
      </c>
      <c r="F329" s="12" t="n">
        <v>29</v>
      </c>
      <c r="G329" s="12" t="n">
        <v>3.3</v>
      </c>
      <c r="H329" s="11" t="inlineStr">
        <is>
          <t>2026-05-26</t>
        </is>
      </c>
      <c r="I329" s="13" t="n">
        <v>1270</v>
      </c>
      <c r="J329" s="5" t="n">
        <v>400</v>
      </c>
      <c r="K329" s="14" t="n">
        <v>13.6</v>
      </c>
      <c r="L329" s="14" t="n">
        <v>6.85</v>
      </c>
      <c r="M329" s="5">
        <f>K329*J329</f>
        <v/>
      </c>
      <c r="N329" s="8">
        <f>(L329-K329)*J329</f>
        <v/>
      </c>
      <c r="O329" s="8" t="n">
        <v>-2918.51</v>
      </c>
      <c r="P329" s="7">
        <f>O329/M329*100</f>
        <v/>
      </c>
      <c r="Q329" s="9" t="n">
        <v>-2.459</v>
      </c>
      <c r="R329" s="11" t="inlineStr">
        <is>
          <t>2026_H1</t>
        </is>
      </c>
    </row>
    <row r="330">
      <c r="A330" s="11" t="inlineStr">
        <is>
          <t>2026-05-18</t>
        </is>
      </c>
      <c r="B330" s="11" t="inlineStr">
        <is>
          <t>GODFRYPHLP</t>
        </is>
      </c>
      <c r="C330" s="11" t="inlineStr">
        <is>
          <t>PE</t>
        </is>
      </c>
      <c r="D330" s="11" t="inlineStr">
        <is>
          <t>mid</t>
        </is>
      </c>
      <c r="E330" s="12" t="n">
        <v>86.5</v>
      </c>
      <c r="F330" s="12" t="n">
        <v>51.9</v>
      </c>
      <c r="G330" s="12" t="n">
        <v>84.59999999999999</v>
      </c>
      <c r="H330" s="11" t="inlineStr">
        <is>
          <t>2026-05-26</t>
        </is>
      </c>
      <c r="I330" s="13" t="n">
        <v>2200</v>
      </c>
      <c r="J330" s="5" t="n">
        <v>275</v>
      </c>
      <c r="K330" s="14" t="n">
        <v>27.65</v>
      </c>
      <c r="L330" s="14" t="n">
        <v>40.65</v>
      </c>
      <c r="M330" s="5">
        <f>K330*J330</f>
        <v/>
      </c>
      <c r="N330" s="8">
        <f>(L330-K330)*J330</f>
        <v/>
      </c>
      <c r="O330" s="8" t="n">
        <v>3127.25</v>
      </c>
      <c r="P330" s="7">
        <f>O330/M330*100</f>
        <v/>
      </c>
      <c r="Q330" s="9" t="n">
        <v>5.088</v>
      </c>
      <c r="R330" s="11" t="inlineStr">
        <is>
          <t>2026_H1</t>
        </is>
      </c>
    </row>
    <row r="331">
      <c r="A331" s="11" t="inlineStr">
        <is>
          <t>2026-05-18</t>
        </is>
      </c>
      <c r="B331" s="11" t="inlineStr">
        <is>
          <t>PREMIERENE</t>
        </is>
      </c>
      <c r="C331" s="11" t="inlineStr">
        <is>
          <t>PE</t>
        </is>
      </c>
      <c r="D331" s="11" t="inlineStr">
        <is>
          <t>mid</t>
        </is>
      </c>
      <c r="E331" s="12" t="n">
        <v>64.40000000000001</v>
      </c>
      <c r="F331" s="12" t="n">
        <v>16.7</v>
      </c>
      <c r="G331" s="12" t="n">
        <v>37.6</v>
      </c>
      <c r="H331" s="11" t="inlineStr">
        <is>
          <t>2026-05-26</t>
        </is>
      </c>
      <c r="I331" s="13" t="n">
        <v>950</v>
      </c>
      <c r="J331" s="5" t="n">
        <v>575</v>
      </c>
      <c r="K331" s="14" t="n">
        <v>13.6</v>
      </c>
      <c r="L331" s="14" t="n">
        <v>7.6</v>
      </c>
      <c r="M331" s="5">
        <f>K331*J331</f>
        <v/>
      </c>
      <c r="N331" s="8">
        <f>(L331-K331)*J331</f>
        <v/>
      </c>
      <c r="O331" s="8" t="n">
        <v>-3752.9</v>
      </c>
      <c r="P331" s="7">
        <f>O331/M331*100</f>
        <v/>
      </c>
      <c r="Q331" s="9" t="n">
        <v>1.122</v>
      </c>
      <c r="R331" s="11" t="inlineStr">
        <is>
          <t>2026_H1</t>
        </is>
      </c>
    </row>
    <row r="332">
      <c r="A332" s="11" t="inlineStr">
        <is>
          <t>2026-05-18</t>
        </is>
      </c>
      <c r="B332" s="11" t="inlineStr">
        <is>
          <t>TATASTEEL</t>
        </is>
      </c>
      <c r="C332" s="11" t="inlineStr">
        <is>
          <t>PE</t>
        </is>
      </c>
      <c r="D332" s="11" t="inlineStr">
        <is>
          <t>large</t>
        </is>
      </c>
      <c r="E332" s="12" t="n">
        <v>146.9</v>
      </c>
      <c r="F332" s="12" t="n">
        <v>8.6</v>
      </c>
      <c r="G332" s="12" t="n">
        <v>12.5</v>
      </c>
      <c r="H332" s="11" t="inlineStr">
        <is>
          <t>2026-05-26</t>
        </is>
      </c>
      <c r="I332" s="13" t="n">
        <v>210</v>
      </c>
      <c r="J332" s="5" t="n">
        <v>2750</v>
      </c>
      <c r="K332" s="14" t="n">
        <v>2.82</v>
      </c>
      <c r="L332" s="14" t="n">
        <v>3.07</v>
      </c>
      <c r="M332" s="5">
        <f>K332*J332</f>
        <v/>
      </c>
      <c r="N332" s="8">
        <f>(L332-K332)*J332</f>
        <v/>
      </c>
      <c r="O332" s="8" t="n">
        <v>458.62</v>
      </c>
      <c r="P332" s="7">
        <f>O332/M332*100</f>
        <v/>
      </c>
      <c r="Q332" s="9" t="n">
        <v>0.611</v>
      </c>
      <c r="R332" s="11" t="inlineStr">
        <is>
          <t>2026_H1</t>
        </is>
      </c>
    </row>
    <row r="333">
      <c r="A333" s="11" t="inlineStr">
        <is>
          <t>2026-05-19</t>
        </is>
      </c>
      <c r="B333" s="11" t="inlineStr">
        <is>
          <t>ASTRAL</t>
        </is>
      </c>
      <c r="C333" s="11" t="inlineStr">
        <is>
          <t>PE</t>
        </is>
      </c>
      <c r="D333" s="11" t="inlineStr">
        <is>
          <t>mid</t>
        </is>
      </c>
      <c r="E333" s="12" t="n">
        <v>19.6</v>
      </c>
      <c r="F333" s="12" t="n">
        <v>97.8</v>
      </c>
      <c r="G333" s="12" t="n">
        <v>24.2</v>
      </c>
      <c r="H333" s="11" t="inlineStr">
        <is>
          <t>2026-05-26</t>
        </is>
      </c>
      <c r="I333" s="13" t="n">
        <v>1460</v>
      </c>
      <c r="J333" s="5" t="n">
        <v>425</v>
      </c>
      <c r="K333" s="14" t="n">
        <v>10.05</v>
      </c>
      <c r="L333" s="14" t="n">
        <v>37.65</v>
      </c>
      <c r="M333" s="5">
        <f>K333*J333</f>
        <v/>
      </c>
      <c r="N333" s="8">
        <f>(L333-K333)*J333</f>
        <v/>
      </c>
      <c r="O333" s="8" t="n">
        <v>11244.69</v>
      </c>
      <c r="P333" s="7">
        <f>O333/M333*100</f>
        <v/>
      </c>
      <c r="Q333" s="9" t="n">
        <v>6.22</v>
      </c>
      <c r="R333" s="11" t="inlineStr">
        <is>
          <t>2026_H1</t>
        </is>
      </c>
    </row>
    <row r="334">
      <c r="A334" s="11" t="inlineStr">
        <is>
          <t>2026-05-20</t>
        </is>
      </c>
      <c r="B334" s="11" t="inlineStr">
        <is>
          <t>MANKIND</t>
        </is>
      </c>
      <c r="C334" s="11" t="inlineStr">
        <is>
          <t>PE</t>
        </is>
      </c>
      <c r="D334" s="11" t="inlineStr">
        <is>
          <t>mid</t>
        </is>
      </c>
      <c r="E334" s="12" t="n">
        <v>31.7</v>
      </c>
      <c r="F334" s="12" t="n">
        <v>35.2</v>
      </c>
      <c r="G334" s="12" t="n">
        <v>11.8</v>
      </c>
      <c r="H334" s="11" t="inlineStr">
        <is>
          <t>2026-05-26</t>
        </is>
      </c>
      <c r="I334" s="13" t="n">
        <v>2420</v>
      </c>
      <c r="J334" s="5" t="n">
        <v>225</v>
      </c>
      <c r="K334" s="14" t="n">
        <v>30.05</v>
      </c>
      <c r="L334" s="14" t="n">
        <v>3.6</v>
      </c>
      <c r="M334" s="5">
        <f>K334*J334</f>
        <v/>
      </c>
      <c r="N334" s="8">
        <f>(L334-K334)*J334</f>
        <v/>
      </c>
      <c r="O334" s="8" t="n">
        <v>-6154.48</v>
      </c>
      <c r="P334" s="7">
        <f>O334/M334*100</f>
        <v/>
      </c>
      <c r="Q334" s="9" t="n">
        <v>-3.315</v>
      </c>
      <c r="R334" s="11" t="inlineStr">
        <is>
          <t>2026_H1</t>
        </is>
      </c>
    </row>
    <row r="335">
      <c r="A335" s="11" t="inlineStr">
        <is>
          <t>2026-05-20</t>
        </is>
      </c>
      <c r="B335" s="11" t="inlineStr">
        <is>
          <t>PIIND</t>
        </is>
      </c>
      <c r="C335" s="11" t="inlineStr">
        <is>
          <t>CE</t>
        </is>
      </c>
      <c r="D335" s="11" t="inlineStr">
        <is>
          <t>mid</t>
        </is>
      </c>
      <c r="E335" s="12" t="n">
        <v>-39.4</v>
      </c>
      <c r="F335" s="12" t="n">
        <v>-35.7</v>
      </c>
      <c r="G335" s="12" t="n">
        <v>-12.4</v>
      </c>
      <c r="H335" s="11" t="inlineStr">
        <is>
          <t>2026-05-26</t>
        </is>
      </c>
      <c r="I335" s="13" t="n">
        <v>3120</v>
      </c>
      <c r="J335" s="5" t="n">
        <v>175</v>
      </c>
      <c r="K335" s="14" t="n">
        <v>15.85</v>
      </c>
      <c r="L335" s="14" t="n">
        <v>5</v>
      </c>
      <c r="M335" s="5">
        <f>K335*J335</f>
        <v/>
      </c>
      <c r="N335" s="8">
        <f>(L335-K335)*J335</f>
        <v/>
      </c>
      <c r="O335" s="8" t="n">
        <v>-2021.86</v>
      </c>
      <c r="P335" s="7">
        <f>O335/M335*100</f>
        <v/>
      </c>
      <c r="Q335" s="9" t="n">
        <v>-1.654</v>
      </c>
      <c r="R335" s="11" t="inlineStr">
        <is>
          <t>2026_H1</t>
        </is>
      </c>
    </row>
    <row r="336">
      <c r="A336" s="11" t="inlineStr">
        <is>
          <t>2026-05-21</t>
        </is>
      </c>
      <c r="B336" s="11" t="inlineStr">
        <is>
          <t>APOLLOHOSP</t>
        </is>
      </c>
      <c r="C336" s="11" t="inlineStr">
        <is>
          <t>PE</t>
        </is>
      </c>
      <c r="D336" s="11" t="inlineStr">
        <is>
          <t>large</t>
        </is>
      </c>
      <c r="E336" s="12" t="n">
        <v>33</v>
      </c>
      <c r="F336" s="12" t="n">
        <v>6.8</v>
      </c>
      <c r="G336" s="12" t="n">
        <v>18.1</v>
      </c>
      <c r="H336" s="11" t="inlineStr">
        <is>
          <t>2026-05-26</t>
        </is>
      </c>
      <c r="I336" s="13" t="n">
        <v>7900</v>
      </c>
      <c r="J336" s="5" t="n">
        <v>125</v>
      </c>
      <c r="K336" s="14" t="n">
        <v>50.05</v>
      </c>
      <c r="L336" s="14" t="n">
        <v>16.4</v>
      </c>
      <c r="M336" s="5">
        <f>K336*J336</f>
        <v/>
      </c>
      <c r="N336" s="8">
        <f>(L336-K336)*J336</f>
        <v/>
      </c>
      <c r="O336" s="8" t="n">
        <v>-4343.27</v>
      </c>
      <c r="P336" s="7">
        <f>O336/M336*100</f>
        <v/>
      </c>
      <c r="Q336" s="9" t="n">
        <v>-1.342</v>
      </c>
      <c r="R336" s="11" t="inlineStr">
        <is>
          <t>2026_H1</t>
        </is>
      </c>
    </row>
    <row r="337">
      <c r="A337" s="11" t="inlineStr">
        <is>
          <t>2026-05-21</t>
        </is>
      </c>
      <c r="B337" s="11" t="inlineStr">
        <is>
          <t>GRASIM</t>
        </is>
      </c>
      <c r="C337" s="11" t="inlineStr">
        <is>
          <t>PE</t>
        </is>
      </c>
      <c r="D337" s="11" t="inlineStr">
        <is>
          <t>large</t>
        </is>
      </c>
      <c r="E337" s="12" t="n">
        <v>27.9</v>
      </c>
      <c r="F337" s="12" t="n">
        <v>70.3</v>
      </c>
      <c r="G337" s="12" t="n">
        <v>15.4</v>
      </c>
      <c r="H337" s="11" t="inlineStr">
        <is>
          <t>2026-05-26</t>
        </is>
      </c>
      <c r="I337" s="13" t="n">
        <v>2980</v>
      </c>
      <c r="J337" s="5" t="n">
        <v>250</v>
      </c>
      <c r="K337" s="14" t="n">
        <v>5.05</v>
      </c>
      <c r="L337" s="14" t="n">
        <v>3.2</v>
      </c>
      <c r="M337" s="5">
        <f>K337*J337</f>
        <v/>
      </c>
      <c r="N337" s="8">
        <f>(L337-K337)*J337</f>
        <v/>
      </c>
      <c r="O337" s="8" t="n">
        <v>-532.42</v>
      </c>
      <c r="P337" s="7">
        <f>O337/M337*100</f>
        <v/>
      </c>
      <c r="Q337" s="9" t="n">
        <v>-3.065</v>
      </c>
      <c r="R337" s="11" t="inlineStr">
        <is>
          <t>2026_H1</t>
        </is>
      </c>
    </row>
    <row r="338">
      <c r="A338" s="11" t="inlineStr">
        <is>
          <t>2026-05-21</t>
        </is>
      </c>
      <c r="B338" s="11" t="inlineStr">
        <is>
          <t>JUBLFOOD</t>
        </is>
      </c>
      <c r="C338" s="11" t="inlineStr">
        <is>
          <t>PE</t>
        </is>
      </c>
      <c r="D338" s="11" t="inlineStr">
        <is>
          <t>mid</t>
        </is>
      </c>
      <c r="E338" s="12" t="n">
        <v>67.09999999999999</v>
      </c>
      <c r="F338" s="12" t="n">
        <v>13.1</v>
      </c>
      <c r="G338" s="12" t="n">
        <v>18.8</v>
      </c>
      <c r="H338" s="11" t="inlineStr">
        <is>
          <t>2026-05-26</t>
        </is>
      </c>
      <c r="I338" s="13" t="n">
        <v>435</v>
      </c>
      <c r="J338" s="5" t="n">
        <v>1250</v>
      </c>
      <c r="K338" s="14" t="n">
        <v>5.55</v>
      </c>
      <c r="L338" s="14" t="n">
        <v>7.2</v>
      </c>
      <c r="M338" s="5">
        <f>K338*J338</f>
        <v/>
      </c>
      <c r="N338" s="8">
        <f>(L338-K338)*J338</f>
        <v/>
      </c>
      <c r="O338" s="8" t="n">
        <v>1676.14</v>
      </c>
      <c r="P338" s="7">
        <f>O338/M338*100</f>
        <v/>
      </c>
      <c r="Q338" s="9" t="n">
        <v>3.038</v>
      </c>
      <c r="R338" s="11" t="inlineStr">
        <is>
          <t>2026_H1</t>
        </is>
      </c>
    </row>
    <row r="339">
      <c r="A339" s="11" t="inlineStr">
        <is>
          <t>2026-05-22</t>
        </is>
      </c>
      <c r="B339" s="11" t="inlineStr">
        <is>
          <t>PRESTIGE</t>
        </is>
      </c>
      <c r="C339" s="11" t="inlineStr">
        <is>
          <t>PE</t>
        </is>
      </c>
      <c r="D339" s="11" t="inlineStr">
        <is>
          <t>mid</t>
        </is>
      </c>
      <c r="E339" s="12" t="n">
        <v>577</v>
      </c>
      <c r="F339" s="12" t="n">
        <v>19.2</v>
      </c>
      <c r="G339" s="12" t="n">
        <v>166.5</v>
      </c>
      <c r="H339" s="11" t="inlineStr">
        <is>
          <t>2026-05-26</t>
        </is>
      </c>
      <c r="I339" s="13" t="n">
        <v>1340</v>
      </c>
      <c r="J339" s="5" t="n">
        <v>450</v>
      </c>
      <c r="K339" s="14" t="n">
        <v>8.050000000000001</v>
      </c>
      <c r="L339" s="14" t="n">
        <v>3.3</v>
      </c>
      <c r="M339" s="5">
        <f>K339*J339</f>
        <v/>
      </c>
      <c r="N339" s="8">
        <f>(L339-K339)*J339</f>
        <v/>
      </c>
      <c r="O339" s="8" t="n">
        <v>-2291.34</v>
      </c>
      <c r="P339" s="7">
        <f>O339/M339*100</f>
        <v/>
      </c>
      <c r="Q339" s="9" t="n">
        <v>1.42</v>
      </c>
      <c r="R339" s="11" t="inlineStr">
        <is>
          <t>2026_H1</t>
        </is>
      </c>
    </row>
    <row r="340">
      <c r="A340" s="11" t="inlineStr">
        <is>
          <t>2026-05-25</t>
        </is>
      </c>
      <c r="B340" s="11" t="inlineStr">
        <is>
          <t>DIVISLAB</t>
        </is>
      </c>
      <c r="C340" s="11" t="inlineStr">
        <is>
          <t>PE</t>
        </is>
      </c>
      <c r="D340" s="11" t="inlineStr">
        <is>
          <t>large</t>
        </is>
      </c>
      <c r="E340" s="12" t="n">
        <v>13.4</v>
      </c>
      <c r="F340" s="12" t="n">
        <v>28.8</v>
      </c>
      <c r="G340" s="12" t="n">
        <v>9.5</v>
      </c>
      <c r="H340" s="11" t="inlineStr">
        <is>
          <t>2026-06-30</t>
        </is>
      </c>
      <c r="I340" s="13" t="n">
        <v>6300</v>
      </c>
      <c r="J340" s="5" t="n">
        <v>100</v>
      </c>
      <c r="K340" s="14" t="n">
        <v>50.05</v>
      </c>
      <c r="L340" s="14" t="n">
        <v>33.45</v>
      </c>
      <c r="M340" s="5">
        <f>K340*J340</f>
        <v/>
      </c>
      <c r="N340" s="8">
        <f>(L340-K340)*J340</f>
        <v/>
      </c>
      <c r="O340" s="8" t="n">
        <v>-1799.38</v>
      </c>
      <c r="P340" s="7">
        <f>O340/M340*100</f>
        <v/>
      </c>
      <c r="Q340" s="9" t="n">
        <v>-0.096</v>
      </c>
      <c r="R340" s="11" t="inlineStr">
        <is>
          <t>2026_H1</t>
        </is>
      </c>
    </row>
    <row r="341">
      <c r="A341" s="11" t="inlineStr">
        <is>
          <t>2026-05-25</t>
        </is>
      </c>
      <c r="B341" s="11" t="inlineStr">
        <is>
          <t>EICHERMOT</t>
        </is>
      </c>
      <c r="C341" s="11" t="inlineStr">
        <is>
          <t>PE</t>
        </is>
      </c>
      <c r="D341" s="11" t="inlineStr">
        <is>
          <t>large</t>
        </is>
      </c>
      <c r="E341" s="12" t="n">
        <v>11.6</v>
      </c>
      <c r="F341" s="12" t="n">
        <v>7</v>
      </c>
      <c r="G341" s="12" t="n">
        <v>16</v>
      </c>
      <c r="H341" s="11" t="inlineStr">
        <is>
          <t>2026-06-30</t>
        </is>
      </c>
      <c r="I341" s="13" t="n">
        <v>6800</v>
      </c>
      <c r="J341" s="5" t="n">
        <v>100</v>
      </c>
      <c r="K341" s="14" t="n">
        <v>75</v>
      </c>
      <c r="L341" s="14" t="n">
        <v>42.3</v>
      </c>
      <c r="M341" s="5">
        <f>K341*J341</f>
        <v/>
      </c>
      <c r="N341" s="8">
        <f>(L341-K341)*J341</f>
        <v/>
      </c>
      <c r="O341" s="8" t="n">
        <v>-3445.99</v>
      </c>
      <c r="P341" s="7">
        <f>O341/M341*100</f>
        <v/>
      </c>
      <c r="Q341" s="9" t="n">
        <v>-2.446</v>
      </c>
      <c r="R341" s="11" t="inlineStr">
        <is>
          <t>2026_H1</t>
        </is>
      </c>
    </row>
    <row r="342">
      <c r="A342" s="11" t="inlineStr">
        <is>
          <t>2026-05-25</t>
        </is>
      </c>
      <c r="B342" s="11" t="inlineStr">
        <is>
          <t>FORTIS</t>
        </is>
      </c>
      <c r="C342" s="11" t="inlineStr">
        <is>
          <t>PE</t>
        </is>
      </c>
      <c r="D342" s="11" t="inlineStr">
        <is>
          <t>mid</t>
        </is>
      </c>
      <c r="E342" s="12" t="n">
        <v>44.2</v>
      </c>
      <c r="F342" s="12" t="n">
        <v>37.4</v>
      </c>
      <c r="G342" s="12" t="n">
        <v>17.8</v>
      </c>
      <c r="H342" s="11" t="inlineStr">
        <is>
          <t>2026-06-30</t>
        </is>
      </c>
      <c r="I342" s="13" t="n">
        <v>900</v>
      </c>
      <c r="J342" s="5" t="n">
        <v>775</v>
      </c>
      <c r="K342" s="14" t="n">
        <v>10.05</v>
      </c>
      <c r="L342" s="14" t="n">
        <v>8.449999999999999</v>
      </c>
      <c r="M342" s="5">
        <f>K342*J342</f>
        <v/>
      </c>
      <c r="N342" s="8">
        <f>(L342-K342)*J342</f>
        <v/>
      </c>
      <c r="O342" s="8" t="n">
        <v>-1590.04</v>
      </c>
      <c r="P342" s="7">
        <f>O342/M342*100</f>
        <v/>
      </c>
      <c r="Q342" s="9" t="n">
        <v>-0.139</v>
      </c>
      <c r="R342" s="11" t="inlineStr">
        <is>
          <t>2026_H1</t>
        </is>
      </c>
    </row>
    <row r="343">
      <c r="A343" s="11" t="inlineStr">
        <is>
          <t>2026-05-25</t>
        </is>
      </c>
      <c r="B343" s="11" t="inlineStr">
        <is>
          <t>NAUKRI</t>
        </is>
      </c>
      <c r="C343" s="11" t="inlineStr">
        <is>
          <t>PE</t>
        </is>
      </c>
      <c r="D343" s="11" t="inlineStr">
        <is>
          <t>mid</t>
        </is>
      </c>
      <c r="E343" s="12" t="n">
        <v>11.5</v>
      </c>
      <c r="F343" s="12" t="n">
        <v>138.6</v>
      </c>
      <c r="G343" s="12" t="n">
        <v>15.9</v>
      </c>
      <c r="H343" s="11" t="inlineStr">
        <is>
          <t>2026-06-30</t>
        </is>
      </c>
      <c r="I343" s="13" t="n">
        <v>880</v>
      </c>
      <c r="J343" s="5" t="n">
        <v>375</v>
      </c>
      <c r="K343" s="14" t="n">
        <v>15.05</v>
      </c>
      <c r="L343" s="14" t="n">
        <v>16</v>
      </c>
      <c r="M343" s="5">
        <f>K343*J343</f>
        <v/>
      </c>
      <c r="N343" s="8">
        <f>(L343-K343)*J343</f>
        <v/>
      </c>
      <c r="O343" s="8" t="n">
        <v>62.1</v>
      </c>
      <c r="P343" s="7">
        <f>O343/M343*100</f>
        <v/>
      </c>
      <c r="Q343" s="9" t="n">
        <v>2.691</v>
      </c>
      <c r="R343" s="11" t="inlineStr">
        <is>
          <t>2026_H1</t>
        </is>
      </c>
    </row>
    <row r="344">
      <c r="A344" s="11" t="inlineStr">
        <is>
          <t>2026-05-25</t>
        </is>
      </c>
      <c r="B344" s="11" t="inlineStr">
        <is>
          <t>TORNTPHARM</t>
        </is>
      </c>
      <c r="C344" s="11" t="inlineStr">
        <is>
          <t>CE</t>
        </is>
      </c>
      <c r="D344" s="11" t="inlineStr">
        <is>
          <t>large</t>
        </is>
      </c>
      <c r="E344" s="12" t="n">
        <v>-26.9</v>
      </c>
      <c r="F344" s="12" t="n">
        <v>-42.7</v>
      </c>
      <c r="G344" s="12" t="n">
        <v>41.8</v>
      </c>
      <c r="H344" s="11" t="inlineStr">
        <is>
          <t>2026-06-30</t>
        </is>
      </c>
      <c r="I344" s="13" t="n">
        <v>5000</v>
      </c>
      <c r="J344" s="5" t="n">
        <v>125</v>
      </c>
      <c r="K344" s="14" t="n">
        <v>36.4</v>
      </c>
      <c r="L344" s="14" t="n">
        <v>29.55</v>
      </c>
      <c r="M344" s="5">
        <f>K344*J344</f>
        <v/>
      </c>
      <c r="N344" s="8">
        <f>(L344-K344)*J344</f>
        <v/>
      </c>
      <c r="O344" s="8" t="n">
        <v>-995.03</v>
      </c>
      <c r="P344" s="7">
        <f>O344/M344*100</f>
        <v/>
      </c>
      <c r="Q344" s="9" t="n">
        <v>1.052</v>
      </c>
      <c r="R344" s="11" t="inlineStr">
        <is>
          <t>2026_H1</t>
        </is>
      </c>
    </row>
    <row r="345">
      <c r="A345" s="11" t="inlineStr">
        <is>
          <t>2026-05-26</t>
        </is>
      </c>
      <c r="B345" s="11" t="inlineStr">
        <is>
          <t>POWERINDIA</t>
        </is>
      </c>
      <c r="C345" s="11" t="inlineStr">
        <is>
          <t>PE</t>
        </is>
      </c>
      <c r="D345" s="11" t="inlineStr">
        <is>
          <t>mid</t>
        </is>
      </c>
      <c r="E345" s="12" t="n">
        <v>79.7</v>
      </c>
      <c r="F345" s="12" t="n">
        <v>26.4</v>
      </c>
      <c r="G345" s="12" t="n">
        <v>46.2</v>
      </c>
      <c r="H345" s="11" t="inlineStr">
        <is>
          <t>2026-06-30</t>
        </is>
      </c>
      <c r="I345" s="13" t="n">
        <v>29000</v>
      </c>
      <c r="J345" s="5" t="n">
        <v>25</v>
      </c>
      <c r="K345" s="14" t="n">
        <v>285</v>
      </c>
      <c r="L345" s="14" t="n">
        <v>94.09999999999999</v>
      </c>
      <c r="M345" s="5">
        <f>K345*J345</f>
        <v/>
      </c>
      <c r="N345" s="8">
        <f>(L345-K345)*J345</f>
        <v/>
      </c>
      <c r="O345" s="8" t="n">
        <v>-5016.98</v>
      </c>
      <c r="P345" s="7">
        <f>O345/M345*100</f>
        <v/>
      </c>
      <c r="Q345" s="9" t="n">
        <v>-1.681</v>
      </c>
      <c r="R345" s="11" t="inlineStr">
        <is>
          <t>2026_H1</t>
        </is>
      </c>
    </row>
    <row r="346">
      <c r="A346" s="11" t="inlineStr">
        <is>
          <t>2026-05-26</t>
        </is>
      </c>
      <c r="B346" s="11" t="inlineStr">
        <is>
          <t>RVNL</t>
        </is>
      </c>
      <c r="C346" s="11" t="inlineStr">
        <is>
          <t>CE</t>
        </is>
      </c>
      <c r="D346" s="11" t="inlineStr">
        <is>
          <t>mid</t>
        </is>
      </c>
      <c r="E346" s="12" t="n">
        <v>-60.4</v>
      </c>
      <c r="F346" s="12" t="n">
        <v>-44</v>
      </c>
      <c r="G346" s="12" t="n">
        <v>4.2</v>
      </c>
      <c r="H346" s="11" t="inlineStr">
        <is>
          <t>2026-06-30</t>
        </is>
      </c>
      <c r="I346" s="13" t="n">
        <v>285</v>
      </c>
      <c r="J346" s="5" t="n">
        <v>1525</v>
      </c>
      <c r="K346" s="14" t="n">
        <v>4.85</v>
      </c>
      <c r="L346" s="14" t="n">
        <v>3.4</v>
      </c>
      <c r="M346" s="5">
        <f>K346*J346</f>
        <v/>
      </c>
      <c r="N346" s="8">
        <f>(L346-K346)*J346</f>
        <v/>
      </c>
      <c r="O346" s="8" t="n">
        <v>-2523.36</v>
      </c>
      <c r="P346" s="7">
        <f>O346/M346*100</f>
        <v/>
      </c>
      <c r="Q346" s="9" t="n">
        <v>-1.591</v>
      </c>
      <c r="R346" s="11" t="inlineStr">
        <is>
          <t>2026_H1</t>
        </is>
      </c>
    </row>
    <row r="347">
      <c r="A347" s="11" t="inlineStr">
        <is>
          <t>2026-05-27</t>
        </is>
      </c>
      <c r="B347" s="11" t="inlineStr">
        <is>
          <t>ONGC</t>
        </is>
      </c>
      <c r="C347" s="11" t="inlineStr">
        <is>
          <t>PE</t>
        </is>
      </c>
      <c r="D347" s="11" t="inlineStr">
        <is>
          <t>large</t>
        </is>
      </c>
      <c r="E347" s="12" t="n">
        <v>54.4</v>
      </c>
      <c r="F347" s="12" t="n">
        <v>14.5</v>
      </c>
      <c r="G347" s="12" t="n">
        <v>1.8</v>
      </c>
      <c r="H347" s="11" t="inlineStr">
        <is>
          <t>2026-06-30</t>
        </is>
      </c>
      <c r="I347" s="13" t="n">
        <v>270</v>
      </c>
      <c r="J347" s="5" t="n">
        <v>2250</v>
      </c>
      <c r="K347" s="14" t="n">
        <v>3.55</v>
      </c>
      <c r="L347" s="14" t="n">
        <v>5.25</v>
      </c>
      <c r="M347" s="5">
        <f>K347*J347</f>
        <v/>
      </c>
      <c r="N347" s="8">
        <f>(L347-K347)*J347</f>
        <v/>
      </c>
      <c r="O347" s="8" t="n">
        <v>3553.51</v>
      </c>
      <c r="P347" s="7">
        <f>O347/M347*100</f>
        <v/>
      </c>
      <c r="Q347" s="9" t="n">
        <v>3.571</v>
      </c>
      <c r="R347" s="11" t="inlineStr">
        <is>
          <t>2026_H1</t>
        </is>
      </c>
    </row>
    <row r="348">
      <c r="A348" s="11" t="inlineStr">
        <is>
          <t>2026-05-29</t>
        </is>
      </c>
      <c r="B348" s="11" t="inlineStr">
        <is>
          <t>CUMMINSIND</t>
        </is>
      </c>
      <c r="C348" s="11" t="inlineStr">
        <is>
          <t>PE</t>
        </is>
      </c>
      <c r="D348" s="11" t="inlineStr">
        <is>
          <t>large</t>
        </is>
      </c>
      <c r="E348" s="12" t="n">
        <v>22.7</v>
      </c>
      <c r="F348" s="12" t="n">
        <v>33.6</v>
      </c>
      <c r="G348" s="12" t="n">
        <v>21.9</v>
      </c>
      <c r="H348" s="11" t="inlineStr">
        <is>
          <t>2026-06-30</t>
        </is>
      </c>
      <c r="I348" s="13" t="n">
        <v>5450</v>
      </c>
      <c r="J348" s="5" t="n">
        <v>200</v>
      </c>
      <c r="K348" s="14" t="n">
        <v>33</v>
      </c>
      <c r="L348" s="14" t="n">
        <v>37.65</v>
      </c>
      <c r="M348" s="5">
        <f>K348*J348</f>
        <v/>
      </c>
      <c r="N348" s="8">
        <f>(L348-K348)*J348</f>
        <v/>
      </c>
      <c r="O348" s="8" t="n">
        <v>724.0700000000001</v>
      </c>
      <c r="P348" s="7">
        <f>O348/M348*100</f>
        <v/>
      </c>
      <c r="Q348" s="9" t="n">
        <v>3.59</v>
      </c>
      <c r="R348" s="11" t="inlineStr">
        <is>
          <t>2026_H1</t>
        </is>
      </c>
    </row>
    <row r="349">
      <c r="A349" s="11" t="inlineStr">
        <is>
          <t>2026-06-01</t>
        </is>
      </c>
      <c r="B349" s="11" t="inlineStr">
        <is>
          <t>ASIANPAINT</t>
        </is>
      </c>
      <c r="C349" s="11" t="inlineStr">
        <is>
          <t>PE</t>
        </is>
      </c>
      <c r="D349" s="11" t="inlineStr">
        <is>
          <t>large</t>
        </is>
      </c>
      <c r="E349" s="12" t="n">
        <v>69.2</v>
      </c>
      <c r="F349" s="12" t="n">
        <v>10.4</v>
      </c>
      <c r="G349" s="12" t="n">
        <v>10.6</v>
      </c>
      <c r="H349" s="11" t="inlineStr">
        <is>
          <t>2026-06-30</t>
        </is>
      </c>
      <c r="I349" s="13" t="n">
        <v>2620</v>
      </c>
      <c r="J349" s="5" t="n">
        <v>250</v>
      </c>
      <c r="K349" s="14" t="n">
        <v>30.4</v>
      </c>
      <c r="L349" s="14" t="n">
        <v>65.09999999999999</v>
      </c>
      <c r="M349" s="5">
        <f>K349*J349</f>
        <v/>
      </c>
      <c r="N349" s="8">
        <f>(L349-K349)*J349</f>
        <v/>
      </c>
      <c r="O349" s="8" t="n">
        <v>8354.370000000001</v>
      </c>
      <c r="P349" s="7">
        <f>O349/M349*100</f>
        <v/>
      </c>
      <c r="Q349" s="9" t="n">
        <v>3.667</v>
      </c>
      <c r="R349" s="11" t="inlineStr">
        <is>
          <t>2026_H1</t>
        </is>
      </c>
    </row>
    <row r="350">
      <c r="A350" s="11" t="inlineStr">
        <is>
          <t>2026-06-01</t>
        </is>
      </c>
      <c r="B350" s="11" t="inlineStr">
        <is>
          <t>INDIGO</t>
        </is>
      </c>
      <c r="C350" s="11" t="inlineStr">
        <is>
          <t>CE</t>
        </is>
      </c>
      <c r="D350" s="11" t="inlineStr">
        <is>
          <t>large</t>
        </is>
      </c>
      <c r="E350" s="12" t="n">
        <v>-182.7</v>
      </c>
      <c r="F350" s="12" t="n">
        <v>-562</v>
      </c>
      <c r="G350" s="12" t="n">
        <v>1.3</v>
      </c>
      <c r="H350" s="11" t="inlineStr">
        <is>
          <t>2026-06-30</t>
        </is>
      </c>
      <c r="I350" s="13" t="n">
        <v>4900</v>
      </c>
      <c r="J350" s="5" t="n">
        <v>150</v>
      </c>
      <c r="K350" s="14" t="n">
        <v>50.55</v>
      </c>
      <c r="L350" s="14" t="n">
        <v>21.15</v>
      </c>
      <c r="M350" s="5">
        <f>K350*J350</f>
        <v/>
      </c>
      <c r="N350" s="8">
        <f>(L350-K350)*J350</f>
        <v/>
      </c>
      <c r="O350" s="8" t="n">
        <v>-4574.26</v>
      </c>
      <c r="P350" s="7">
        <f>O350/M350*100</f>
        <v/>
      </c>
      <c r="Q350" s="9" t="n">
        <v>-1.585</v>
      </c>
      <c r="R350" s="11" t="inlineStr">
        <is>
          <t>2026_H1</t>
        </is>
      </c>
    </row>
    <row r="351">
      <c r="A351" s="11" t="inlineStr">
        <is>
          <t>2026-06-01</t>
        </is>
      </c>
      <c r="B351" s="11" t="inlineStr">
        <is>
          <t>INOXWIND</t>
        </is>
      </c>
      <c r="C351" s="11" t="inlineStr">
        <is>
          <t>CE</t>
        </is>
      </c>
      <c r="D351" s="11" t="inlineStr">
        <is>
          <t>small</t>
        </is>
      </c>
      <c r="E351" s="12" t="n">
        <v>-44.5</v>
      </c>
      <c r="F351" s="12" t="n">
        <v>-16.6</v>
      </c>
      <c r="G351" s="12" t="n">
        <v>-2.4</v>
      </c>
      <c r="H351" s="11" t="inlineStr">
        <is>
          <t>2026-06-30</t>
        </is>
      </c>
      <c r="I351" s="13" t="n">
        <v>98</v>
      </c>
      <c r="J351" s="5" t="n">
        <v>3575</v>
      </c>
      <c r="K351" s="14" t="n">
        <v>2.04</v>
      </c>
      <c r="L351" s="14" t="n">
        <v>0.57</v>
      </c>
      <c r="M351" s="5">
        <f>K351*J351</f>
        <v/>
      </c>
      <c r="N351" s="8">
        <f>(L351-K351)*J351</f>
        <v/>
      </c>
      <c r="O351" s="8" t="n">
        <v>-5589.57</v>
      </c>
      <c r="P351" s="7">
        <f>O351/M351*100</f>
        <v/>
      </c>
      <c r="Q351" s="9" t="n">
        <v>-6.303</v>
      </c>
      <c r="R351" s="11" t="inlineStr">
        <is>
          <t>2026_H1</t>
        </is>
      </c>
    </row>
    <row r="352">
      <c r="A352" s="11" t="inlineStr">
        <is>
          <t>2026-07-13</t>
        </is>
      </c>
      <c r="B352" s="11" t="inlineStr">
        <is>
          <t>DMART</t>
        </is>
      </c>
      <c r="C352" s="11" t="inlineStr">
        <is>
          <t>PE</t>
        </is>
      </c>
      <c r="D352" s="11" t="inlineStr">
        <is>
          <t>large</t>
        </is>
      </c>
      <c r="E352" s="12" t="n">
        <v>11.3</v>
      </c>
      <c r="F352" s="12" t="n">
        <v>31.1</v>
      </c>
      <c r="G352" s="12" t="n">
        <v>14.9</v>
      </c>
      <c r="H352" s="11" t="inlineStr">
        <is>
          <t>2026-07-28</t>
        </is>
      </c>
      <c r="I352" s="13" t="n">
        <v>3800</v>
      </c>
      <c r="J352" s="5" t="n">
        <v>150</v>
      </c>
      <c r="K352" s="14" t="n">
        <v>39.45</v>
      </c>
      <c r="L352" s="14" t="n">
        <v>28.6</v>
      </c>
      <c r="M352" s="5">
        <f>K352*J352</f>
        <v/>
      </c>
      <c r="N352" s="8">
        <f>(L352-K352)*J352</f>
        <v/>
      </c>
      <c r="O352" s="8" t="n">
        <v>-1787.69</v>
      </c>
      <c r="P352" s="7">
        <f>O352/M352*100</f>
        <v/>
      </c>
      <c r="Q352" s="9" t="n">
        <v>-1.116</v>
      </c>
      <c r="R352" s="11" t="inlineStr">
        <is>
          <t>2026_Q3</t>
        </is>
      </c>
    </row>
    <row r="353">
      <c r="A353" s="11" t="inlineStr">
        <is>
          <t>2026-07-13</t>
        </is>
      </c>
      <c r="B353" s="11" t="inlineStr">
        <is>
          <t>INDIANB</t>
        </is>
      </c>
      <c r="C353" s="11" t="inlineStr">
        <is>
          <t>PE</t>
        </is>
      </c>
      <c r="D353" s="11" t="inlineStr">
        <is>
          <t>mid</t>
        </is>
      </c>
      <c r="E353" s="12" t="n">
        <v>47.5</v>
      </c>
      <c r="F353" s="12" t="n">
        <v>5.8</v>
      </c>
      <c r="G353" s="12" t="n">
        <v>11.1</v>
      </c>
      <c r="H353" s="11" t="inlineStr">
        <is>
          <t>2026-07-28</t>
        </is>
      </c>
      <c r="I353" s="13" t="n">
        <v>821.75</v>
      </c>
      <c r="J353" s="5" t="n">
        <v>1000</v>
      </c>
      <c r="K353" s="14" t="n">
        <v>6.55</v>
      </c>
      <c r="L353" s="14" t="n">
        <v>11.25</v>
      </c>
      <c r="M353" s="5">
        <f>K353*J353</f>
        <v/>
      </c>
      <c r="N353" s="8">
        <f>(L353-K353)*J353</f>
        <v/>
      </c>
      <c r="O353" s="8" t="n">
        <v>4272.23</v>
      </c>
      <c r="P353" s="7">
        <f>O353/M353*100</f>
        <v/>
      </c>
      <c r="Q353" s="9" t="n">
        <v>2.932</v>
      </c>
      <c r="R353" s="11" t="inlineStr">
        <is>
          <t>2026_Q3</t>
        </is>
      </c>
    </row>
    <row r="354">
      <c r="A354" s="11" t="inlineStr">
        <is>
          <t>2026-07-13</t>
        </is>
      </c>
      <c r="B354" s="11" t="inlineStr">
        <is>
          <t>LTF</t>
        </is>
      </c>
      <c r="C354" s="11" t="inlineStr">
        <is>
          <t>PE</t>
        </is>
      </c>
      <c r="D354" s="11" t="inlineStr">
        <is>
          <t>mid</t>
        </is>
      </c>
      <c r="E354" s="12" t="n">
        <v>30.7</v>
      </c>
      <c r="F354" s="12" t="n">
        <v>13.2</v>
      </c>
      <c r="G354" s="12" t="n">
        <v>23.1</v>
      </c>
      <c r="H354" s="11" t="inlineStr">
        <is>
          <t>2026-07-28</t>
        </is>
      </c>
      <c r="I354" s="13" t="n">
        <v>295</v>
      </c>
      <c r="J354" s="5" t="n">
        <v>2250</v>
      </c>
      <c r="K354" s="14" t="n">
        <v>2.9</v>
      </c>
      <c r="L354" s="14" t="n">
        <v>1.65</v>
      </c>
      <c r="M354" s="5">
        <f>K354*J354</f>
        <v/>
      </c>
      <c r="N354" s="8">
        <f>(L354-K354)*J354</f>
        <v/>
      </c>
      <c r="O354" s="8" t="n">
        <v>-3074.53</v>
      </c>
      <c r="P354" s="7">
        <f>O354/M354*100</f>
        <v/>
      </c>
      <c r="Q354" s="9" t="n">
        <v>-1.074</v>
      </c>
      <c r="R354" s="11" t="inlineStr">
        <is>
          <t>2026_Q3</t>
        </is>
      </c>
    </row>
    <row r="355">
      <c r="A355" s="11" t="inlineStr">
        <is>
          <t>2026-07-13</t>
        </is>
      </c>
      <c r="B355" s="11" t="inlineStr">
        <is>
          <t>LTM</t>
        </is>
      </c>
      <c r="C355" s="11" t="inlineStr">
        <is>
          <t>PE</t>
        </is>
      </c>
      <c r="D355" s="11" t="inlineStr">
        <is>
          <t>large</t>
        </is>
      </c>
      <c r="E355" s="12" t="n">
        <v>17.1</v>
      </c>
      <c r="F355" s="12" t="n">
        <v>5.9</v>
      </c>
      <c r="G355" s="12" t="n">
        <v>18</v>
      </c>
      <c r="H355" s="11" t="inlineStr">
        <is>
          <t>2026-07-28</t>
        </is>
      </c>
      <c r="I355" s="13" t="n">
        <v>3850</v>
      </c>
      <c r="J355" s="5" t="n">
        <v>150</v>
      </c>
      <c r="K355" s="14" t="n">
        <v>45.2</v>
      </c>
      <c r="L355" s="14" t="n">
        <v>30.8</v>
      </c>
      <c r="M355" s="5">
        <f>K355*J355</f>
        <v/>
      </c>
      <c r="N355" s="8">
        <f>(L355-K355)*J355</f>
        <v/>
      </c>
      <c r="O355" s="8" t="n">
        <v>-2333.12</v>
      </c>
      <c r="P355" s="7">
        <f>O355/M355*100</f>
        <v/>
      </c>
      <c r="Q355" s="9" t="n">
        <v>-1.646</v>
      </c>
      <c r="R355" s="11" t="inlineStr">
        <is>
          <t>2026_Q3</t>
        </is>
      </c>
    </row>
    <row r="356">
      <c r="A356" s="11" t="inlineStr">
        <is>
          <t>2026-07-14</t>
        </is>
      </c>
      <c r="B356" s="11" t="inlineStr">
        <is>
          <t>HCLTECH</t>
        </is>
      </c>
      <c r="C356" s="11" t="inlineStr">
        <is>
          <t>PE</t>
        </is>
      </c>
      <c r="D356" s="11" t="inlineStr">
        <is>
          <t>large</t>
        </is>
      </c>
      <c r="E356" s="12" t="n">
        <v>20.3</v>
      </c>
      <c r="F356" s="12" t="n">
        <v>3</v>
      </c>
      <c r="G356" s="12" t="n">
        <v>13.9</v>
      </c>
      <c r="H356" s="11" t="inlineStr">
        <is>
          <t>2026-07-28</t>
        </is>
      </c>
      <c r="I356" s="13" t="n">
        <v>1150</v>
      </c>
      <c r="J356" s="5" t="n">
        <v>400</v>
      </c>
      <c r="K356" s="14" t="n">
        <v>16.95</v>
      </c>
      <c r="L356" s="14" t="n">
        <v>28.6</v>
      </c>
      <c r="M356" s="5">
        <f>K356*J356</f>
        <v/>
      </c>
      <c r="N356" s="8">
        <f>(L356-K356)*J356</f>
        <v/>
      </c>
      <c r="O356" s="8" t="n">
        <v>4405.59</v>
      </c>
      <c r="P356" s="7">
        <f>O356/M356*100</f>
        <v/>
      </c>
      <c r="Q356" s="9" t="n">
        <v>2.775</v>
      </c>
      <c r="R356" s="11" t="inlineStr">
        <is>
          <t>2026_Q3</t>
        </is>
      </c>
    </row>
    <row r="357">
      <c r="A357" s="11" t="inlineStr">
        <is>
          <t>2026-07-16</t>
        </is>
      </c>
      <c r="B357" s="11" t="inlineStr">
        <is>
          <t>HDFCAMC</t>
        </is>
      </c>
      <c r="C357" s="11" t="inlineStr">
        <is>
          <t>PE</t>
        </is>
      </c>
      <c r="D357" s="11" t="inlineStr">
        <is>
          <t>large</t>
        </is>
      </c>
      <c r="E357" s="12" t="n">
        <v>12</v>
      </c>
      <c r="F357" s="12" t="n">
        <v>34.4</v>
      </c>
      <c r="G357" s="12" t="n">
        <v>13.6</v>
      </c>
      <c r="H357" s="11" t="inlineStr">
        <is>
          <t>2026-07-28</t>
        </is>
      </c>
      <c r="I357" s="13" t="n">
        <v>2600</v>
      </c>
      <c r="J357" s="5" t="n">
        <v>300</v>
      </c>
      <c r="K357" s="14" t="n">
        <v>26</v>
      </c>
      <c r="L357" s="14" t="n">
        <v>60.5</v>
      </c>
      <c r="M357" s="5">
        <f>K357*J357</f>
        <v/>
      </c>
      <c r="N357" s="8">
        <f>(L357-K357)*J357</f>
        <v/>
      </c>
      <c r="O357" s="8" t="n">
        <v>10004.93</v>
      </c>
      <c r="P357" s="7">
        <f>O357/M357*100</f>
        <v/>
      </c>
      <c r="Q357" s="9" t="n">
        <v>4.412</v>
      </c>
      <c r="R357" s="11" t="inlineStr">
        <is>
          <t>2026_Q3</t>
        </is>
      </c>
    </row>
    <row r="358">
      <c r="A358" s="11" t="inlineStr">
        <is>
          <t>2026-07-17</t>
        </is>
      </c>
      <c r="B358" s="11" t="inlineStr">
        <is>
          <t>360ONE</t>
        </is>
      </c>
      <c r="C358" s="11" t="inlineStr">
        <is>
          <t>PE</t>
        </is>
      </c>
      <c r="D358" s="11" t="inlineStr">
        <is>
          <t>mid</t>
        </is>
      </c>
      <c r="E358" s="12" t="n">
        <v>16.1</v>
      </c>
      <c r="F358" s="12" t="n">
        <v>14.5</v>
      </c>
      <c r="G358" s="12" t="n">
        <v>34.5</v>
      </c>
      <c r="H358" s="11" t="inlineStr">
        <is>
          <t>2026-07-28</t>
        </is>
      </c>
      <c r="I358" s="13" t="n">
        <v>1060</v>
      </c>
      <c r="J358" s="5" t="n">
        <v>500</v>
      </c>
      <c r="K358" s="14" t="n">
        <v>12.4</v>
      </c>
      <c r="L358" s="14" t="n">
        <v>9</v>
      </c>
      <c r="M358" s="5">
        <f>K358*J358</f>
        <v/>
      </c>
      <c r="N358" s="8">
        <f>(L358-K358)*J358</f>
        <v/>
      </c>
      <c r="O358" s="8" t="n">
        <v>-1972.64</v>
      </c>
      <c r="P358" s="7">
        <f>O358/M358*100</f>
        <v/>
      </c>
      <c r="Q358" s="9" t="n">
        <v>-0.487</v>
      </c>
      <c r="R358" s="11" t="inlineStr">
        <is>
          <t>2026_Q3</t>
        </is>
      </c>
    </row>
    <row r="359">
      <c r="A359" s="11" t="inlineStr">
        <is>
          <t>2026-07-17</t>
        </is>
      </c>
      <c r="B359" s="11" t="inlineStr">
        <is>
          <t>POLYCAB</t>
        </is>
      </c>
      <c r="C359" s="11" t="inlineStr">
        <is>
          <t>PE</t>
        </is>
      </c>
      <c r="D359" s="11" t="inlineStr">
        <is>
          <t>large</t>
        </is>
      </c>
      <c r="E359" s="12" t="n">
        <v>32.8</v>
      </c>
      <c r="F359" s="12" t="n">
        <v>1.4</v>
      </c>
      <c r="G359" s="12" t="n">
        <v>39</v>
      </c>
      <c r="H359" s="11" t="inlineStr">
        <is>
          <t>2026-07-28</t>
        </is>
      </c>
      <c r="I359" s="13" t="n">
        <v>8600</v>
      </c>
      <c r="J359" s="5" t="n">
        <v>125</v>
      </c>
      <c r="K359" s="14" t="n">
        <v>55</v>
      </c>
      <c r="L359" s="14" t="n">
        <v>61.6</v>
      </c>
      <c r="M359" s="5">
        <f>K359*J359</f>
        <v/>
      </c>
      <c r="N359" s="8">
        <f>(L359-K359)*J359</f>
        <v/>
      </c>
      <c r="O359" s="8" t="n">
        <v>614.16</v>
      </c>
      <c r="P359" s="7">
        <f>O359/M359*100</f>
        <v/>
      </c>
      <c r="Q359" s="9" t="n">
        <v>3.354</v>
      </c>
      <c r="R359" s="11" t="inlineStr">
        <is>
          <t>2026_Q3</t>
        </is>
      </c>
    </row>
    <row r="360">
      <c r="A360" s="11" t="inlineStr">
        <is>
          <t>2026-07-17</t>
        </is>
      </c>
      <c r="B360" s="11" t="inlineStr">
        <is>
          <t>TECHM</t>
        </is>
      </c>
      <c r="C360" s="11" t="inlineStr">
        <is>
          <t>PE</t>
        </is>
      </c>
      <c r="D360" s="11" t="inlineStr">
        <is>
          <t>large</t>
        </is>
      </c>
      <c r="E360" s="12" t="n">
        <v>31.7</v>
      </c>
      <c r="F360" s="12" t="n">
        <v>9.6</v>
      </c>
      <c r="G360" s="12" t="n">
        <v>17.7</v>
      </c>
      <c r="H360" s="11" t="inlineStr">
        <is>
          <t>2026-07-28</t>
        </is>
      </c>
      <c r="I360" s="13" t="n">
        <v>1484</v>
      </c>
      <c r="J360" s="5" t="n">
        <v>600</v>
      </c>
      <c r="K360" s="14" t="n">
        <v>13</v>
      </c>
      <c r="L360" s="14" t="n">
        <v>4.95</v>
      </c>
      <c r="M360" s="5">
        <f>K360*J360</f>
        <v/>
      </c>
      <c r="N360" s="8">
        <f>(L360-K360)*J360</f>
        <v/>
      </c>
      <c r="O360" s="8" t="n">
        <v>-4994.12</v>
      </c>
      <c r="P360" s="7">
        <f>O360/M360*100</f>
        <v/>
      </c>
      <c r="Q360" s="9" t="n">
        <v>-2.136</v>
      </c>
      <c r="R360" s="11" t="inlineStr">
        <is>
          <t>2026_Q3</t>
        </is>
      </c>
    </row>
    <row r="361">
      <c r="A361" s="11" t="inlineStr">
        <is>
          <t>2026-07-20</t>
        </is>
      </c>
      <c r="B361" s="11" t="inlineStr">
        <is>
          <t>AXISBANK</t>
        </is>
      </c>
      <c r="C361" s="11" t="inlineStr">
        <is>
          <t>PE</t>
        </is>
      </c>
      <c r="D361" s="11" t="inlineStr">
        <is>
          <t>large</t>
        </is>
      </c>
      <c r="E361" s="12" t="n">
        <v>22.2</v>
      </c>
      <c r="F361" s="12" t="n">
        <v>0.4</v>
      </c>
      <c r="G361" s="12" t="n">
        <v>9.9</v>
      </c>
      <c r="H361" s="11" t="inlineStr">
        <is>
          <t>2026-07-28</t>
        </is>
      </c>
      <c r="I361" s="13" t="n">
        <v>1250</v>
      </c>
      <c r="J361" s="5" t="n">
        <v>625</v>
      </c>
      <c r="K361" s="14" t="n">
        <v>10.6</v>
      </c>
      <c r="L361" s="14" t="n">
        <v>13.85</v>
      </c>
      <c r="M361" s="5">
        <f>K361*J361</f>
        <v/>
      </c>
      <c r="N361" s="8">
        <f>(L361-K361)*J361</f>
        <v/>
      </c>
      <c r="O361" s="8" t="n">
        <v>1811.63</v>
      </c>
      <c r="P361" s="7">
        <f>O361/M361*100</f>
        <v/>
      </c>
      <c r="Q361" s="9" t="n">
        <v>1.49</v>
      </c>
      <c r="R361" s="11" t="inlineStr">
        <is>
          <t>2026_Q3</t>
        </is>
      </c>
    </row>
    <row r="362">
      <c r="A362" s="11" t="inlineStr">
        <is>
          <t>2026-07-20</t>
        </is>
      </c>
      <c r="B362" s="11" t="inlineStr">
        <is>
          <t>HAVELLS</t>
        </is>
      </c>
      <c r="C362" s="11" t="inlineStr">
        <is>
          <t>CE</t>
        </is>
      </c>
      <c r="D362" s="11" t="inlineStr">
        <is>
          <t>mid</t>
        </is>
      </c>
      <c r="E362" s="12" t="n">
        <v>-16.6</v>
      </c>
      <c r="F362" s="12" t="n">
        <v>-60</v>
      </c>
      <c r="G362" s="12" t="n">
        <v>19.5</v>
      </c>
      <c r="H362" s="11" t="inlineStr">
        <is>
          <t>2026-07-28</t>
        </is>
      </c>
      <c r="I362" s="13" t="n">
        <v>1210</v>
      </c>
      <c r="J362" s="5" t="n">
        <v>500</v>
      </c>
      <c r="K362" s="14" t="n">
        <v>12.3</v>
      </c>
      <c r="L362" s="14" t="n">
        <v>16.85</v>
      </c>
      <c r="M362" s="5">
        <f>K362*J362</f>
        <v/>
      </c>
      <c r="N362" s="8">
        <f>(L362-K362)*J362</f>
        <v/>
      </c>
      <c r="O362" s="8" t="n">
        <v>1917.35</v>
      </c>
      <c r="P362" s="7">
        <f>O362/M362*100</f>
        <v/>
      </c>
      <c r="Q362" s="9" t="n">
        <v>2.977</v>
      </c>
      <c r="R362" s="11" t="inlineStr">
        <is>
          <t>2026_Q3</t>
        </is>
      </c>
    </row>
    <row r="363">
      <c r="A363" s="11" t="inlineStr">
        <is>
          <t>2026-07-20</t>
        </is>
      </c>
      <c r="B363" s="11" t="inlineStr">
        <is>
          <t>ICICIBANK</t>
        </is>
      </c>
      <c r="C363" s="11" t="inlineStr">
        <is>
          <t>PE</t>
        </is>
      </c>
      <c r="D363" s="11" t="inlineStr">
        <is>
          <t>large</t>
        </is>
      </c>
      <c r="E363" s="12" t="n">
        <v>13.9</v>
      </c>
      <c r="F363" s="12" t="n">
        <v>4.6</v>
      </c>
      <c r="G363" s="12" t="n">
        <v>6.4</v>
      </c>
      <c r="H363" s="11" t="inlineStr">
        <is>
          <t>2026-07-28</t>
        </is>
      </c>
      <c r="I363" s="13" t="n">
        <v>1420</v>
      </c>
      <c r="J363" s="5" t="n">
        <v>700</v>
      </c>
      <c r="K363" s="14" t="n">
        <v>10.1</v>
      </c>
      <c r="L363" s="14" t="n">
        <v>4.95</v>
      </c>
      <c r="M363" s="5">
        <f>K363*J363</f>
        <v/>
      </c>
      <c r="N363" s="8">
        <f>(L363-K363)*J363</f>
        <v/>
      </c>
      <c r="O363" s="8" t="n">
        <v>-3767.38</v>
      </c>
      <c r="P363" s="7">
        <f>O363/M363*100</f>
        <v/>
      </c>
      <c r="Q363" s="9" t="n">
        <v>-1.087</v>
      </c>
      <c r="R363" s="11" t="inlineStr">
        <is>
          <t>2026_Q3</t>
        </is>
      </c>
    </row>
    <row r="364">
      <c r="A364" s="11" t="inlineStr">
        <is>
          <t>2026-07-20</t>
        </is>
      </c>
      <c r="B364" s="11" t="inlineStr">
        <is>
          <t>KOTAKBANK</t>
        </is>
      </c>
      <c r="C364" s="11" t="inlineStr">
        <is>
          <t>PE</t>
        </is>
      </c>
      <c r="D364" s="11" t="inlineStr">
        <is>
          <t>large</t>
        </is>
      </c>
      <c r="E364" s="12" t="n">
        <v>22.5</v>
      </c>
      <c r="F364" s="12" t="n">
        <v>1.1</v>
      </c>
      <c r="G364" s="12" t="n">
        <v>6.4</v>
      </c>
      <c r="H364" s="11" t="inlineStr">
        <is>
          <t>2026-07-28</t>
        </is>
      </c>
      <c r="I364" s="13" t="n">
        <v>377.5</v>
      </c>
      <c r="J364" s="5" t="n">
        <v>2000</v>
      </c>
      <c r="K364" s="14" t="n">
        <v>3.85</v>
      </c>
      <c r="L364" s="14" t="n">
        <v>2.45</v>
      </c>
      <c r="M364" s="5">
        <f>K364*J364</f>
        <v/>
      </c>
      <c r="N364" s="8">
        <f>(L364-K364)*J364</f>
        <v/>
      </c>
      <c r="O364" s="8" t="n">
        <v>-2986.07</v>
      </c>
      <c r="P364" s="7">
        <f>O364/M364*100</f>
        <v/>
      </c>
      <c r="Q364" s="9" t="n">
        <v>-0.013</v>
      </c>
      <c r="R364" s="11" t="inlineStr">
        <is>
          <t>2026_Q3</t>
        </is>
      </c>
    </row>
    <row r="365">
      <c r="A365" s="11" t="inlineStr">
        <is>
          <t>2026-07-21</t>
        </is>
      </c>
      <c r="B365" s="11" t="inlineStr">
        <is>
          <t>PAYTM</t>
        </is>
      </c>
      <c r="C365" s="11" t="inlineStr">
        <is>
          <t>PE</t>
        </is>
      </c>
      <c r="D365" s="11" t="inlineStr">
        <is>
          <t>mid</t>
        </is>
      </c>
      <c r="E365" s="12" t="n">
        <v>79.59999999999999</v>
      </c>
      <c r="F365" s="12" t="n">
        <v>20.2</v>
      </c>
      <c r="G365" s="12" t="n">
        <v>27.7</v>
      </c>
      <c r="H365" s="11" t="inlineStr">
        <is>
          <t>2026-07-28</t>
        </is>
      </c>
      <c r="I365" s="13" t="n">
        <v>1230</v>
      </c>
      <c r="J365" s="5" t="n">
        <v>725</v>
      </c>
      <c r="K365" s="14" t="n">
        <v>6.55</v>
      </c>
      <c r="L365" s="14" t="n">
        <v>7.15</v>
      </c>
      <c r="M365" s="5">
        <f>K365*J365</f>
        <v/>
      </c>
      <c r="N365" s="8">
        <f>(L365-K365)*J365</f>
        <v/>
      </c>
      <c r="O365" s="8" t="n">
        <v>177.06</v>
      </c>
      <c r="P365" s="7">
        <f>O365/M365*100</f>
        <v/>
      </c>
      <c r="Q365" s="9" t="n">
        <v>2.73</v>
      </c>
      <c r="R365" s="11" t="inlineStr">
        <is>
          <t>2026_Q3</t>
        </is>
      </c>
    </row>
    <row r="366">
      <c r="A366" s="11" t="inlineStr">
        <is>
          <t>2026-07-22</t>
        </is>
      </c>
      <c r="B366" s="11" t="inlineStr">
        <is>
          <t>ADANIENSOL</t>
        </is>
      </c>
      <c r="C366" s="11" t="inlineStr">
        <is>
          <t>PE</t>
        </is>
      </c>
      <c r="D366" s="11" t="inlineStr">
        <is>
          <t>large</t>
        </is>
      </c>
      <c r="E366" s="12" t="n">
        <v>129.4</v>
      </c>
      <c r="F366" s="12" t="n">
        <v>71.09999999999999</v>
      </c>
      <c r="G366" s="12" t="n">
        <v>42.4</v>
      </c>
      <c r="H366" s="11" t="inlineStr">
        <is>
          <t>2026-07-28</t>
        </is>
      </c>
      <c r="I366" s="13" t="n">
        <v>1680</v>
      </c>
      <c r="J366" s="5" t="n">
        <v>675</v>
      </c>
      <c r="K366" s="14" t="n">
        <v>9.699999999999999</v>
      </c>
      <c r="L366" s="14" t="n">
        <v>9.300000000000001</v>
      </c>
      <c r="M366" s="5">
        <f>K366*J366</f>
        <v/>
      </c>
      <c r="N366" s="8">
        <f>(L366-K366)*J366</f>
        <v/>
      </c>
      <c r="O366" s="8" t="n">
        <v>-460.47</v>
      </c>
      <c r="P366" s="7">
        <f>O366/M366*100</f>
        <v/>
      </c>
      <c r="Q366" s="9" t="n">
        <v>1.48</v>
      </c>
      <c r="R366" s="11" t="inlineStr">
        <is>
          <t>2026_Q3</t>
        </is>
      </c>
    </row>
    <row r="367">
      <c r="A367" s="11" t="inlineStr">
        <is>
          <t>2026-07-22</t>
        </is>
      </c>
      <c r="B367" s="11" t="inlineStr">
        <is>
          <t>TVSMOTOR</t>
        </is>
      </c>
      <c r="C367" s="11" t="inlineStr">
        <is>
          <t>PE</t>
        </is>
      </c>
      <c r="D367" s="11" t="inlineStr">
        <is>
          <t>large</t>
        </is>
      </c>
      <c r="E367" s="12" t="n">
        <v>64.5</v>
      </c>
      <c r="F367" s="12" t="n">
        <v>29</v>
      </c>
      <c r="G367" s="12" t="n">
        <v>33.5</v>
      </c>
      <c r="H367" s="11" t="inlineStr">
        <is>
          <t>2026-07-28</t>
        </is>
      </c>
      <c r="I367" s="13" t="n">
        <v>3780</v>
      </c>
      <c r="J367" s="5" t="n">
        <v>175</v>
      </c>
      <c r="K367" s="14" t="n">
        <v>44.45</v>
      </c>
      <c r="L367" s="14" t="n">
        <v>10.6</v>
      </c>
      <c r="M367" s="5">
        <f>K367*J367</f>
        <v/>
      </c>
      <c r="N367" s="8">
        <f>(L367-K367)*J367</f>
        <v/>
      </c>
      <c r="O367" s="8" t="n">
        <v>-6074.35</v>
      </c>
      <c r="P367" s="7">
        <f>O367/M367*100</f>
        <v/>
      </c>
      <c r="Q367" s="9" t="n">
        <v>-1.478</v>
      </c>
      <c r="R367" s="11" t="inlineStr">
        <is>
          <t>2026_Q3</t>
        </is>
      </c>
    </row>
    <row r="368">
      <c r="A368" s="11" t="inlineStr">
        <is>
          <t>2026-07-23</t>
        </is>
      </c>
      <c r="B368" s="11" t="inlineStr">
        <is>
          <t>ADANIPOWER</t>
        </is>
      </c>
      <c r="C368" s="11" t="inlineStr">
        <is>
          <t>PE</t>
        </is>
      </c>
      <c r="D368" s="11" t="inlineStr">
        <is>
          <t>large</t>
        </is>
      </c>
      <c r="E368" s="12" t="n">
        <v>47.2</v>
      </c>
      <c r="F368" s="12" t="n">
        <v>13.9</v>
      </c>
      <c r="G368" s="12" t="n">
        <v>34</v>
      </c>
      <c r="H368" s="11" t="inlineStr">
        <is>
          <t>2026-07-28</t>
        </is>
      </c>
      <c r="I368" s="13" t="n">
        <v>210</v>
      </c>
      <c r="J368" s="5" t="n">
        <v>3550</v>
      </c>
      <c r="K368" s="14" t="n">
        <v>2.25</v>
      </c>
      <c r="L368" s="14" t="n">
        <v>1.73</v>
      </c>
      <c r="M368" s="5">
        <f>K368*J368</f>
        <v/>
      </c>
      <c r="N368" s="8">
        <f>(L368-K368)*J368</f>
        <v/>
      </c>
      <c r="O368" s="8" t="n">
        <v>-2049.88</v>
      </c>
      <c r="P368" s="7">
        <f>O368/M368*100</f>
        <v/>
      </c>
      <c r="Q368" s="9" t="n">
        <v>2.279</v>
      </c>
      <c r="R368" s="11" t="inlineStr">
        <is>
          <t>2026_Q3</t>
        </is>
      </c>
    </row>
    <row r="369">
      <c r="A369" s="11" t="inlineStr">
        <is>
          <t>2026-07-23</t>
        </is>
      </c>
      <c r="B369" s="11" t="inlineStr">
        <is>
          <t>BPCL</t>
        </is>
      </c>
      <c r="C369" s="11" t="inlineStr">
        <is>
          <t>CE</t>
        </is>
      </c>
      <c r="D369" s="11" t="inlineStr">
        <is>
          <t>large</t>
        </is>
      </c>
      <c r="E369" s="12" t="n">
        <v>-127.4</v>
      </c>
      <c r="F369" s="12" t="n">
        <v>-133.3</v>
      </c>
      <c r="G369" s="12" t="n">
        <v>23.1</v>
      </c>
      <c r="H369" s="11" t="inlineStr">
        <is>
          <t>2026-07-28</t>
        </is>
      </c>
      <c r="I369" s="13" t="n">
        <v>315</v>
      </c>
      <c r="J369" s="5" t="n">
        <v>1975</v>
      </c>
      <c r="K369" s="14" t="n">
        <v>2.8</v>
      </c>
      <c r="L369" s="14" t="n">
        <v>1.45</v>
      </c>
      <c r="M369" s="5">
        <f>K369*J369</f>
        <v/>
      </c>
      <c r="N369" s="8">
        <f>(L369-K369)*J369</f>
        <v/>
      </c>
      <c r="O369" s="8" t="n">
        <v>-2805.38</v>
      </c>
      <c r="P369" s="7">
        <f>O369/M369*100</f>
        <v/>
      </c>
      <c r="Q369" s="9" t="n">
        <v>1.457</v>
      </c>
      <c r="R369" s="11" t="inlineStr">
        <is>
          <t>2026_Q3</t>
        </is>
      </c>
    </row>
    <row r="370">
      <c r="A370" s="11" t="inlineStr">
        <is>
          <t>2026-07-23</t>
        </is>
      </c>
      <c r="B370" s="11" t="inlineStr">
        <is>
          <t>NAM-INDIA</t>
        </is>
      </c>
      <c r="C370" s="11" t="inlineStr">
        <is>
          <t>PE</t>
        </is>
      </c>
      <c r="D370" s="11" t="inlineStr">
        <is>
          <t>mid</t>
        </is>
      </c>
      <c r="E370" s="12" t="n">
        <v>27.2</v>
      </c>
      <c r="F370" s="12" t="n">
        <v>30.9</v>
      </c>
      <c r="G370" s="12" t="n">
        <v>26.4</v>
      </c>
      <c r="H370" s="11" t="inlineStr">
        <is>
          <t>2026-07-28</t>
        </is>
      </c>
      <c r="I370" s="13" t="n">
        <v>1080</v>
      </c>
      <c r="J370" s="5" t="n">
        <v>625</v>
      </c>
      <c r="K370" s="14" t="n">
        <v>6.3</v>
      </c>
      <c r="L370" s="14" t="n">
        <v>6.1</v>
      </c>
      <c r="M370" s="5">
        <f>K370*J370</f>
        <v/>
      </c>
      <c r="N370" s="8">
        <f>(L370-K370)*J370</f>
        <v/>
      </c>
      <c r="O370" s="8" t="n">
        <v>-336.28</v>
      </c>
      <c r="P370" s="7">
        <f>O370/M370*100</f>
        <v/>
      </c>
      <c r="Q370" s="9" t="n">
        <v>2.219</v>
      </c>
      <c r="R370" s="11" t="inlineStr">
        <is>
          <t>2026_Q3</t>
        </is>
      </c>
    </row>
    <row r="371">
      <c r="A371" s="11" t="inlineStr">
        <is>
          <t>2026-07-23</t>
        </is>
      </c>
      <c r="B371" s="11" t="inlineStr">
        <is>
          <t>OFSS</t>
        </is>
      </c>
      <c r="C371" s="11" t="inlineStr">
        <is>
          <t>PE</t>
        </is>
      </c>
      <c r="D371" s="11" t="inlineStr">
        <is>
          <t>mid</t>
        </is>
      </c>
      <c r="E371" s="12" t="n">
        <v>120.5</v>
      </c>
      <c r="F371" s="12" t="n">
        <v>68.2</v>
      </c>
      <c r="G371" s="12" t="n">
        <v>68.7</v>
      </c>
      <c r="H371" s="11" t="inlineStr">
        <is>
          <t>2026-07-28</t>
        </is>
      </c>
      <c r="I371" s="13" t="n">
        <v>10700</v>
      </c>
      <c r="J371" s="5" t="n">
        <v>100</v>
      </c>
      <c r="K371" s="14" t="n">
        <v>67.7</v>
      </c>
      <c r="L371" s="14" t="n">
        <v>187.9</v>
      </c>
      <c r="M371" s="5">
        <f>K371*J371</f>
        <v/>
      </c>
      <c r="N371" s="8">
        <f>(L371-K371)*J371</f>
        <v/>
      </c>
      <c r="O371" s="8" t="n">
        <v>11422.45</v>
      </c>
      <c r="P371" s="7">
        <f>O371/M371*100</f>
        <v/>
      </c>
      <c r="Q371" s="9" t="n">
        <v>4.036</v>
      </c>
      <c r="R371" s="11" t="inlineStr">
        <is>
          <t>2026_Q3</t>
        </is>
      </c>
    </row>
    <row r="372">
      <c r="A372" s="11" t="inlineStr">
        <is>
          <t>2026-07-23</t>
        </is>
      </c>
      <c r="B372" s="11" t="inlineStr">
        <is>
          <t>SRF</t>
        </is>
      </c>
      <c r="C372" s="11" t="inlineStr">
        <is>
          <t>PE</t>
        </is>
      </c>
      <c r="D372" s="11" t="inlineStr">
        <is>
          <t>mid</t>
        </is>
      </c>
      <c r="E372" s="12" t="n">
        <v>75.5</v>
      </c>
      <c r="F372" s="12" t="n">
        <v>30.4</v>
      </c>
      <c r="G372" s="12" t="n">
        <v>31.8</v>
      </c>
      <c r="H372" s="11" t="inlineStr">
        <is>
          <t>2026-07-28</t>
        </is>
      </c>
      <c r="I372" s="13" t="n">
        <v>2780</v>
      </c>
      <c r="J372" s="5" t="n">
        <v>200</v>
      </c>
      <c r="K372" s="14" t="n">
        <v>28.45</v>
      </c>
      <c r="L372" s="14" t="n">
        <v>155.45</v>
      </c>
      <c r="M372" s="5">
        <f>K372*J372</f>
        <v/>
      </c>
      <c r="N372" s="8">
        <f>(L372-K372)*J372</f>
        <v/>
      </c>
      <c r="O372" s="8" t="n">
        <v>24554.94</v>
      </c>
      <c r="P372" s="7">
        <f>O372/M372*100</f>
        <v/>
      </c>
      <c r="Q372" s="9" t="n">
        <v>7.778</v>
      </c>
      <c r="R372" s="11" t="inlineStr">
        <is>
          <t>2026_Q3</t>
        </is>
      </c>
    </row>
    <row r="373">
      <c r="A373" s="11" t="inlineStr">
        <is>
          <t>2026-07-27</t>
        </is>
      </c>
      <c r="B373" s="11" t="inlineStr">
        <is>
          <t>BANKBARODA</t>
        </is>
      </c>
      <c r="C373" s="11" t="inlineStr">
        <is>
          <t>CE</t>
        </is>
      </c>
      <c r="D373" s="11" t="inlineStr">
        <is>
          <t>large</t>
        </is>
      </c>
      <c r="E373" s="12" t="n">
        <v>-48.6</v>
      </c>
      <c r="F373" s="12" t="n">
        <v>-68.40000000000001</v>
      </c>
      <c r="G373" s="12" t="n">
        <v>6.8</v>
      </c>
      <c r="H373" s="11" t="inlineStr">
        <is>
          <t>2026-08-25</t>
        </is>
      </c>
      <c r="I373" s="13" t="n">
        <v>265</v>
      </c>
      <c r="J373" s="5" t="n">
        <v>2925</v>
      </c>
      <c r="K373" s="14" t="n">
        <v>2.7</v>
      </c>
      <c r="L373" s="14" t="n">
        <v>1.6</v>
      </c>
      <c r="M373" s="5">
        <f>K373*J373</f>
        <v/>
      </c>
      <c r="N373" s="8">
        <f>(L373-K373)*J373</f>
        <v/>
      </c>
      <c r="O373" s="8" t="n">
        <v>-3403.03</v>
      </c>
      <c r="P373" s="7">
        <f>O373/M373*100</f>
        <v/>
      </c>
      <c r="Q373" s="9" t="n">
        <v>0.205</v>
      </c>
      <c r="R373" s="11" t="inlineStr">
        <is>
          <t>2026_Q3</t>
        </is>
      </c>
    </row>
    <row r="374">
      <c r="A374" s="11" t="inlineStr">
        <is>
          <t>2026-07-27</t>
        </is>
      </c>
      <c r="B374" s="11" t="inlineStr">
        <is>
          <t>HINDZINC</t>
        </is>
      </c>
      <c r="C374" s="11" t="inlineStr">
        <is>
          <t>PE</t>
        </is>
      </c>
      <c r="D374" s="11" t="inlineStr">
        <is>
          <t>large</t>
        </is>
      </c>
      <c r="E374" s="12" t="n">
        <v>144.8</v>
      </c>
      <c r="F374" s="12" t="n">
        <v>8.699999999999999</v>
      </c>
      <c r="G374" s="12" t="n">
        <v>76.90000000000001</v>
      </c>
      <c r="H374" s="11" t="inlineStr">
        <is>
          <t>2026-08-25</t>
        </is>
      </c>
      <c r="I374" s="13" t="n">
        <v>510</v>
      </c>
      <c r="J374" s="5" t="n">
        <v>1225</v>
      </c>
      <c r="K374" s="14" t="n">
        <v>6.25</v>
      </c>
      <c r="L374" s="14" t="n">
        <v>8.449999999999999</v>
      </c>
      <c r="M374" s="5">
        <f>K374*J374</f>
        <v/>
      </c>
      <c r="N374" s="8">
        <f>(L374-K374)*J374</f>
        <v/>
      </c>
      <c r="O374" s="8" t="n">
        <v>2444.39</v>
      </c>
      <c r="P374" s="7">
        <f>O374/M374*100</f>
        <v/>
      </c>
      <c r="Q374" s="9" t="n">
        <v>2.107</v>
      </c>
      <c r="R374" s="11" t="inlineStr">
        <is>
          <t>2026_Q3</t>
        </is>
      </c>
    </row>
    <row r="375">
      <c r="A375" s="11" t="inlineStr">
        <is>
          <t>2026-07-27</t>
        </is>
      </c>
      <c r="B375" s="11" t="inlineStr">
        <is>
          <t>JINDALSTEL</t>
        </is>
      </c>
      <c r="C375" s="11" t="inlineStr">
        <is>
          <t>CE</t>
        </is>
      </c>
      <c r="D375" s="11" t="inlineStr">
        <is>
          <t>mid</t>
        </is>
      </c>
      <c r="E375" s="12" t="n">
        <v>-43.6</v>
      </c>
      <c r="F375" s="12" t="n">
        <v>-19</v>
      </c>
      <c r="G375" s="12" t="n">
        <v>25.9</v>
      </c>
      <c r="H375" s="11" t="inlineStr">
        <is>
          <t>2026-08-25</t>
        </is>
      </c>
      <c r="I375" s="13" t="n">
        <v>1140</v>
      </c>
      <c r="J375" s="5" t="n">
        <v>625</v>
      </c>
      <c r="K375" s="14" t="n">
        <v>8.199999999999999</v>
      </c>
      <c r="L375" s="14" t="n">
        <v>7</v>
      </c>
      <c r="M375" s="5">
        <f>K375*J375</f>
        <v/>
      </c>
      <c r="N375" s="8">
        <f>(L375-K375)*J375</f>
        <v/>
      </c>
      <c r="O375" s="8" t="n">
        <v>-997.9</v>
      </c>
      <c r="P375" s="7">
        <f>O375/M375*100</f>
        <v/>
      </c>
      <c r="Q375" s="9" t="n">
        <v>1.014</v>
      </c>
      <c r="R375" s="11" t="inlineStr">
        <is>
          <t>2026_Q3</t>
        </is>
      </c>
    </row>
    <row r="376">
      <c r="A376" s="11" t="inlineStr">
        <is>
          <t>2026-07-27</t>
        </is>
      </c>
      <c r="B376" s="11" t="inlineStr">
        <is>
          <t>LAURUSLABS</t>
        </is>
      </c>
      <c r="C376" s="11" t="inlineStr">
        <is>
          <t>PE</t>
        </is>
      </c>
      <c r="D376" s="11" t="inlineStr">
        <is>
          <t>mid</t>
        </is>
      </c>
      <c r="E376" s="12" t="n">
        <v>123.9</v>
      </c>
      <c r="F376" s="12" t="n">
        <v>28.4</v>
      </c>
      <c r="G376" s="12" t="n">
        <v>29.1</v>
      </c>
      <c r="H376" s="11" t="inlineStr">
        <is>
          <t>2026-08-25</t>
        </is>
      </c>
      <c r="I376" s="13" t="n">
        <v>1480</v>
      </c>
      <c r="J376" s="5" t="n">
        <v>850</v>
      </c>
      <c r="K376" s="14" t="n">
        <v>8.050000000000001</v>
      </c>
      <c r="L376" s="14" t="n">
        <v>3.9</v>
      </c>
      <c r="M376" s="5">
        <f>K376*J376</f>
        <v/>
      </c>
      <c r="N376" s="8">
        <f>(L376-K376)*J376</f>
        <v/>
      </c>
      <c r="O376" s="8" t="n">
        <v>-3787.3</v>
      </c>
      <c r="P376" s="7">
        <f>O376/M376*100</f>
        <v/>
      </c>
      <c r="Q376" s="9" t="n">
        <v>-5.453</v>
      </c>
      <c r="R376" s="11" t="inlineStr">
        <is>
          <t>2026_Q3</t>
        </is>
      </c>
    </row>
    <row r="377">
      <c r="A377" s="11" t="inlineStr">
        <is>
          <t>2026-07-27</t>
        </is>
      </c>
      <c r="B377" s="11" t="inlineStr">
        <is>
          <t>LODHA</t>
        </is>
      </c>
      <c r="C377" s="11" t="inlineStr">
        <is>
          <t>PE</t>
        </is>
      </c>
      <c r="D377" s="11" t="inlineStr">
        <is>
          <t>large</t>
        </is>
      </c>
      <c r="E377" s="12" t="n">
        <v>103.4</v>
      </c>
      <c r="F377" s="12" t="n">
        <v>36.2</v>
      </c>
      <c r="G377" s="12" t="n">
        <v>43.1</v>
      </c>
      <c r="H377" s="11" t="inlineStr">
        <is>
          <t>2026-08-25</t>
        </is>
      </c>
      <c r="I377" s="13" t="n">
        <v>1000</v>
      </c>
      <c r="J377" s="5" t="n">
        <v>625</v>
      </c>
      <c r="K377" s="14" t="n">
        <v>11.5</v>
      </c>
      <c r="L377" s="14" t="n">
        <v>6.35</v>
      </c>
      <c r="M377" s="5">
        <f>K377*J377</f>
        <v/>
      </c>
      <c r="N377" s="8">
        <f>(L377-K377)*J377</f>
        <v/>
      </c>
      <c r="O377" s="8" t="n">
        <v>-3388.36</v>
      </c>
      <c r="P377" s="7">
        <f>O377/M377*100</f>
        <v/>
      </c>
      <c r="Q377" s="9" t="n">
        <v>-3.784</v>
      </c>
      <c r="R377" s="11" t="inlineStr">
        <is>
          <t>2026_Q3</t>
        </is>
      </c>
    </row>
    <row r="378">
      <c r="A378" s="11" t="inlineStr">
        <is>
          <t>2026-07-27</t>
        </is>
      </c>
      <c r="B378" s="11" t="inlineStr">
        <is>
          <t>SBICARD</t>
        </is>
      </c>
      <c r="C378" s="11" t="inlineStr">
        <is>
          <t>PE</t>
        </is>
      </c>
      <c r="D378" s="11" t="inlineStr">
        <is>
          <t>mid</t>
        </is>
      </c>
      <c r="E378" s="12" t="n">
        <v>19.5</v>
      </c>
      <c r="F378" s="12" t="n">
        <v>9</v>
      </c>
      <c r="G378" s="12" t="n">
        <v>3.4</v>
      </c>
      <c r="H378" s="11" t="inlineStr">
        <is>
          <t>2026-08-25</t>
        </is>
      </c>
      <c r="I378" s="13" t="n">
        <v>590</v>
      </c>
      <c r="J378" s="5" t="n">
        <v>800</v>
      </c>
      <c r="K378" s="14" t="n">
        <v>7.05</v>
      </c>
      <c r="L378" s="14" t="n">
        <v>3.7</v>
      </c>
      <c r="M378" s="5">
        <f>K378*J378</f>
        <v/>
      </c>
      <c r="N378" s="8">
        <f>(L378-K378)*J378</f>
        <v/>
      </c>
      <c r="O378" s="8" t="n">
        <v>-2907.42</v>
      </c>
      <c r="P378" s="7">
        <f>O378/M378*100</f>
        <v/>
      </c>
      <c r="Q378" s="9" t="n">
        <v>-2.275</v>
      </c>
      <c r="R378" s="11" t="inlineStr">
        <is>
          <t>2026_Q3</t>
        </is>
      </c>
    </row>
    <row r="379">
      <c r="A379" s="11" t="inlineStr">
        <is>
          <t>2026-07-27</t>
        </is>
      </c>
      <c r="B379" s="11" t="inlineStr">
        <is>
          <t>SHRIRAMFIN</t>
        </is>
      </c>
      <c r="C379" s="11" t="inlineStr">
        <is>
          <t>PE</t>
        </is>
      </c>
      <c r="D379" s="11" t="inlineStr">
        <is>
          <t>large</t>
        </is>
      </c>
      <c r="E379" s="12" t="n">
        <v>59.9</v>
      </c>
      <c r="F379" s="12" t="n">
        <v>14.3</v>
      </c>
      <c r="G379" s="12" t="n">
        <v>16.2</v>
      </c>
      <c r="H379" s="11" t="inlineStr">
        <is>
          <t>2026-08-25</t>
        </is>
      </c>
      <c r="I379" s="13" t="n">
        <v>920</v>
      </c>
      <c r="J379" s="5" t="n">
        <v>825</v>
      </c>
      <c r="K379" s="14" t="n">
        <v>9.1</v>
      </c>
      <c r="L379" s="14" t="n">
        <v>4.2</v>
      </c>
      <c r="M379" s="5">
        <f>K379*J379</f>
        <v/>
      </c>
      <c r="N379" s="8">
        <f>(L379-K379)*J379</f>
        <v/>
      </c>
      <c r="O379" s="8" t="n">
        <v>-4209.47</v>
      </c>
      <c r="P379" s="7">
        <f>O379/M379*100</f>
        <v/>
      </c>
      <c r="Q379" s="9" t="n">
        <v>-1.784</v>
      </c>
      <c r="R379" s="11" t="inlineStr">
        <is>
          <t>2026_Q3</t>
        </is>
      </c>
    </row>
    <row r="380">
      <c r="A380" s="11" t="inlineStr">
        <is>
          <t>2026-07-27</t>
        </is>
      </c>
      <c r="B380" s="11" t="inlineStr">
        <is>
          <t>TATACONSUM</t>
        </is>
      </c>
      <c r="C380" s="11" t="inlineStr">
        <is>
          <t>PE</t>
        </is>
      </c>
      <c r="D380" s="11" t="inlineStr">
        <is>
          <t>large</t>
        </is>
      </c>
      <c r="E380" s="12" t="n">
        <v>28.8</v>
      </c>
      <c r="F380" s="12" t="n">
        <v>0.7</v>
      </c>
      <c r="G380" s="12" t="n">
        <v>11.9</v>
      </c>
      <c r="H380" s="11" t="inlineStr">
        <is>
          <t>2026-08-25</t>
        </is>
      </c>
      <c r="I380" s="13" t="n">
        <v>1070</v>
      </c>
      <c r="J380" s="5" t="n">
        <v>550</v>
      </c>
      <c r="K380" s="14" t="n">
        <v>13.05</v>
      </c>
      <c r="L380" s="14" t="n">
        <v>12.65</v>
      </c>
      <c r="M380" s="5">
        <f>K380*J380</f>
        <v/>
      </c>
      <c r="N380" s="8">
        <f>(L380-K380)*J380</f>
        <v/>
      </c>
      <c r="O380" s="8" t="n">
        <v>-425.16</v>
      </c>
      <c r="P380" s="7">
        <f>O380/M380*100</f>
        <v/>
      </c>
      <c r="Q380" s="9" t="n">
        <v>0.6909999999999999</v>
      </c>
      <c r="R380" s="11" t="inlineStr">
        <is>
          <t>2026_Q3</t>
        </is>
      </c>
    </row>
    <row r="381">
      <c r="A381" s="11" t="inlineStr">
        <is>
          <t>2026-07-28</t>
        </is>
      </c>
      <c r="B381" s="11" t="inlineStr">
        <is>
          <t>GODFRYPHLP</t>
        </is>
      </c>
      <c r="C381" s="11" t="inlineStr">
        <is>
          <t>CE</t>
        </is>
      </c>
      <c r="D381" s="11" t="inlineStr">
        <is>
          <t>mid</t>
        </is>
      </c>
      <c r="E381" s="12" t="n">
        <v>-44.3</v>
      </c>
      <c r="F381" s="12" t="n">
        <v>-62</v>
      </c>
      <c r="G381" s="12" t="n">
        <v>110.6</v>
      </c>
      <c r="H381" s="11" t="inlineStr">
        <is>
          <t>2026-08-25</t>
        </is>
      </c>
      <c r="I381" s="13" t="n">
        <v>2300</v>
      </c>
      <c r="J381" s="5" t="n">
        <v>275</v>
      </c>
      <c r="K381" s="14" t="n">
        <v>25.05</v>
      </c>
      <c r="L381" s="14" t="n">
        <v>10.45</v>
      </c>
      <c r="M381" s="5">
        <f>K381*J381</f>
        <v/>
      </c>
      <c r="N381" s="8">
        <f>(L381-K381)*J381</f>
        <v/>
      </c>
      <c r="O381" s="8" t="n">
        <v>-4266.07</v>
      </c>
      <c r="P381" s="7">
        <f>O381/M381*100</f>
        <v/>
      </c>
      <c r="Q381" s="9" t="n">
        <v>-4.964</v>
      </c>
      <c r="R381" s="11" t="inlineStr">
        <is>
          <t>2026_Q3</t>
        </is>
      </c>
    </row>
    <row r="382">
      <c r="A382" s="11" t="inlineStr">
        <is>
          <t>2026-07-29</t>
        </is>
      </c>
      <c r="B382" s="11" t="inlineStr">
        <is>
          <t>AMBUJACEM</t>
        </is>
      </c>
      <c r="C382" s="11" t="inlineStr">
        <is>
          <t>CE</t>
        </is>
      </c>
      <c r="D382" s="11" t="inlineStr">
        <is>
          <t>large</t>
        </is>
      </c>
      <c r="E382" s="12" t="n">
        <v>-31.9</v>
      </c>
      <c r="F382" s="12" t="n">
        <v>-64.5</v>
      </c>
      <c r="G382" s="12" t="n">
        <v>-7.7</v>
      </c>
      <c r="H382" s="11" t="inlineStr">
        <is>
          <t>2026-08-25</t>
        </is>
      </c>
      <c r="I382" s="13" t="n">
        <v>450</v>
      </c>
      <c r="J382" s="5" t="n">
        <v>1200</v>
      </c>
      <c r="K382" s="14" t="n">
        <v>5.35</v>
      </c>
      <c r="L382" s="14" t="n">
        <v>6</v>
      </c>
      <c r="M382" s="5">
        <f>K382*J382</f>
        <v/>
      </c>
      <c r="N382" s="8">
        <f>(L382-K382)*J382</f>
        <v/>
      </c>
      <c r="O382" s="8" t="n">
        <v>579.88</v>
      </c>
      <c r="P382" s="7">
        <f>O382/M382*100</f>
        <v/>
      </c>
      <c r="Q382" s="9" t="n">
        <v>2.593</v>
      </c>
      <c r="R382" s="11" t="inlineStr">
        <is>
          <t>2026_Q3</t>
        </is>
      </c>
    </row>
    <row r="383">
      <c r="A383" s="11" t="inlineStr">
        <is>
          <t>2026-07-29</t>
        </is>
      </c>
      <c r="B383" s="11" t="inlineStr">
        <is>
          <t>CHOLAFIN</t>
        </is>
      </c>
      <c r="C383" s="11" t="inlineStr">
        <is>
          <t>PE</t>
        </is>
      </c>
      <c r="D383" s="11" t="inlineStr">
        <is>
          <t>large</t>
        </is>
      </c>
      <c r="E383" s="12" t="n">
        <v>45.6</v>
      </c>
      <c r="F383" s="12" t="n">
        <v>0.7</v>
      </c>
      <c r="G383" s="12" t="n">
        <v>21.9</v>
      </c>
      <c r="H383" s="11" t="inlineStr">
        <is>
          <t>2026-08-25</t>
        </is>
      </c>
      <c r="I383" s="13" t="n">
        <v>1660</v>
      </c>
      <c r="J383" s="5" t="n">
        <v>625</v>
      </c>
      <c r="K383" s="14" t="n">
        <v>11.7</v>
      </c>
      <c r="L383" s="14" t="n">
        <v>11.05</v>
      </c>
      <c r="M383" s="5">
        <f>K383*J383</f>
        <v/>
      </c>
      <c r="N383" s="8">
        <f>(L383-K383)*J383</f>
        <v/>
      </c>
      <c r="O383" s="8" t="n">
        <v>-612.2</v>
      </c>
      <c r="P383" s="7">
        <f>O383/M383*100</f>
        <v/>
      </c>
      <c r="Q383" s="9" t="n">
        <v>0.116</v>
      </c>
      <c r="R383" s="11" t="inlineStr">
        <is>
          <t>2026_Q3</t>
        </is>
      </c>
    </row>
    <row r="384">
      <c r="A384" s="11" t="inlineStr">
        <is>
          <t>2026-07-29</t>
        </is>
      </c>
      <c r="B384" s="11" t="inlineStr">
        <is>
          <t>RADICO</t>
        </is>
      </c>
      <c r="C384" s="11" t="inlineStr">
        <is>
          <t>PE</t>
        </is>
      </c>
      <c r="D384" s="11" t="inlineStr">
        <is>
          <t>mid</t>
        </is>
      </c>
      <c r="E384" s="12" t="n">
        <v>75.90000000000001</v>
      </c>
      <c r="F384" s="12" t="n">
        <v>27.9</v>
      </c>
      <c r="G384" s="12" t="n">
        <v>10.4</v>
      </c>
      <c r="H384" s="11" t="inlineStr">
        <is>
          <t>2026-08-25</t>
        </is>
      </c>
      <c r="I384" s="13" t="n">
        <v>3900</v>
      </c>
      <c r="J384" s="5" t="n">
        <v>150</v>
      </c>
      <c r="K384" s="14" t="n">
        <v>29.35</v>
      </c>
      <c r="L384" s="14" t="n">
        <v>19.8</v>
      </c>
      <c r="M384" s="5">
        <f>K384*J384</f>
        <v/>
      </c>
      <c r="N384" s="8">
        <f>(L384-K384)*J384</f>
        <v/>
      </c>
      <c r="O384" s="8" t="n">
        <v>-1634.83</v>
      </c>
      <c r="P384" s="7">
        <f>O384/M384*100</f>
        <v/>
      </c>
      <c r="Q384" s="9" t="n">
        <v>-0.8110000000000001</v>
      </c>
      <c r="R384" s="11" t="inlineStr">
        <is>
          <t>2026_Q3</t>
        </is>
      </c>
    </row>
    <row r="385">
      <c r="A385" s="11" t="inlineStr">
        <is>
          <t>2026-07-29</t>
        </is>
      </c>
      <c r="B385" s="11" t="inlineStr">
        <is>
          <t>VBL</t>
        </is>
      </c>
      <c r="C385" s="11" t="inlineStr">
        <is>
          <t>PE</t>
        </is>
      </c>
      <c r="D385" s="11" t="inlineStr">
        <is>
          <t>large</t>
        </is>
      </c>
      <c r="E385" s="12" t="n">
        <v>15.1</v>
      </c>
      <c r="F385" s="12" t="n">
        <v>73.59999999999999</v>
      </c>
      <c r="G385" s="12" t="n">
        <v>20.8</v>
      </c>
      <c r="H385" s="11" t="inlineStr">
        <is>
          <t>2026-08-25</t>
        </is>
      </c>
      <c r="I385" s="13" t="n">
        <v>410</v>
      </c>
      <c r="J385" s="5" t="n">
        <v>1275</v>
      </c>
      <c r="K385" s="14" t="n">
        <v>5.3</v>
      </c>
      <c r="L385" s="14" t="n">
        <v>2.5</v>
      </c>
      <c r="M385" s="5">
        <f>K385*J385</f>
        <v/>
      </c>
      <c r="N385" s="8">
        <f>(L385-K385)*J385</f>
        <v/>
      </c>
      <c r="O385" s="8" t="n">
        <v>-3725.8</v>
      </c>
      <c r="P385" s="7">
        <f>O385/M385*100</f>
        <v/>
      </c>
      <c r="Q385" s="9" t="n">
        <v>-1.856</v>
      </c>
      <c r="R385" s="11" t="inlineStr">
        <is>
          <t>2026_Q3</t>
        </is>
      </c>
    </row>
    <row r="386">
      <c r="A386" s="11" t="inlineStr">
        <is>
          <t>2026-07-30</t>
        </is>
      </c>
      <c r="B386" s="11" t="inlineStr">
        <is>
          <t>ADANIPORTS</t>
        </is>
      </c>
      <c r="C386" s="11" t="inlineStr">
        <is>
          <t>PE</t>
        </is>
      </c>
      <c r="D386" s="11" t="inlineStr">
        <is>
          <t>large</t>
        </is>
      </c>
      <c r="E386" s="12" t="n">
        <v>10.2</v>
      </c>
      <c r="F386" s="12" t="n">
        <v>10.3</v>
      </c>
      <c r="G386" s="12" t="n">
        <v>18.6</v>
      </c>
      <c r="H386" s="11" t="inlineStr">
        <is>
          <t>2026-08-25</t>
        </is>
      </c>
      <c r="I386" s="13" t="n">
        <v>1600</v>
      </c>
      <c r="J386" s="5" t="n">
        <v>475</v>
      </c>
      <c r="K386" s="14" t="n">
        <v>9.050000000000001</v>
      </c>
      <c r="L386" s="14" t="n">
        <v>19.45</v>
      </c>
      <c r="M386" s="5">
        <f>K386*J386</f>
        <v/>
      </c>
      <c r="N386" s="8">
        <f>(L386-K386)*J386</f>
        <v/>
      </c>
      <c r="O386" s="8" t="n">
        <v>4737.74</v>
      </c>
      <c r="P386" s="7">
        <f>O386/M386*100</f>
        <v/>
      </c>
      <c r="Q386" s="9" t="n">
        <v>3.625</v>
      </c>
      <c r="R386" s="11" t="inlineStr">
        <is>
          <t>2026_Q3</t>
        </is>
      </c>
    </row>
    <row r="387">
      <c r="A387" s="11" t="inlineStr">
        <is>
          <t>2026-07-30</t>
        </is>
      </c>
      <c r="B387" s="11" t="inlineStr">
        <is>
          <t>ASIANPAINT</t>
        </is>
      </c>
      <c r="C387" s="11" t="inlineStr">
        <is>
          <t>PE</t>
        </is>
      </c>
      <c r="D387" s="11" t="inlineStr">
        <is>
          <t>large</t>
        </is>
      </c>
      <c r="E387" s="12" t="n">
        <v>39.6</v>
      </c>
      <c r="F387" s="12" t="n">
        <v>31.5</v>
      </c>
      <c r="G387" s="12" t="n">
        <v>17.9</v>
      </c>
      <c r="H387" s="11" t="inlineStr">
        <is>
          <t>2026-08-25</t>
        </is>
      </c>
      <c r="I387" s="13" t="n">
        <v>2600</v>
      </c>
      <c r="J387" s="5" t="n">
        <v>250</v>
      </c>
      <c r="K387" s="14" t="n">
        <v>21</v>
      </c>
      <c r="L387" s="14" t="n">
        <v>15.9</v>
      </c>
      <c r="M387" s="5">
        <f>K387*J387</f>
        <v/>
      </c>
      <c r="N387" s="8">
        <f>(L387-K387)*J387</f>
        <v/>
      </c>
      <c r="O387" s="8" t="n">
        <v>-1424.45</v>
      </c>
      <c r="P387" s="7">
        <f>O387/M387*100</f>
        <v/>
      </c>
      <c r="Q387" s="9" t="n">
        <v>0.431</v>
      </c>
      <c r="R387" s="11" t="inlineStr">
        <is>
          <t>2026_Q3</t>
        </is>
      </c>
    </row>
    <row r="388">
      <c r="A388" s="11" t="inlineStr">
        <is>
          <t>2026-07-30</t>
        </is>
      </c>
      <c r="B388" s="11" t="inlineStr">
        <is>
          <t>DABUR</t>
        </is>
      </c>
      <c r="C388" s="11" t="inlineStr">
        <is>
          <t>PE</t>
        </is>
      </c>
      <c r="D388" s="11" t="inlineStr">
        <is>
          <t>mid</t>
        </is>
      </c>
      <c r="E388" s="12" t="n">
        <v>15.3</v>
      </c>
      <c r="F388" s="12" t="n">
        <v>61.9</v>
      </c>
      <c r="G388" s="12" t="n">
        <v>10.6</v>
      </c>
      <c r="H388" s="11" t="inlineStr">
        <is>
          <t>2026-08-25</t>
        </is>
      </c>
      <c r="I388" s="13" t="n">
        <v>415</v>
      </c>
      <c r="J388" s="5" t="n">
        <v>1250</v>
      </c>
      <c r="K388" s="14" t="n">
        <v>5.55</v>
      </c>
      <c r="L388" s="14" t="n">
        <v>4.85</v>
      </c>
      <c r="M388" s="5">
        <f>K388*J388</f>
        <v/>
      </c>
      <c r="N388" s="8">
        <f>(L388-K388)*J388</f>
        <v/>
      </c>
      <c r="O388" s="8" t="n">
        <v>-1196.96</v>
      </c>
      <c r="P388" s="7">
        <f>O388/M388*100</f>
        <v/>
      </c>
      <c r="Q388" s="9" t="n">
        <v>1.594</v>
      </c>
      <c r="R388" s="11" t="inlineStr">
        <is>
          <t>2026_Q3</t>
        </is>
      </c>
    </row>
    <row r="389">
      <c r="A389" s="11" t="inlineStr">
        <is>
          <t>2026-07-30</t>
        </is>
      </c>
      <c r="B389" s="11" t="inlineStr">
        <is>
          <t>KPITTECH</t>
        </is>
      </c>
      <c r="C389" s="11" t="inlineStr">
        <is>
          <t>CE</t>
        </is>
      </c>
      <c r="D389" s="11" t="inlineStr">
        <is>
          <t>small</t>
        </is>
      </c>
      <c r="E389" s="12" t="n">
        <v>-32.3</v>
      </c>
      <c r="F389" s="12" t="n">
        <v>-28.6</v>
      </c>
      <c r="G389" s="12" t="n">
        <v>8.9</v>
      </c>
      <c r="H389" s="11" t="inlineStr">
        <is>
          <t>2026-08-25</t>
        </is>
      </c>
      <c r="I389" s="13" t="n">
        <v>660</v>
      </c>
      <c r="J389" s="5" t="n">
        <v>775</v>
      </c>
      <c r="K389" s="14" t="n">
        <v>10.1</v>
      </c>
      <c r="L389" s="14" t="n">
        <v>4.35</v>
      </c>
      <c r="M389" s="5">
        <f>K389*J389</f>
        <v/>
      </c>
      <c r="N389" s="8">
        <f>(L389-K389)*J389</f>
        <v/>
      </c>
      <c r="O389" s="8" t="n">
        <v>-4849.41</v>
      </c>
      <c r="P389" s="7">
        <f>O389/M389*100</f>
        <v/>
      </c>
      <c r="Q389" s="9" t="n">
        <v>-3.32</v>
      </c>
      <c r="R389" s="11" t="inlineStr">
        <is>
          <t>2026_Q3</t>
        </is>
      </c>
    </row>
    <row r="390">
      <c r="A390" s="11" t="inlineStr">
        <is>
          <t>2026-07-30</t>
        </is>
      </c>
      <c r="B390" s="11" t="inlineStr">
        <is>
          <t>PRESTIGE</t>
        </is>
      </c>
      <c r="C390" s="11" t="inlineStr">
        <is>
          <t>CE</t>
        </is>
      </c>
      <c r="D390" s="11" t="inlineStr">
        <is>
          <t>mid</t>
        </is>
      </c>
      <c r="E390" s="12" t="n">
        <v>-12.9</v>
      </c>
      <c r="F390" s="12" t="n">
        <v>-7</v>
      </c>
      <c r="G390" s="12" t="n">
        <v>15.9</v>
      </c>
      <c r="H390" s="11" t="inlineStr">
        <is>
          <t>2026-08-25</t>
        </is>
      </c>
      <c r="I390" s="13" t="n">
        <v>1780</v>
      </c>
      <c r="J390" s="5" t="n">
        <v>450</v>
      </c>
      <c r="K390" s="14" t="n">
        <v>13.05</v>
      </c>
      <c r="L390" s="14" t="n">
        <v>9.050000000000001</v>
      </c>
      <c r="M390" s="5">
        <f>K390*J390</f>
        <v/>
      </c>
      <c r="N390" s="8">
        <f>(L390-K390)*J390</f>
        <v/>
      </c>
      <c r="O390" s="8" t="n">
        <v>-2056.58</v>
      </c>
      <c r="P390" s="7">
        <f>O390/M390*100</f>
        <v/>
      </c>
      <c r="Q390" s="9" t="n">
        <v>-0.765</v>
      </c>
      <c r="R390" s="11" t="inlineStr">
        <is>
          <t>2026_Q3</t>
        </is>
      </c>
    </row>
    <row r="391">
      <c r="A391" s="11" t="inlineStr">
        <is>
          <t>2026-07-31</t>
        </is>
      </c>
      <c r="B391" s="11" t="inlineStr">
        <is>
          <t>BAJFINANCE</t>
        </is>
      </c>
      <c r="C391" s="11" t="inlineStr">
        <is>
          <t>PE</t>
        </is>
      </c>
      <c r="D391" s="11" t="inlineStr">
        <is>
          <t>large</t>
        </is>
      </c>
      <c r="E391" s="12" t="n">
        <v>27.6</v>
      </c>
      <c r="F391" s="12" t="n">
        <v>9.5</v>
      </c>
      <c r="G391" s="12" t="n">
        <v>18.7</v>
      </c>
      <c r="H391" s="11" t="inlineStr">
        <is>
          <t>2026-08-25</t>
        </is>
      </c>
      <c r="I391" s="13" t="n">
        <v>1040</v>
      </c>
      <c r="J391" s="5" t="n">
        <v>750</v>
      </c>
      <c r="K391" s="14" t="n">
        <v>6.9</v>
      </c>
      <c r="L391" s="14" t="n">
        <v>3.85</v>
      </c>
      <c r="M391" s="5">
        <f>K391*J391</f>
        <v/>
      </c>
      <c r="N391" s="8">
        <f>(L391-K391)*J391</f>
        <v/>
      </c>
      <c r="O391" s="8" t="n">
        <v>-2423.22</v>
      </c>
      <c r="P391" s="7">
        <f>O391/M391*100</f>
        <v/>
      </c>
      <c r="Q391" s="9" t="n">
        <v>-4.219</v>
      </c>
      <c r="R391" s="11" t="inlineStr">
        <is>
          <t>2026_Q3</t>
        </is>
      </c>
    </row>
    <row r="392">
      <c r="A392" s="11" t="inlineStr">
        <is>
          <t>2026-07-31</t>
        </is>
      </c>
      <c r="B392" s="11" t="inlineStr">
        <is>
          <t>HYUNDAI</t>
        </is>
      </c>
      <c r="C392" s="11" t="inlineStr">
        <is>
          <t>CE</t>
        </is>
      </c>
      <c r="D392" s="11" t="inlineStr">
        <is>
          <t>large</t>
        </is>
      </c>
      <c r="E392" s="12" t="n">
        <v>-35.1</v>
      </c>
      <c r="F392" s="12" t="n">
        <v>-29.2</v>
      </c>
      <c r="G392" s="12" t="n">
        <v>-0.5</v>
      </c>
      <c r="H392" s="11" t="inlineStr">
        <is>
          <t>2026-08-25</t>
        </is>
      </c>
      <c r="I392" s="13" t="n">
        <v>2220</v>
      </c>
      <c r="J392" s="5" t="n">
        <v>275</v>
      </c>
      <c r="K392" s="14" t="n">
        <v>20</v>
      </c>
      <c r="L392" s="14" t="n">
        <v>42.4</v>
      </c>
      <c r="M392" s="5">
        <f>K392*J392</f>
        <v/>
      </c>
      <c r="N392" s="8">
        <f>(L392-K392)*J392</f>
        <v/>
      </c>
      <c r="O392" s="8" t="n">
        <v>5916.33</v>
      </c>
      <c r="P392" s="7">
        <f>O392/M392*100</f>
        <v/>
      </c>
      <c r="Q392" s="9" t="n">
        <v>3.892</v>
      </c>
      <c r="R392" s="11" t="inlineStr">
        <is>
          <t>2026_Q3</t>
        </is>
      </c>
    </row>
    <row r="393">
      <c r="A393" s="11" t="inlineStr">
        <is>
          <t>2026-07-31</t>
        </is>
      </c>
      <c r="B393" s="11" t="inlineStr">
        <is>
          <t>M&amp;M</t>
        </is>
      </c>
      <c r="C393" s="11" t="inlineStr">
        <is>
          <t>PE</t>
        </is>
      </c>
      <c r="D393" s="11" t="inlineStr">
        <is>
          <t>large</t>
        </is>
      </c>
      <c r="E393" s="12" t="n">
        <v>37</v>
      </c>
      <c r="F393" s="12" t="n">
        <v>14</v>
      </c>
      <c r="G393" s="12" t="n">
        <v>27.8</v>
      </c>
      <c r="H393" s="11" t="inlineStr">
        <is>
          <t>2026-08-25</t>
        </is>
      </c>
      <c r="I393" s="13" t="n">
        <v>3250</v>
      </c>
      <c r="J393" s="5" t="n">
        <v>200</v>
      </c>
      <c r="K393" s="14" t="n">
        <v>35.05</v>
      </c>
      <c r="L393" s="14" t="n">
        <v>30.35</v>
      </c>
      <c r="M393" s="5">
        <f>K393*J393</f>
        <v/>
      </c>
      <c r="N393" s="8">
        <f>(L393-K393)*J393</f>
        <v/>
      </c>
      <c r="O393" s="8" t="n">
        <v>-1132.83</v>
      </c>
      <c r="P393" s="7">
        <f>O393/M393*100</f>
        <v/>
      </c>
      <c r="Q393" s="9" t="n">
        <v>-0.55</v>
      </c>
      <c r="R393" s="11" t="inlineStr">
        <is>
          <t>2026_Q3</t>
        </is>
      </c>
    </row>
    <row r="394">
      <c r="A394" s="11" t="inlineStr">
        <is>
          <t>2026-07-31</t>
        </is>
      </c>
      <c r="B394" s="11" t="inlineStr">
        <is>
          <t>MANKIND</t>
        </is>
      </c>
      <c r="C394" s="11" t="inlineStr">
        <is>
          <t>PE</t>
        </is>
      </c>
      <c r="D394" s="11" t="inlineStr">
        <is>
          <t>mid</t>
        </is>
      </c>
      <c r="E394" s="12" t="n">
        <v>29.1</v>
      </c>
      <c r="F394" s="12" t="n">
        <v>2.6</v>
      </c>
      <c r="G394" s="12" t="n">
        <v>12.9</v>
      </c>
      <c r="H394" s="11" t="inlineStr">
        <is>
          <t>2026-08-25</t>
        </is>
      </c>
      <c r="I394" s="13" t="n">
        <v>2400</v>
      </c>
      <c r="J394" s="5" t="n">
        <v>250</v>
      </c>
      <c r="K394" s="14" t="n">
        <v>18.05</v>
      </c>
      <c r="L394" s="14" t="n">
        <v>42.95</v>
      </c>
      <c r="M394" s="5">
        <f>K394*J394</f>
        <v/>
      </c>
      <c r="N394" s="8">
        <f>(L394-K394)*J394</f>
        <v/>
      </c>
      <c r="O394" s="8" t="n">
        <v>5850.14</v>
      </c>
      <c r="P394" s="7">
        <f>O394/M394*100</f>
        <v/>
      </c>
      <c r="Q394" s="9" t="n">
        <v>5.161</v>
      </c>
      <c r="R394" s="11" t="inlineStr">
        <is>
          <t>2026_Q3</t>
        </is>
      </c>
    </row>
    <row r="395">
      <c r="A395" s="11" t="inlineStr">
        <is>
          <t>2026-08-03</t>
        </is>
      </c>
      <c r="B395" s="11" t="inlineStr">
        <is>
          <t>ABCAPITAL</t>
        </is>
      </c>
      <c r="C395" s="11" t="inlineStr">
        <is>
          <t>PE</t>
        </is>
      </c>
      <c r="D395" s="11" t="inlineStr">
        <is>
          <t>mid</t>
        </is>
      </c>
      <c r="E395" s="12" t="n">
        <v>43.9</v>
      </c>
      <c r="F395" s="12" t="n">
        <v>5.1</v>
      </c>
      <c r="G395" s="12" t="n">
        <v>28.2</v>
      </c>
      <c r="H395" s="11" t="inlineStr">
        <is>
          <t>2026-08-25</t>
        </is>
      </c>
      <c r="I395" s="13" t="n">
        <v>385</v>
      </c>
      <c r="J395" s="5" t="n">
        <v>3100</v>
      </c>
      <c r="K395" s="14" t="n">
        <v>2.15</v>
      </c>
      <c r="L395" s="14" t="n">
        <v>1.6</v>
      </c>
      <c r="M395" s="5">
        <f>K395*J395</f>
        <v/>
      </c>
      <c r="N395" s="8">
        <f>(L395-K395)*J395</f>
        <v/>
      </c>
      <c r="O395" s="8" t="n">
        <v>-1997.23</v>
      </c>
      <c r="P395" s="7">
        <f>O395/M395*100</f>
        <v/>
      </c>
      <c r="Q395" s="9" t="n">
        <v>-3.5</v>
      </c>
      <c r="R395" s="11" t="inlineStr">
        <is>
          <t>2026_Q3</t>
        </is>
      </c>
    </row>
    <row r="396">
      <c r="A396" s="11" t="inlineStr">
        <is>
          <t>2026-08-03</t>
        </is>
      </c>
      <c r="B396" s="11" t="inlineStr">
        <is>
          <t>BAJAJFINSV</t>
        </is>
      </c>
      <c r="C396" s="11" t="inlineStr">
        <is>
          <t>PE</t>
        </is>
      </c>
      <c r="D396" s="11" t="inlineStr">
        <is>
          <t>large</t>
        </is>
      </c>
      <c r="E396" s="12" t="n">
        <v>18.2</v>
      </c>
      <c r="F396" s="12" t="n">
        <v>20.5</v>
      </c>
      <c r="G396" s="12" t="n">
        <v>18.6</v>
      </c>
      <c r="H396" s="11" t="inlineStr">
        <is>
          <t>2026-08-25</t>
        </is>
      </c>
      <c r="I396" s="13" t="n">
        <v>2000</v>
      </c>
      <c r="J396" s="5" t="n">
        <v>300</v>
      </c>
      <c r="K396" s="14" t="n">
        <v>26</v>
      </c>
      <c r="L396" s="14" t="n">
        <v>17.4</v>
      </c>
      <c r="M396" s="5">
        <f>K396*J396</f>
        <v/>
      </c>
      <c r="N396" s="8">
        <f>(L396-K396)*J396</f>
        <v/>
      </c>
      <c r="O396" s="8" t="n">
        <v>-2770.93</v>
      </c>
      <c r="P396" s="7">
        <f>O396/M396*100</f>
        <v/>
      </c>
      <c r="Q396" s="9" t="n">
        <v>-2.219</v>
      </c>
      <c r="R396" s="11" t="inlineStr">
        <is>
          <t>2026_Q3</t>
        </is>
      </c>
    </row>
    <row r="397">
      <c r="A397" s="11" t="inlineStr">
        <is>
          <t>2026-08-03</t>
        </is>
      </c>
      <c r="B397" s="11" t="inlineStr">
        <is>
          <t>CDSL</t>
        </is>
      </c>
      <c r="C397" s="11" t="inlineStr">
        <is>
          <t>PE</t>
        </is>
      </c>
      <c r="D397" s="11" t="inlineStr">
        <is>
          <t>small</t>
        </is>
      </c>
      <c r="E397" s="12" t="n">
        <v>14.9</v>
      </c>
      <c r="F397" s="12" t="n">
        <v>47.5</v>
      </c>
      <c r="G397" s="12" t="n">
        <v>13.1</v>
      </c>
      <c r="H397" s="11" t="inlineStr">
        <is>
          <t>2026-08-25</t>
        </is>
      </c>
      <c r="I397" s="13" t="n">
        <v>1260</v>
      </c>
      <c r="J397" s="5" t="n">
        <v>475</v>
      </c>
      <c r="K397" s="14" t="n">
        <v>15.05</v>
      </c>
      <c r="L397" s="14" t="n">
        <v>15.2</v>
      </c>
      <c r="M397" s="5">
        <f>K397*J397</f>
        <v/>
      </c>
      <c r="N397" s="8">
        <f>(L397-K397)*J397</f>
        <v/>
      </c>
      <c r="O397" s="8" t="n">
        <v>-424.1</v>
      </c>
      <c r="P397" s="7">
        <f>O397/M397*100</f>
        <v/>
      </c>
      <c r="Q397" s="9" t="n">
        <v>1.468</v>
      </c>
      <c r="R397" s="11" t="inlineStr">
        <is>
          <t>2026_Q3</t>
        </is>
      </c>
    </row>
    <row r="398">
      <c r="A398" s="11" t="inlineStr">
        <is>
          <t>2026-08-03</t>
        </is>
      </c>
      <c r="B398" s="11" t="inlineStr">
        <is>
          <t>DIVISLAB</t>
        </is>
      </c>
      <c r="C398" s="11" t="inlineStr">
        <is>
          <t>PE</t>
        </is>
      </c>
      <c r="D398" s="11" t="inlineStr">
        <is>
          <t>large</t>
        </is>
      </c>
      <c r="E398" s="12" t="n">
        <v>65.5</v>
      </c>
      <c r="F398" s="12" t="n">
        <v>20.1</v>
      </c>
      <c r="G398" s="12" t="n">
        <v>27.8</v>
      </c>
      <c r="H398" s="11" t="inlineStr">
        <is>
          <t>2026-08-25</t>
        </is>
      </c>
      <c r="I398" s="13" t="n">
        <v>7700</v>
      </c>
      <c r="J398" s="5" t="n">
        <v>100</v>
      </c>
      <c r="K398" s="14" t="n">
        <v>65</v>
      </c>
      <c r="L398" s="14" t="n">
        <v>31.25</v>
      </c>
      <c r="M398" s="5">
        <f>K398*J398</f>
        <v/>
      </c>
      <c r="N398" s="8">
        <f>(L398-K398)*J398</f>
        <v/>
      </c>
      <c r="O398" s="8" t="n">
        <v>-3527.39</v>
      </c>
      <c r="P398" s="7">
        <f>O398/M398*100</f>
        <v/>
      </c>
      <c r="Q398" s="9" t="n">
        <v>-2.446</v>
      </c>
      <c r="R398" s="11" t="inlineStr">
        <is>
          <t>2026_Q3</t>
        </is>
      </c>
    </row>
    <row r="399">
      <c r="A399" s="11" t="inlineStr">
        <is>
          <t>2026-08-03</t>
        </is>
      </c>
      <c r="B399" s="11" t="inlineStr">
        <is>
          <t>DIXON</t>
        </is>
      </c>
      <c r="C399" s="11" t="inlineStr">
        <is>
          <t>PE</t>
        </is>
      </c>
      <c r="D399" s="11" t="inlineStr">
        <is>
          <t>mid</t>
        </is>
      </c>
      <c r="E399" s="12" t="n">
        <v>156.3</v>
      </c>
      <c r="F399" s="12" t="n">
        <v>140.9</v>
      </c>
      <c r="G399" s="12" t="n">
        <v>21.1</v>
      </c>
      <c r="H399" s="11" t="inlineStr">
        <is>
          <t>2026-08-25</t>
        </is>
      </c>
      <c r="I399" s="13" t="n">
        <v>12250</v>
      </c>
      <c r="J399" s="5" t="n">
        <v>50</v>
      </c>
      <c r="K399" s="14" t="n">
        <v>116.2</v>
      </c>
      <c r="L399" s="14" t="n">
        <v>53.45</v>
      </c>
      <c r="M399" s="5">
        <f>K399*J399</f>
        <v/>
      </c>
      <c r="N399" s="8">
        <f>(L399-K399)*J399</f>
        <v/>
      </c>
      <c r="O399" s="8" t="n">
        <v>-3362.09</v>
      </c>
      <c r="P399" s="7">
        <f>O399/M399*100</f>
        <v/>
      </c>
      <c r="Q399" s="9" t="n">
        <v>-0.123</v>
      </c>
      <c r="R399" s="11" t="inlineStr">
        <is>
          <t>2026_Q3</t>
        </is>
      </c>
    </row>
    <row r="400">
      <c r="A400" s="11" t="inlineStr">
        <is>
          <t>2026-08-03</t>
        </is>
      </c>
      <c r="B400" s="11" t="inlineStr">
        <is>
          <t>GLENMARK</t>
        </is>
      </c>
      <c r="C400" s="11" t="inlineStr">
        <is>
          <t>PE</t>
        </is>
      </c>
      <c r="D400" s="11" t="inlineStr">
        <is>
          <t>mid</t>
        </is>
      </c>
      <c r="E400" s="12" t="n">
        <v>928</v>
      </c>
      <c r="F400" s="12" t="n">
        <v>60.2</v>
      </c>
      <c r="G400" s="12" t="n">
        <v>23.1</v>
      </c>
      <c r="H400" s="11" t="inlineStr">
        <is>
          <t>2026-08-25</t>
        </is>
      </c>
      <c r="I400" s="13" t="n">
        <v>2100</v>
      </c>
      <c r="J400" s="5" t="n">
        <v>375</v>
      </c>
      <c r="K400" s="14" t="n">
        <v>19.85</v>
      </c>
      <c r="L400" s="14" t="n">
        <v>19</v>
      </c>
      <c r="M400" s="5">
        <f>K400*J400</f>
        <v/>
      </c>
      <c r="N400" s="8">
        <f>(L400-K400)*J400</f>
        <v/>
      </c>
      <c r="O400" s="8" t="n">
        <v>-674.37</v>
      </c>
      <c r="P400" s="7">
        <f>O400/M400*100</f>
        <v/>
      </c>
      <c r="Q400" s="9" t="n">
        <v>1.17</v>
      </c>
      <c r="R400" s="11" t="inlineStr">
        <is>
          <t>2026_Q3</t>
        </is>
      </c>
    </row>
    <row r="401">
      <c r="A401" s="11" t="inlineStr">
        <is>
          <t>2026-08-03</t>
        </is>
      </c>
      <c r="B401" s="11" t="inlineStr">
        <is>
          <t>ITC</t>
        </is>
      </c>
      <c r="C401" s="11" t="inlineStr">
        <is>
          <t>CE</t>
        </is>
      </c>
      <c r="D401" s="11" t="inlineStr">
        <is>
          <t>large</t>
        </is>
      </c>
      <c r="E401" s="12" t="n">
        <v>-15.6</v>
      </c>
      <c r="F401" s="12" t="n">
        <v>-17.6</v>
      </c>
      <c r="G401" s="12" t="n">
        <v>27.6</v>
      </c>
      <c r="H401" s="11" t="inlineStr">
        <is>
          <t>2026-08-25</t>
        </is>
      </c>
      <c r="I401" s="13" t="n">
        <v>287.5</v>
      </c>
      <c r="J401" s="5" t="n">
        <v>1725</v>
      </c>
      <c r="K401" s="14" t="n">
        <v>4.5</v>
      </c>
      <c r="L401" s="14" t="n">
        <v>4.65</v>
      </c>
      <c r="M401" s="5">
        <f>K401*J401</f>
        <v/>
      </c>
      <c r="N401" s="8">
        <f>(L401-K401)*J401</f>
        <v/>
      </c>
      <c r="O401" s="8" t="n">
        <v>34.81</v>
      </c>
      <c r="P401" s="7">
        <f>O401/M401*100</f>
        <v/>
      </c>
      <c r="Q401" s="9" t="n">
        <v>0.896</v>
      </c>
      <c r="R401" s="11" t="inlineStr">
        <is>
          <t>2026_Q3</t>
        </is>
      </c>
    </row>
    <row r="402">
      <c r="A402" s="11" t="inlineStr">
        <is>
          <t>2026-08-03</t>
        </is>
      </c>
      <c r="B402" s="11" t="inlineStr">
        <is>
          <t>NATIONALUM</t>
        </is>
      </c>
      <c r="C402" s="11" t="inlineStr">
        <is>
          <t>PE</t>
        </is>
      </c>
      <c r="D402" s="11" t="inlineStr">
        <is>
          <t>mid</t>
        </is>
      </c>
      <c r="E402" s="12" t="n">
        <v>90.90000000000001</v>
      </c>
      <c r="F402" s="12" t="n">
        <v>16.3</v>
      </c>
      <c r="G402" s="12" t="n">
        <v>39.3</v>
      </c>
      <c r="H402" s="11" t="inlineStr">
        <is>
          <t>2026-08-25</t>
        </is>
      </c>
      <c r="I402" s="13" t="n">
        <v>330</v>
      </c>
      <c r="J402" s="5" t="n">
        <v>1875</v>
      </c>
      <c r="K402" s="14" t="n">
        <v>3.6</v>
      </c>
      <c r="L402" s="14" t="n">
        <v>2.15</v>
      </c>
      <c r="M402" s="5">
        <f>K402*J402</f>
        <v/>
      </c>
      <c r="N402" s="8">
        <f>(L402-K402)*J402</f>
        <v/>
      </c>
      <c r="O402" s="8" t="n">
        <v>-2992.36</v>
      </c>
      <c r="P402" s="7">
        <f>O402/M402*100</f>
        <v/>
      </c>
      <c r="Q402" s="9" t="n">
        <v>-3.087</v>
      </c>
      <c r="R402" s="11" t="inlineStr">
        <is>
          <t>2026_Q3</t>
        </is>
      </c>
    </row>
    <row r="403">
      <c r="A403" s="11" t="inlineStr">
        <is>
          <t>2026-08-03</t>
        </is>
      </c>
      <c r="B403" s="11" t="inlineStr">
        <is>
          <t>SUNPHARMA</t>
        </is>
      </c>
      <c r="C403" s="11" t="inlineStr">
        <is>
          <t>PE</t>
        </is>
      </c>
      <c r="D403" s="11" t="inlineStr">
        <is>
          <t>large</t>
        </is>
      </c>
      <c r="E403" s="12" t="n">
        <v>26.5</v>
      </c>
      <c r="F403" s="12" t="n">
        <v>7.1</v>
      </c>
      <c r="G403" s="12" t="n">
        <v>10.5</v>
      </c>
      <c r="H403" s="11" t="inlineStr">
        <is>
          <t>2026-08-25</t>
        </is>
      </c>
      <c r="I403" s="13" t="n">
        <v>1940</v>
      </c>
      <c r="J403" s="5" t="n">
        <v>350</v>
      </c>
      <c r="K403" s="14" t="n">
        <v>19.3</v>
      </c>
      <c r="L403" s="14" t="n">
        <v>28.9</v>
      </c>
      <c r="M403" s="5">
        <f>K403*J403</f>
        <v/>
      </c>
      <c r="N403" s="8">
        <f>(L403-K403)*J403</f>
        <v/>
      </c>
      <c r="O403" s="8" t="n">
        <v>3121.64</v>
      </c>
      <c r="P403" s="7">
        <f>O403/M403*100</f>
        <v/>
      </c>
      <c r="Q403" s="9" t="n">
        <v>0.993</v>
      </c>
      <c r="R403" s="11" t="inlineStr">
        <is>
          <t>2026_Q3</t>
        </is>
      </c>
    </row>
    <row r="404">
      <c r="A404" s="11" t="inlineStr">
        <is>
          <t>2026-08-04</t>
        </is>
      </c>
      <c r="B404" s="11" t="inlineStr">
        <is>
          <t>CAMS</t>
        </is>
      </c>
      <c r="C404" s="11" t="inlineStr">
        <is>
          <t>PE</t>
        </is>
      </c>
      <c r="D404" s="11" t="inlineStr">
        <is>
          <t>small</t>
        </is>
      </c>
      <c r="E404" s="12" t="n">
        <v>17.6</v>
      </c>
      <c r="F404" s="12" t="n">
        <v>1.3</v>
      </c>
      <c r="G404" s="12" t="n">
        <v>11.5</v>
      </c>
      <c r="H404" s="11" t="inlineStr">
        <is>
          <t>2026-08-25</t>
        </is>
      </c>
      <c r="I404" s="13" t="n">
        <v>760</v>
      </c>
      <c r="J404" s="5" t="n">
        <v>825</v>
      </c>
      <c r="K404" s="14" t="n">
        <v>8.15</v>
      </c>
      <c r="L404" s="14" t="n">
        <v>5.4</v>
      </c>
      <c r="M404" s="5">
        <f>K404*J404</f>
        <v/>
      </c>
      <c r="N404" s="8">
        <f>(L404-K404)*J404</f>
        <v/>
      </c>
      <c r="O404" s="8" t="n">
        <v>-2662.89</v>
      </c>
      <c r="P404" s="7">
        <f>O404/M404*100</f>
        <v/>
      </c>
      <c r="Q404" s="9" t="n">
        <v>-2.262</v>
      </c>
      <c r="R404" s="11" t="inlineStr">
        <is>
          <t>2026_Q3</t>
        </is>
      </c>
    </row>
    <row r="405">
      <c r="A405" s="11" t="inlineStr">
        <is>
          <t>2026-08-05</t>
        </is>
      </c>
      <c r="B405" s="11" t="inlineStr">
        <is>
          <t>BHARTIARTL</t>
        </is>
      </c>
      <c r="C405" s="11" t="inlineStr">
        <is>
          <t>PE</t>
        </is>
      </c>
      <c r="D405" s="11" t="inlineStr">
        <is>
          <t>large</t>
        </is>
      </c>
      <c r="E405" s="12" t="n">
        <v>34.9</v>
      </c>
      <c r="F405" s="12" t="n">
        <v>8.300000000000001</v>
      </c>
      <c r="G405" s="12" t="n">
        <v>18.4</v>
      </c>
      <c r="H405" s="11" t="inlineStr">
        <is>
          <t>2026-08-25</t>
        </is>
      </c>
      <c r="I405" s="13" t="n">
        <v>1960</v>
      </c>
      <c r="J405" s="5" t="n">
        <v>475</v>
      </c>
      <c r="K405" s="14" t="n">
        <v>12.3</v>
      </c>
      <c r="L405" s="14" t="n">
        <v>35.4</v>
      </c>
      <c r="M405" s="5">
        <f>K405*J405</f>
        <v/>
      </c>
      <c r="N405" s="8">
        <f>(L405-K405)*J405</f>
        <v/>
      </c>
      <c r="O405" s="8" t="n">
        <v>10663.79</v>
      </c>
      <c r="P405" s="7">
        <f>O405/M405*100</f>
        <v/>
      </c>
      <c r="Q405" s="9" t="n">
        <v>2.079</v>
      </c>
      <c r="R405" s="11" t="inlineStr">
        <is>
          <t>2026_Q3</t>
        </is>
      </c>
    </row>
    <row r="406">
      <c r="A406" s="11" t="inlineStr">
        <is>
          <t>2026-08-05</t>
        </is>
      </c>
      <c r="B406" s="11" t="inlineStr">
        <is>
          <t>BSE</t>
        </is>
      </c>
      <c r="C406" s="11" t="inlineStr">
        <is>
          <t>PE</t>
        </is>
      </c>
      <c r="D406" s="11" t="inlineStr">
        <is>
          <t>mid</t>
        </is>
      </c>
      <c r="E406" s="12" t="n">
        <v>62.2</v>
      </c>
      <c r="F406" s="12" t="n">
        <v>9.699999999999999</v>
      </c>
      <c r="G406" s="12" t="n">
        <v>63.4</v>
      </c>
      <c r="H406" s="11" t="inlineStr">
        <is>
          <t>2026-08-25</t>
        </is>
      </c>
      <c r="I406" s="13" t="n">
        <v>3300</v>
      </c>
      <c r="J406" s="5" t="n">
        <v>200</v>
      </c>
      <c r="K406" s="14" t="n">
        <v>32.05</v>
      </c>
      <c r="L406" s="14" t="n">
        <v>42.55</v>
      </c>
      <c r="M406" s="5">
        <f>K406*J406</f>
        <v/>
      </c>
      <c r="N406" s="8">
        <f>(L406-K406)*J406</f>
        <v/>
      </c>
      <c r="O406" s="8" t="n">
        <v>1735.16</v>
      </c>
      <c r="P406" s="7">
        <f>O406/M406*100</f>
        <v/>
      </c>
      <c r="Q406" s="9" t="n">
        <v>3.534</v>
      </c>
      <c r="R406" s="11" t="inlineStr">
        <is>
          <t>2026_Q3</t>
        </is>
      </c>
    </row>
    <row r="407">
      <c r="A407" s="11" t="inlineStr">
        <is>
          <t>2026-08-05</t>
        </is>
      </c>
      <c r="B407" s="11" t="inlineStr">
        <is>
          <t>GODREJPROP</t>
        </is>
      </c>
      <c r="C407" s="11" t="inlineStr">
        <is>
          <t>CE</t>
        </is>
      </c>
      <c r="D407" s="11" t="inlineStr">
        <is>
          <t>mid</t>
        </is>
      </c>
      <c r="E407" s="12" t="n">
        <v>-41.6</v>
      </c>
      <c r="F407" s="12" t="n">
        <v>-45.9</v>
      </c>
      <c r="G407" s="12" t="n">
        <v>16.5</v>
      </c>
      <c r="H407" s="11" t="inlineStr">
        <is>
          <t>2026-08-25</t>
        </is>
      </c>
      <c r="I407" s="13" t="n">
        <v>2180</v>
      </c>
      <c r="J407" s="5" t="n">
        <v>325</v>
      </c>
      <c r="K407" s="14" t="n">
        <v>22.55</v>
      </c>
      <c r="L407" s="14" t="n">
        <v>37.65</v>
      </c>
      <c r="M407" s="5">
        <f>K407*J407</f>
        <v/>
      </c>
      <c r="N407" s="8">
        <f>(L407-K407)*J407</f>
        <v/>
      </c>
      <c r="O407" s="8" t="n">
        <v>4442.21</v>
      </c>
      <c r="P407" s="7">
        <f>O407/M407*100</f>
        <v/>
      </c>
      <c r="Q407" s="9" t="n">
        <v>2.106</v>
      </c>
      <c r="R407" s="11" t="inlineStr">
        <is>
          <t>2026_Q3</t>
        </is>
      </c>
    </row>
    <row r="408">
      <c r="A408" s="11" t="inlineStr">
        <is>
          <t>2026-08-05</t>
        </is>
      </c>
      <c r="B408" s="11" t="inlineStr">
        <is>
          <t>NYKAA</t>
        </is>
      </c>
      <c r="C408" s="11" t="inlineStr">
        <is>
          <t>PE</t>
        </is>
      </c>
      <c r="D408" s="11" t="inlineStr">
        <is>
          <t>mid</t>
        </is>
      </c>
      <c r="E408" s="12" t="n">
        <v>226</v>
      </c>
      <c r="F408" s="12" t="n">
        <v>1.3</v>
      </c>
      <c r="G408" s="12" t="n">
        <v>29.1</v>
      </c>
      <c r="H408" s="11" t="inlineStr">
        <is>
          <t>2026-08-25</t>
        </is>
      </c>
      <c r="I408" s="13" t="n">
        <v>315</v>
      </c>
      <c r="J408" s="5" t="n">
        <v>3125</v>
      </c>
      <c r="K408" s="14" t="n">
        <v>2.05</v>
      </c>
      <c r="L408" s="14" t="n">
        <v>2.55</v>
      </c>
      <c r="M408" s="5">
        <f>K408*J408</f>
        <v/>
      </c>
      <c r="N408" s="8">
        <f>(L408-K408)*J408</f>
        <v/>
      </c>
      <c r="O408" s="8" t="n">
        <v>1209.61</v>
      </c>
      <c r="P408" s="7">
        <f>O408/M408*100</f>
        <v/>
      </c>
      <c r="Q408" s="9" t="n">
        <v>3.635</v>
      </c>
      <c r="R408" s="11" t="inlineStr">
        <is>
          <t>2026_Q3</t>
        </is>
      </c>
    </row>
    <row r="409">
      <c r="A409" s="11" t="inlineStr">
        <is>
          <t>2026-08-05</t>
        </is>
      </c>
      <c r="B409" s="11" t="inlineStr">
        <is>
          <t>ONGC</t>
        </is>
      </c>
      <c r="C409" s="11" t="inlineStr">
        <is>
          <t>CE</t>
        </is>
      </c>
      <c r="D409" s="11" t="inlineStr">
        <is>
          <t>large</t>
        </is>
      </c>
      <c r="E409" s="12" t="n">
        <v>-43.3</v>
      </c>
      <c r="F409" s="12" t="n">
        <v>-52.1</v>
      </c>
      <c r="G409" s="12" t="n">
        <v>25.7</v>
      </c>
      <c r="H409" s="11" t="inlineStr">
        <is>
          <t>2026-08-25</t>
        </is>
      </c>
      <c r="I409" s="13" t="n">
        <v>250</v>
      </c>
      <c r="J409" s="5" t="n">
        <v>2250</v>
      </c>
      <c r="K409" s="14" t="n">
        <v>3.06</v>
      </c>
      <c r="L409" s="14" t="n">
        <v>1.72</v>
      </c>
      <c r="M409" s="5">
        <f>K409*J409</f>
        <v/>
      </c>
      <c r="N409" s="8">
        <f>(L409-K409)*J409</f>
        <v/>
      </c>
      <c r="O409" s="8" t="n">
        <v>-3180.29</v>
      </c>
      <c r="P409" s="7">
        <f>O409/M409*100</f>
        <v/>
      </c>
      <c r="Q409" s="9" t="n">
        <v>-1.959</v>
      </c>
      <c r="R409" s="11" t="inlineStr">
        <is>
          <t>2026_Q3</t>
        </is>
      </c>
    </row>
    <row r="410">
      <c r="A410" s="11" t="inlineStr">
        <is>
          <t>2026-08-05</t>
        </is>
      </c>
      <c r="B410" s="11" t="inlineStr">
        <is>
          <t>PIDILITIND</t>
        </is>
      </c>
      <c r="C410" s="11" t="inlineStr">
        <is>
          <t>PE</t>
        </is>
      </c>
      <c r="D410" s="11" t="inlineStr">
        <is>
          <t>large</t>
        </is>
      </c>
      <c r="E410" s="12" t="n">
        <v>30.3</v>
      </c>
      <c r="F410" s="12" t="n">
        <v>51.2</v>
      </c>
      <c r="G410" s="12" t="n">
        <v>21.3</v>
      </c>
      <c r="H410" s="11" t="inlineStr">
        <is>
          <t>2026-08-25</t>
        </is>
      </c>
      <c r="I410" s="13" t="n">
        <v>1560</v>
      </c>
      <c r="J410" s="5" t="n">
        <v>500</v>
      </c>
      <c r="K410" s="14" t="n">
        <v>11.75</v>
      </c>
      <c r="L410" s="14" t="n">
        <v>8.949999999999999</v>
      </c>
      <c r="M410" s="5">
        <f>K410*J410</f>
        <v/>
      </c>
      <c r="N410" s="8">
        <f>(L410-K410)*J410</f>
        <v/>
      </c>
      <c r="O410" s="8" t="n">
        <v>-1561.95</v>
      </c>
      <c r="P410" s="7">
        <f>O410/M410*100</f>
        <v/>
      </c>
      <c r="Q410" s="9" t="n">
        <v>-1.648</v>
      </c>
      <c r="R410" s="11" t="inlineStr">
        <is>
          <t>2026_Q3</t>
        </is>
      </c>
    </row>
    <row r="411">
      <c r="A411" s="11" t="inlineStr">
        <is>
          <t>2026-08-06</t>
        </is>
      </c>
      <c r="B411" s="11" t="inlineStr">
        <is>
          <t>AUROPHARMA</t>
        </is>
      </c>
      <c r="C411" s="11" t="inlineStr">
        <is>
          <t>PE</t>
        </is>
      </c>
      <c r="D411" s="11" t="inlineStr">
        <is>
          <t>mid</t>
        </is>
      </c>
      <c r="E411" s="12" t="n">
        <v>25.2</v>
      </c>
      <c r="F411" s="12" t="n">
        <v>12.1</v>
      </c>
      <c r="G411" s="12" t="n">
        <v>16.3</v>
      </c>
      <c r="H411" s="11" t="inlineStr">
        <is>
          <t>2026-08-25</t>
        </is>
      </c>
      <c r="I411" s="13" t="n">
        <v>1540</v>
      </c>
      <c r="J411" s="5" t="n">
        <v>550</v>
      </c>
      <c r="K411" s="14" t="n">
        <v>14.5</v>
      </c>
      <c r="L411" s="14" t="n">
        <v>17.05</v>
      </c>
      <c r="M411" s="5">
        <f>K411*J411</f>
        <v/>
      </c>
      <c r="N411" s="8">
        <f>(L411-K411)*J411</f>
        <v/>
      </c>
      <c r="O411" s="8" t="n">
        <v>986.65</v>
      </c>
      <c r="P411" s="7">
        <f>O411/M411*100</f>
        <v/>
      </c>
      <c r="Q411" s="9" t="n">
        <v>2.222</v>
      </c>
      <c r="R411" s="11" t="inlineStr">
        <is>
          <t>2026_Q3</t>
        </is>
      </c>
    </row>
    <row r="412">
      <c r="A412" s="11" t="inlineStr">
        <is>
          <t>2026-08-06</t>
        </is>
      </c>
      <c r="B412" s="11" t="inlineStr">
        <is>
          <t>GVT&amp;D</t>
        </is>
      </c>
      <c r="C412" s="11" t="inlineStr">
        <is>
          <t>PE</t>
        </is>
      </c>
      <c r="D412" s="11" t="inlineStr">
        <is>
          <t>mid</t>
        </is>
      </c>
      <c r="E412" s="12" t="n">
        <v>24.7</v>
      </c>
      <c r="F412" s="12" t="n">
        <v>3.2</v>
      </c>
      <c r="G412" s="12" t="n">
        <v>38</v>
      </c>
      <c r="H412" s="11" t="inlineStr">
        <is>
          <t>2026-08-25</t>
        </is>
      </c>
      <c r="I412" s="13" t="n">
        <v>3700</v>
      </c>
      <c r="J412" s="5" t="n">
        <v>125</v>
      </c>
      <c r="K412" s="14" t="n">
        <v>41.15</v>
      </c>
      <c r="L412" s="14" t="n">
        <v>6.3</v>
      </c>
      <c r="M412" s="5">
        <f>K412*J412</f>
        <v/>
      </c>
      <c r="N412" s="8">
        <f>(L412-K412)*J412</f>
        <v/>
      </c>
      <c r="O412" s="8" t="n">
        <v>-4525.9</v>
      </c>
      <c r="P412" s="7">
        <f>O412/M412*100</f>
        <v/>
      </c>
      <c r="Q412" s="9" t="n">
        <v>-5.222</v>
      </c>
      <c r="R412" s="11" t="inlineStr">
        <is>
          <t>2026_Q3</t>
        </is>
      </c>
    </row>
    <row r="413">
      <c r="A413" s="11" t="inlineStr">
        <is>
          <t>2026-08-07</t>
        </is>
      </c>
      <c r="B413" s="11" t="inlineStr">
        <is>
          <t>BLUESTARCO</t>
        </is>
      </c>
      <c r="C413" s="11" t="inlineStr">
        <is>
          <t>CE</t>
        </is>
      </c>
      <c r="D413" s="11" t="inlineStr">
        <is>
          <t>mid</t>
        </is>
      </c>
      <c r="E413" s="12" t="n">
        <v>-15.2</v>
      </c>
      <c r="F413" s="12" t="n">
        <v>-54.9</v>
      </c>
      <c r="G413" s="12" t="n">
        <v>13.3</v>
      </c>
      <c r="H413" s="11" t="inlineStr">
        <is>
          <t>2026-08-25</t>
        </is>
      </c>
      <c r="I413" s="13" t="n">
        <v>1660</v>
      </c>
      <c r="J413" s="5" t="n">
        <v>325</v>
      </c>
      <c r="K413" s="14" t="n">
        <v>18.2</v>
      </c>
      <c r="L413" s="14" t="n">
        <v>7.75</v>
      </c>
      <c r="M413" s="5">
        <f>K413*J413</f>
        <v/>
      </c>
      <c r="N413" s="8">
        <f>(L413-K413)*J413</f>
        <v/>
      </c>
      <c r="O413" s="8" t="n">
        <v>-3619.62</v>
      </c>
      <c r="P413" s="7">
        <f>O413/M413*100</f>
        <v/>
      </c>
      <c r="Q413" s="9" t="n">
        <v>-3.185</v>
      </c>
      <c r="R413" s="11" t="inlineStr">
        <is>
          <t>2026_Q3</t>
        </is>
      </c>
    </row>
    <row r="414">
      <c r="A414" s="11" t="inlineStr">
        <is>
          <t>2026-08-07</t>
        </is>
      </c>
      <c r="B414" s="11" t="inlineStr">
        <is>
          <t>HEROMOTOCO</t>
        </is>
      </c>
      <c r="C414" s="11" t="inlineStr">
        <is>
          <t>CE</t>
        </is>
      </c>
      <c r="D414" s="11" t="inlineStr">
        <is>
          <t>large</t>
        </is>
      </c>
      <c r="E414" s="12" t="n">
        <v>-16.9</v>
      </c>
      <c r="F414" s="12" t="n">
        <v>-3.8</v>
      </c>
      <c r="G414" s="12" t="n">
        <v>34.9</v>
      </c>
      <c r="H414" s="11" t="inlineStr">
        <is>
          <t>2026-08-25</t>
        </is>
      </c>
      <c r="I414" s="13" t="n">
        <v>6000</v>
      </c>
      <c r="J414" s="5" t="n">
        <v>150</v>
      </c>
      <c r="K414" s="14" t="n">
        <v>35</v>
      </c>
      <c r="L414" s="14" t="n">
        <v>48.8</v>
      </c>
      <c r="M414" s="5">
        <f>K414*J414</f>
        <v/>
      </c>
      <c r="N414" s="8">
        <f>(L414-K414)*J414</f>
        <v/>
      </c>
      <c r="O414" s="8" t="n">
        <v>1880.66</v>
      </c>
      <c r="P414" s="7">
        <f>O414/M414*100</f>
        <v/>
      </c>
      <c r="Q414" s="9" t="n">
        <v>3.321</v>
      </c>
      <c r="R414" s="11" t="inlineStr">
        <is>
          <t>2026_Q3</t>
        </is>
      </c>
    </row>
    <row r="415">
      <c r="A415" s="11" t="inlineStr">
        <is>
          <t>2026-08-07</t>
        </is>
      </c>
      <c r="B415" s="11" t="inlineStr">
        <is>
          <t>PGEL</t>
        </is>
      </c>
      <c r="C415" s="11" t="inlineStr">
        <is>
          <t>PE</t>
        </is>
      </c>
      <c r="D415" s="11" t="inlineStr">
        <is>
          <t>small</t>
        </is>
      </c>
      <c r="E415" s="12" t="n">
        <v>13.8</v>
      </c>
      <c r="F415" s="12" t="n">
        <v>17.5</v>
      </c>
      <c r="G415" s="12" t="n">
        <v>35.3</v>
      </c>
      <c r="H415" s="11" t="inlineStr">
        <is>
          <t>2026-08-25</t>
        </is>
      </c>
      <c r="I415" s="13" t="n">
        <v>570</v>
      </c>
      <c r="J415" s="5" t="n">
        <v>950</v>
      </c>
      <c r="K415" s="14" t="n">
        <v>8.35</v>
      </c>
      <c r="L415" s="14" t="n">
        <v>3.1</v>
      </c>
      <c r="M415" s="5">
        <f>K415*J415</f>
        <v/>
      </c>
      <c r="N415" s="8">
        <f>(L415-K415)*J415</f>
        <v/>
      </c>
      <c r="O415" s="8" t="n">
        <v>-5370.26</v>
      </c>
      <c r="P415" s="7">
        <f>O415/M415*100</f>
        <v/>
      </c>
      <c r="Q415" s="9" t="n">
        <v>-2.662</v>
      </c>
      <c r="R415" s="11" t="inlineStr">
        <is>
          <t>2026_Q3</t>
        </is>
      </c>
    </row>
    <row r="416">
      <c r="A416" s="11" t="inlineStr">
        <is>
          <t>2026-08-07</t>
        </is>
      </c>
      <c r="B416" s="11" t="inlineStr">
        <is>
          <t>PREMIERENE</t>
        </is>
      </c>
      <c r="C416" s="11" t="inlineStr">
        <is>
          <t>PE</t>
        </is>
      </c>
      <c r="D416" s="11" t="inlineStr">
        <is>
          <t>mid</t>
        </is>
      </c>
      <c r="E416" s="12" t="n">
        <v>53.3</v>
      </c>
      <c r="F416" s="12" t="n">
        <v>3.3</v>
      </c>
      <c r="G416" s="12" t="n">
        <v>35.3</v>
      </c>
      <c r="H416" s="11" t="inlineStr">
        <is>
          <t>2026-08-25</t>
        </is>
      </c>
      <c r="I416" s="13" t="n">
        <v>1000</v>
      </c>
      <c r="J416" s="5" t="n">
        <v>650</v>
      </c>
      <c r="K416" s="14" t="n">
        <v>11</v>
      </c>
      <c r="L416" s="14" t="n">
        <v>8.9</v>
      </c>
      <c r="M416" s="5">
        <f>K416*J416</f>
        <v/>
      </c>
      <c r="N416" s="8">
        <f>(L416-K416)*J416</f>
        <v/>
      </c>
      <c r="O416" s="8" t="n">
        <v>-1685.24</v>
      </c>
      <c r="P416" s="7">
        <f>O416/M416*100</f>
        <v/>
      </c>
      <c r="Q416" s="9" t="n">
        <v>0.352</v>
      </c>
      <c r="R416" s="11" t="inlineStr">
        <is>
          <t>2026_Q3</t>
        </is>
      </c>
    </row>
    <row r="417">
      <c r="A417" s="11" t="inlineStr">
        <is>
          <t>2026-08-10</t>
        </is>
      </c>
      <c r="B417" s="11" t="inlineStr">
        <is>
          <t>DELHIVERY</t>
        </is>
      </c>
      <c r="C417" s="11" t="inlineStr">
        <is>
          <t>CE</t>
        </is>
      </c>
      <c r="D417" s="11" t="inlineStr">
        <is>
          <t>small</t>
        </is>
      </c>
      <c r="E417" s="12" t="n">
        <v>-65</v>
      </c>
      <c r="F417" s="12" t="n">
        <v>-55.9</v>
      </c>
      <c r="G417" s="12" t="n">
        <v>27.8</v>
      </c>
      <c r="H417" s="11" t="inlineStr">
        <is>
          <t>2026-08-25</t>
        </is>
      </c>
      <c r="I417" s="13" t="n">
        <v>500</v>
      </c>
      <c r="J417" s="5" t="n">
        <v>2075</v>
      </c>
      <c r="K417" s="14" t="n">
        <v>3.5</v>
      </c>
      <c r="L417" s="14" t="n">
        <v>6</v>
      </c>
      <c r="M417" s="5">
        <f>K417*J417</f>
        <v/>
      </c>
      <c r="N417" s="8">
        <f>(L417-K417)*J417</f>
        <v/>
      </c>
      <c r="O417" s="8" t="n">
        <v>4521.73</v>
      </c>
      <c r="P417" s="7">
        <f>O417/M417*100</f>
        <v/>
      </c>
      <c r="Q417" s="9" t="n">
        <v>4.809</v>
      </c>
      <c r="R417" s="11" t="inlineStr">
        <is>
          <t>2026_Q3</t>
        </is>
      </c>
    </row>
    <row r="418">
      <c r="A418" s="11" t="inlineStr">
        <is>
          <t>2026-08-10</t>
        </is>
      </c>
      <c r="B418" s="11" t="inlineStr">
        <is>
          <t>GODREJCP</t>
        </is>
      </c>
      <c r="C418" s="11" t="inlineStr">
        <is>
          <t>PE</t>
        </is>
      </c>
      <c r="D418" s="11" t="inlineStr">
        <is>
          <t>large</t>
        </is>
      </c>
      <c r="E418" s="12" t="n">
        <v>11.5</v>
      </c>
      <c r="F418" s="12" t="n">
        <v>11.7</v>
      </c>
      <c r="G418" s="12" t="n">
        <v>15.4</v>
      </c>
      <c r="H418" s="11" t="inlineStr">
        <is>
          <t>2026-08-25</t>
        </is>
      </c>
      <c r="I418" s="13" t="n">
        <v>1020</v>
      </c>
      <c r="J418" s="5" t="n">
        <v>500</v>
      </c>
      <c r="K418" s="14" t="n">
        <v>13.7</v>
      </c>
      <c r="L418" s="14" t="n">
        <v>16.15</v>
      </c>
      <c r="M418" s="5">
        <f>K418*J418</f>
        <v/>
      </c>
      <c r="N418" s="8">
        <f>(L418-K418)*J418</f>
        <v/>
      </c>
      <c r="O418" s="8" t="n">
        <v>1009.95</v>
      </c>
      <c r="P418" s="7">
        <f>O418/M418*100</f>
        <v/>
      </c>
      <c r="Q418" s="9" t="n">
        <v>1.834</v>
      </c>
      <c r="R418" s="11" t="inlineStr">
        <is>
          <t>2026_Q3</t>
        </is>
      </c>
    </row>
    <row r="419">
      <c r="A419" s="11" t="inlineStr">
        <is>
          <t>2026-08-10</t>
        </is>
      </c>
      <c r="B419" s="11" t="inlineStr">
        <is>
          <t>HINDALCO</t>
        </is>
      </c>
      <c r="C419" s="11" t="inlineStr">
        <is>
          <t>PE</t>
        </is>
      </c>
      <c r="D419" s="11" t="inlineStr">
        <is>
          <t>large</t>
        </is>
      </c>
      <c r="E419" s="12" t="n">
        <v>75.09999999999999</v>
      </c>
      <c r="F419" s="12" t="n">
        <v>170</v>
      </c>
      <c r="G419" s="12" t="n">
        <v>32.1</v>
      </c>
      <c r="H419" s="11" t="inlineStr">
        <is>
          <t>2026-08-25</t>
        </is>
      </c>
      <c r="I419" s="13" t="n">
        <v>1020</v>
      </c>
      <c r="J419" s="5" t="n">
        <v>700</v>
      </c>
      <c r="K419" s="14" t="n">
        <v>9.550000000000001</v>
      </c>
      <c r="L419" s="14" t="n">
        <v>9.050000000000001</v>
      </c>
      <c r="M419" s="5">
        <f>K419*J419</f>
        <v/>
      </c>
      <c r="N419" s="8">
        <f>(L419-K419)*J419</f>
        <v/>
      </c>
      <c r="O419" s="8" t="n">
        <v>-542.59</v>
      </c>
      <c r="P419" s="7">
        <f>O419/M419*100</f>
        <v/>
      </c>
      <c r="Q419" s="9" t="n">
        <v>1.028</v>
      </c>
      <c r="R419" s="11" t="inlineStr">
        <is>
          <t>2026_Q3</t>
        </is>
      </c>
    </row>
    <row r="420">
      <c r="A420" s="11" t="inlineStr">
        <is>
          <t>2026-08-10</t>
        </is>
      </c>
      <c r="B420" s="11" t="inlineStr">
        <is>
          <t>KAYNES</t>
        </is>
      </c>
      <c r="C420" s="11" t="inlineStr">
        <is>
          <t>CE</t>
        </is>
      </c>
      <c r="D420" s="11" t="inlineStr">
        <is>
          <t>mid</t>
        </is>
      </c>
      <c r="E420" s="12" t="n">
        <v>-24.4</v>
      </c>
      <c r="F420" s="12" t="n">
        <v>-38.1</v>
      </c>
      <c r="G420" s="12" t="n">
        <v>40.5</v>
      </c>
      <c r="H420" s="11" t="inlineStr">
        <is>
          <t>2026-08-25</t>
        </is>
      </c>
      <c r="I420" s="13" t="n">
        <v>3950</v>
      </c>
      <c r="J420" s="5" t="n">
        <v>150</v>
      </c>
      <c r="K420" s="14" t="n">
        <v>39.35</v>
      </c>
      <c r="L420" s="14" t="n">
        <v>28.75</v>
      </c>
      <c r="M420" s="5">
        <f>K420*J420</f>
        <v/>
      </c>
      <c r="N420" s="8">
        <f>(L420-K420)*J420</f>
        <v/>
      </c>
      <c r="O420" s="8" t="n">
        <v>-1852.45</v>
      </c>
      <c r="P420" s="7">
        <f>O420/M420*100</f>
        <v/>
      </c>
      <c r="Q420" s="9" t="n">
        <v>5.661</v>
      </c>
      <c r="R420" s="11" t="inlineStr">
        <is>
          <t>2026_Q3</t>
        </is>
      </c>
    </row>
    <row r="421">
      <c r="A421" s="11" t="inlineStr">
        <is>
          <t>2026-08-10</t>
        </is>
      </c>
      <c r="B421" s="11" t="inlineStr">
        <is>
          <t>OIL</t>
        </is>
      </c>
      <c r="C421" s="11" t="inlineStr">
        <is>
          <t>PE</t>
        </is>
      </c>
      <c r="D421" s="11" t="inlineStr">
        <is>
          <t>mid</t>
        </is>
      </c>
      <c r="E421" s="12" t="n">
        <v>96.8</v>
      </c>
      <c r="F421" s="12" t="n">
        <v>66.09999999999999</v>
      </c>
      <c r="G421" s="12" t="n">
        <v>47.3</v>
      </c>
      <c r="H421" s="11" t="inlineStr">
        <is>
          <t>2026-08-25</t>
        </is>
      </c>
      <c r="I421" s="13" t="n">
        <v>435</v>
      </c>
      <c r="J421" s="5" t="n">
        <v>1400</v>
      </c>
      <c r="K421" s="14" t="n">
        <v>5.25</v>
      </c>
      <c r="L421" s="14" t="n">
        <v>3.4</v>
      </c>
      <c r="M421" s="5">
        <f>K421*J421</f>
        <v/>
      </c>
      <c r="N421" s="8">
        <f>(L421-K421)*J421</f>
        <v/>
      </c>
      <c r="O421" s="8" t="n">
        <v>-2891.85</v>
      </c>
      <c r="P421" s="7">
        <f>O421/M421*100</f>
        <v/>
      </c>
      <c r="Q421" s="9" t="n">
        <v>-0.667</v>
      </c>
      <c r="R421" s="11" t="inlineStr">
        <is>
          <t>2026_Q3</t>
        </is>
      </c>
    </row>
    <row r="422">
      <c r="A422" s="11" t="inlineStr">
        <is>
          <t>2026-08-10</t>
        </is>
      </c>
      <c r="B422" s="11" t="inlineStr">
        <is>
          <t>SBIN</t>
        </is>
      </c>
      <c r="C422" s="11" t="inlineStr">
        <is>
          <t>PE</t>
        </is>
      </c>
      <c r="D422" s="11" t="inlineStr">
        <is>
          <t>large</t>
        </is>
      </c>
      <c r="E422" s="12" t="n">
        <v>13.7</v>
      </c>
      <c r="F422" s="12" t="n">
        <v>22.8</v>
      </c>
      <c r="G422" s="12" t="n">
        <v>8.4</v>
      </c>
      <c r="H422" s="11" t="inlineStr">
        <is>
          <t>2026-08-25</t>
        </is>
      </c>
      <c r="I422" s="13" t="n">
        <v>1080</v>
      </c>
      <c r="J422" s="5" t="n">
        <v>750</v>
      </c>
      <c r="K422" s="14" t="n">
        <v>9.550000000000001</v>
      </c>
      <c r="L422" s="14" t="n">
        <v>21.85</v>
      </c>
      <c r="M422" s="5">
        <f>K422*J422</f>
        <v/>
      </c>
      <c r="N422" s="8">
        <f>(L422-K422)*J422</f>
        <v/>
      </c>
      <c r="O422" s="8" t="n">
        <v>8907.610000000001</v>
      </c>
      <c r="P422" s="7">
        <f>O422/M422*100</f>
        <v/>
      </c>
      <c r="Q422" s="9" t="n">
        <v>3.339</v>
      </c>
      <c r="R422" s="11" t="inlineStr">
        <is>
          <t>2026_Q3</t>
        </is>
      </c>
    </row>
    <row r="423">
      <c r="A423" s="11" t="inlineStr">
        <is>
          <t>2026-08-10</t>
        </is>
      </c>
      <c r="B423" s="11" t="inlineStr">
        <is>
          <t>TITAN</t>
        </is>
      </c>
      <c r="C423" s="11" t="inlineStr">
        <is>
          <t>PE</t>
        </is>
      </c>
      <c r="D423" s="11" t="inlineStr">
        <is>
          <t>large</t>
        </is>
      </c>
      <c r="E423" s="12" t="n">
        <v>62.9</v>
      </c>
      <c r="F423" s="12" t="n">
        <v>50.7</v>
      </c>
      <c r="G423" s="12" t="n">
        <v>29.3</v>
      </c>
      <c r="H423" s="11" t="inlineStr">
        <is>
          <t>2026-08-25</t>
        </is>
      </c>
      <c r="I423" s="13" t="n">
        <v>4750</v>
      </c>
      <c r="J423" s="5" t="n">
        <v>175</v>
      </c>
      <c r="K423" s="14" t="n">
        <v>33.05</v>
      </c>
      <c r="L423" s="14" t="n">
        <v>10</v>
      </c>
      <c r="M423" s="5">
        <f>K423*J423</f>
        <v/>
      </c>
      <c r="N423" s="8">
        <f>(L423-K423)*J423</f>
        <v/>
      </c>
      <c r="O423" s="8" t="n">
        <v>-4162.24</v>
      </c>
      <c r="P423" s="7">
        <f>O423/M423*100</f>
        <v/>
      </c>
      <c r="Q423" s="9" t="n">
        <v>-3.204</v>
      </c>
      <c r="R423" s="11" t="inlineStr">
        <is>
          <t>2026_Q3</t>
        </is>
      </c>
    </row>
    <row r="424">
      <c r="A424" s="11" t="inlineStr">
        <is>
          <t>2026-08-11</t>
        </is>
      </c>
      <c r="B424" s="11" t="inlineStr">
        <is>
          <t>BHARATFORG</t>
        </is>
      </c>
      <c r="C424" s="11" t="inlineStr">
        <is>
          <t>CE</t>
        </is>
      </c>
      <c r="D424" s="11" t="inlineStr">
        <is>
          <t>mid</t>
        </is>
      </c>
      <c r="E424" s="12" t="n">
        <v>-131.7</v>
      </c>
      <c r="F424" s="12" t="n">
        <v>-138.5</v>
      </c>
      <c r="G424" s="12" t="n">
        <v>18.7</v>
      </c>
      <c r="H424" s="11" t="inlineStr">
        <is>
          <t>2026-08-25</t>
        </is>
      </c>
      <c r="I424" s="13" t="n">
        <v>2260</v>
      </c>
      <c r="J424" s="5" t="n">
        <v>500</v>
      </c>
      <c r="K424" s="14" t="n">
        <v>15.3</v>
      </c>
      <c r="L424" s="14" t="n">
        <v>5.15</v>
      </c>
      <c r="M424" s="5">
        <f>K424*J424</f>
        <v/>
      </c>
      <c r="N424" s="8">
        <f>(L424-K424)*J424</f>
        <v/>
      </c>
      <c r="O424" s="8" t="n">
        <v>-5335.09</v>
      </c>
      <c r="P424" s="7">
        <f>O424/M424*100</f>
        <v/>
      </c>
      <c r="Q424" s="9" t="n">
        <v>-3.021</v>
      </c>
      <c r="R424" s="11" t="inlineStr">
        <is>
          <t>2026_Q3</t>
        </is>
      </c>
    </row>
    <row r="425">
      <c r="A425" s="11" t="inlineStr">
        <is>
          <t>2026-08-12</t>
        </is>
      </c>
      <c r="B425" s="11" t="inlineStr">
        <is>
          <t>MANAPPURAM</t>
        </is>
      </c>
      <c r="C425" s="11" t="inlineStr">
        <is>
          <t>PE</t>
        </is>
      </c>
      <c r="D425" s="11" t="inlineStr">
        <is>
          <t>small</t>
        </is>
      </c>
      <c r="E425" s="12" t="n">
        <v>341.4</v>
      </c>
      <c r="F425" s="12" t="n">
        <v>44.5</v>
      </c>
      <c r="G425" s="12" t="n">
        <v>34.1</v>
      </c>
      <c r="H425" s="11" t="inlineStr">
        <is>
          <t>2026-08-25</t>
        </is>
      </c>
      <c r="I425" s="13" t="n">
        <v>330</v>
      </c>
      <c r="J425" s="5" t="n">
        <v>3000</v>
      </c>
      <c r="K425" s="14" t="n">
        <v>2.15</v>
      </c>
      <c r="L425" s="14" t="n">
        <v>2</v>
      </c>
      <c r="M425" s="5">
        <f>K425*J425</f>
        <v/>
      </c>
      <c r="N425" s="8">
        <f>(L425-K425)*J425</f>
        <v/>
      </c>
      <c r="O425" s="8" t="n">
        <v>-885.12</v>
      </c>
      <c r="P425" s="7">
        <f>O425/M425*100</f>
        <v/>
      </c>
      <c r="Q425" s="9" t="n">
        <v>4.69</v>
      </c>
      <c r="R425" s="11" t="inlineStr">
        <is>
          <t>2026_Q3</t>
        </is>
      </c>
    </row>
    <row r="426">
      <c r="A426" s="11" t="inlineStr">
        <is>
          <t>2026-08-12</t>
        </is>
      </c>
      <c r="B426" s="11" t="inlineStr">
        <is>
          <t>SIEMENS</t>
        </is>
      </c>
      <c r="C426" s="11" t="inlineStr">
        <is>
          <t>PE</t>
        </is>
      </c>
      <c r="D426" s="11" t="inlineStr">
        <is>
          <t>large</t>
        </is>
      </c>
      <c r="E426" s="12" t="n">
        <v>406.2</v>
      </c>
      <c r="F426" s="12" t="n">
        <v>478.6</v>
      </c>
      <c r="G426" s="12" t="n">
        <v>8.4</v>
      </c>
      <c r="H426" s="11" t="inlineStr">
        <is>
          <t>2026-08-25</t>
        </is>
      </c>
      <c r="I426" s="13" t="n">
        <v>3850</v>
      </c>
      <c r="J426" s="5" t="n">
        <v>175</v>
      </c>
      <c r="K426" s="14" t="n">
        <v>36.05</v>
      </c>
      <c r="L426" s="14" t="n">
        <v>29.95</v>
      </c>
      <c r="M426" s="5">
        <f>K426*J426</f>
        <v/>
      </c>
      <c r="N426" s="8">
        <f>(L426-K426)*J426</f>
        <v/>
      </c>
      <c r="O426" s="8" t="n">
        <v>-1243.11</v>
      </c>
      <c r="P426" s="7">
        <f>O426/M426*100</f>
        <v/>
      </c>
      <c r="Q426" s="9" t="n">
        <v>0.075</v>
      </c>
      <c r="R426" s="11" t="inlineStr">
        <is>
          <t>2026_Q3</t>
        </is>
      </c>
    </row>
    <row r="427">
      <c r="A427" s="11" t="inlineStr">
        <is>
          <t>2026-08-12</t>
        </is>
      </c>
      <c r="B427" s="11" t="inlineStr">
        <is>
          <t>ZYDUSLIFE</t>
        </is>
      </c>
      <c r="C427" s="11" t="inlineStr">
        <is>
          <t>CE</t>
        </is>
      </c>
      <c r="D427" s="11" t="inlineStr">
        <is>
          <t>mid</t>
        </is>
      </c>
      <c r="E427" s="12" t="n">
        <v>-34.9</v>
      </c>
      <c r="F427" s="12" t="n">
        <v>-26.2</v>
      </c>
      <c r="G427" s="12" t="n">
        <v>22</v>
      </c>
      <c r="H427" s="11" t="inlineStr">
        <is>
          <t>2026-08-25</t>
        </is>
      </c>
      <c r="I427" s="13" t="n">
        <v>1260</v>
      </c>
      <c r="J427" s="5" t="n">
        <v>900</v>
      </c>
      <c r="K427" s="14" t="n">
        <v>8.15</v>
      </c>
      <c r="L427" s="14" t="n">
        <v>7.35</v>
      </c>
      <c r="M427" s="5">
        <f>K427*J427</f>
        <v/>
      </c>
      <c r="N427" s="8">
        <f>(L427-K427)*J427</f>
        <v/>
      </c>
      <c r="O427" s="8" t="n">
        <v>-1062.21</v>
      </c>
      <c r="P427" s="7">
        <f>O427/M427*100</f>
        <v/>
      </c>
      <c r="Q427" s="9" t="n">
        <v>1.261</v>
      </c>
      <c r="R427" s="11" t="inlineStr">
        <is>
          <t>2026_Q3</t>
        </is>
      </c>
    </row>
    <row r="428">
      <c r="A428" s="11" t="inlineStr">
        <is>
          <t>2026-08-13</t>
        </is>
      </c>
      <c r="B428" s="11" t="inlineStr">
        <is>
          <t>APOLLOHOSP</t>
        </is>
      </c>
      <c r="C428" s="11" t="inlineStr">
        <is>
          <t>PE</t>
        </is>
      </c>
      <c r="D428" s="11" t="inlineStr">
        <is>
          <t>large</t>
        </is>
      </c>
      <c r="E428" s="12" t="n">
        <v>38.4</v>
      </c>
      <c r="F428" s="12" t="n">
        <v>10.7</v>
      </c>
      <c r="G428" s="12" t="n">
        <v>20.6</v>
      </c>
      <c r="H428" s="11" t="inlineStr">
        <is>
          <t>2026-08-25</t>
        </is>
      </c>
      <c r="I428" s="13" t="n">
        <v>8400</v>
      </c>
      <c r="J428" s="5" t="n">
        <v>125</v>
      </c>
      <c r="K428" s="14" t="n">
        <v>61.8</v>
      </c>
      <c r="L428" s="14" t="n">
        <v>53.6</v>
      </c>
      <c r="M428" s="5">
        <f>K428*J428</f>
        <v/>
      </c>
      <c r="N428" s="8">
        <f>(L428-K428)*J428</f>
        <v/>
      </c>
      <c r="O428" s="8" t="n">
        <v>-1232.8</v>
      </c>
      <c r="P428" s="7">
        <f>O428/M428*100</f>
        <v/>
      </c>
      <c r="Q428" s="9" t="n">
        <v>1.607</v>
      </c>
      <c r="R428" s="11" t="inlineStr">
        <is>
          <t>2026_Q3</t>
        </is>
      </c>
    </row>
    <row r="429">
      <c r="A429" s="11" t="inlineStr">
        <is>
          <t>2026-08-13</t>
        </is>
      </c>
      <c r="B429" s="11" t="inlineStr">
        <is>
          <t>GRASIM</t>
        </is>
      </c>
      <c r="C429" s="11" t="inlineStr">
        <is>
          <t>PE</t>
        </is>
      </c>
      <c r="D429" s="11" t="inlineStr">
        <is>
          <t>large</t>
        </is>
      </c>
      <c r="E429" s="12" t="n">
        <v>39</v>
      </c>
      <c r="F429" s="12" t="n">
        <v>1.2</v>
      </c>
      <c r="G429" s="12" t="n">
        <v>21.4</v>
      </c>
      <c r="H429" s="11" t="inlineStr">
        <is>
          <t>2026-08-25</t>
        </is>
      </c>
      <c r="I429" s="13" t="n">
        <v>3160</v>
      </c>
      <c r="J429" s="5" t="n">
        <v>250</v>
      </c>
      <c r="K429" s="14" t="n">
        <v>24.05</v>
      </c>
      <c r="L429" s="14" t="n">
        <v>22.65</v>
      </c>
      <c r="M429" s="5">
        <f>K429*J429</f>
        <v/>
      </c>
      <c r="N429" s="8">
        <f>(L429-K429)*J429</f>
        <v/>
      </c>
      <c r="O429" s="8" t="n">
        <v>-527.54</v>
      </c>
      <c r="P429" s="7">
        <f>O429/M429*100</f>
        <v/>
      </c>
      <c r="Q429" s="9" t="n">
        <v>1.282</v>
      </c>
      <c r="R429" s="11" t="inlineStr">
        <is>
          <t>2026_Q3</t>
        </is>
      </c>
    </row>
    <row r="430">
      <c r="A430" s="11" t="inlineStr">
        <is>
          <t>2026-08-14</t>
        </is>
      </c>
      <c r="B430" s="11" t="inlineStr">
        <is>
          <t>AMBER</t>
        </is>
      </c>
      <c r="C430" s="11" t="inlineStr">
        <is>
          <t>CE</t>
        </is>
      </c>
      <c r="D430" s="11" t="inlineStr">
        <is>
          <t>small</t>
        </is>
      </c>
      <c r="E430" s="12" t="n">
        <v>-97.09999999999999</v>
      </c>
      <c r="F430" s="12" t="n">
        <v>-98.09999999999999</v>
      </c>
      <c r="G430" s="12" t="n">
        <v>12.7</v>
      </c>
      <c r="H430" s="11" t="inlineStr">
        <is>
          <t>2026-08-25</t>
        </is>
      </c>
      <c r="I430" s="13" t="n">
        <v>7500</v>
      </c>
      <c r="J430" s="5" t="n">
        <v>100</v>
      </c>
      <c r="K430" s="14" t="n">
        <v>75.05</v>
      </c>
      <c r="L430" s="14" t="n">
        <v>41.3</v>
      </c>
      <c r="M430" s="5">
        <f>K430*J430</f>
        <v/>
      </c>
      <c r="N430" s="8">
        <f>(L430-K430)*J430</f>
        <v/>
      </c>
      <c r="O430" s="8" t="n">
        <v>-3782.57</v>
      </c>
      <c r="P430" s="7">
        <f>O430/M430*100</f>
        <v/>
      </c>
      <c r="Q430" s="9" t="n">
        <v>0.718</v>
      </c>
      <c r="R430" s="11" t="inlineStr">
        <is>
          <t>2026_Q3</t>
        </is>
      </c>
    </row>
    <row r="431">
      <c r="A431" s="11" t="inlineStr">
        <is>
          <t>2026-08-14</t>
        </is>
      </c>
      <c r="B431" s="11" t="inlineStr">
        <is>
          <t>SOLARINDS</t>
        </is>
      </c>
      <c r="C431" s="11" t="inlineStr">
        <is>
          <t>PE</t>
        </is>
      </c>
      <c r="D431" s="11" t="inlineStr">
        <is>
          <t>large</t>
        </is>
      </c>
      <c r="E431" s="12" t="n">
        <v>89</v>
      </c>
      <c r="F431" s="12" t="n">
        <v>19.8</v>
      </c>
      <c r="G431" s="12" t="n">
        <v>70.3</v>
      </c>
      <c r="H431" s="11" t="inlineStr">
        <is>
          <t>2026-08-25</t>
        </is>
      </c>
      <c r="I431" s="13" t="n">
        <v>19250</v>
      </c>
      <c r="J431" s="5" t="n">
        <v>50</v>
      </c>
      <c r="K431" s="14" t="n">
        <v>154.9</v>
      </c>
      <c r="L431" s="14" t="n">
        <v>125.9</v>
      </c>
      <c r="M431" s="5">
        <f>K431*J431</f>
        <v/>
      </c>
      <c r="N431" s="8">
        <f>(L431-K431)*J431</f>
        <v/>
      </c>
      <c r="O431" s="8" t="n">
        <v>-1653.18</v>
      </c>
      <c r="P431" s="7">
        <f>O431/M431*100</f>
        <v/>
      </c>
      <c r="Q431" s="9" t="n">
        <v>1.582</v>
      </c>
      <c r="R431" s="11" t="inlineStr">
        <is>
          <t>2026_Q3</t>
        </is>
      </c>
    </row>
    <row r="432">
      <c r="A432" s="11" t="inlineStr">
        <is>
          <t>2026-08-14</t>
        </is>
      </c>
      <c r="B432" s="11" t="inlineStr">
        <is>
          <t>TMPV</t>
        </is>
      </c>
      <c r="C432" s="11" t="inlineStr">
        <is>
          <t>CE</t>
        </is>
      </c>
      <c r="D432" s="11" t="inlineStr">
        <is>
          <t>large</t>
        </is>
      </c>
      <c r="E432" s="12" t="n">
        <v>-78.5</v>
      </c>
      <c r="F432" s="12" t="n">
        <v>-85.40000000000001</v>
      </c>
      <c r="G432" s="12" t="n">
        <v>-8.199999999999999</v>
      </c>
      <c r="H432" s="11" t="inlineStr">
        <is>
          <t>2026-08-25</t>
        </is>
      </c>
      <c r="I432" s="13" t="n">
        <v>350</v>
      </c>
      <c r="J432" s="5" t="n">
        <v>1600</v>
      </c>
      <c r="K432" s="14" t="n">
        <v>3</v>
      </c>
      <c r="L432" s="14" t="n">
        <v>1.55</v>
      </c>
      <c r="M432" s="5">
        <f>K432*J432</f>
        <v/>
      </c>
      <c r="N432" s="8">
        <f>(L432-K432)*J432</f>
        <v/>
      </c>
      <c r="O432" s="8" t="n">
        <v>-2446.92</v>
      </c>
      <c r="P432" s="7">
        <f>O432/M432*100</f>
        <v/>
      </c>
      <c r="Q432" s="9" t="n">
        <v>1.672</v>
      </c>
      <c r="R432" s="11" t="inlineStr">
        <is>
          <t>2026_Q3</t>
        </is>
      </c>
    </row>
    <row r="433">
      <c r="A433" s="11" t="inlineStr">
        <is>
          <t>2026-08-17</t>
        </is>
      </c>
      <c r="B433" s="11" t="inlineStr">
        <is>
          <t>BDL</t>
        </is>
      </c>
      <c r="C433" s="11" t="inlineStr">
        <is>
          <t>PE</t>
        </is>
      </c>
      <c r="D433" s="11" t="inlineStr">
        <is>
          <t>mid</t>
        </is>
      </c>
      <c r="E433" s="12" t="n">
        <v>547.4</v>
      </c>
      <c r="F433" s="12" t="n">
        <v>5</v>
      </c>
      <c r="G433" s="12" t="n">
        <v>130.8</v>
      </c>
      <c r="H433" s="11" t="inlineStr">
        <is>
          <t>2026-08-25</t>
        </is>
      </c>
      <c r="I433" s="13" t="n">
        <v>1360</v>
      </c>
      <c r="J433" s="5" t="n">
        <v>425</v>
      </c>
      <c r="K433" s="14" t="n">
        <v>12.7</v>
      </c>
      <c r="L433" s="14" t="n">
        <v>20.2</v>
      </c>
      <c r="M433" s="5">
        <f>K433*J433</f>
        <v/>
      </c>
      <c r="N433" s="8">
        <f>(L433-K433)*J433</f>
        <v/>
      </c>
      <c r="O433" s="8" t="n">
        <v>2841.72</v>
      </c>
      <c r="P433" s="7">
        <f>O433/M433*100</f>
        <v/>
      </c>
      <c r="Q433" s="9" t="n">
        <v>2.349</v>
      </c>
      <c r="R433" s="11" t="inlineStr">
        <is>
          <t>2026_Q3</t>
        </is>
      </c>
    </row>
    <row r="434">
      <c r="A434" s="11" t="inlineStr">
        <is>
          <t>2026-08-17</t>
        </is>
      </c>
      <c r="B434" s="11" t="inlineStr">
        <is>
          <t>COCHINSHIP</t>
        </is>
      </c>
      <c r="C434" s="11" t="inlineStr">
        <is>
          <t>CE</t>
        </is>
      </c>
      <c r="D434" s="11" t="inlineStr">
        <is>
          <t>mid</t>
        </is>
      </c>
      <c r="E434" s="12" t="n">
        <v>-19.4</v>
      </c>
      <c r="F434" s="12" t="n">
        <v>-45.2</v>
      </c>
      <c r="G434" s="12" t="n">
        <v>2.4</v>
      </c>
      <c r="H434" s="11" t="inlineStr">
        <is>
          <t>2026-08-25</t>
        </is>
      </c>
      <c r="I434" s="13" t="n">
        <v>1520</v>
      </c>
      <c r="J434" s="5" t="n">
        <v>400</v>
      </c>
      <c r="K434" s="14" t="n">
        <v>3.05</v>
      </c>
      <c r="L434" s="14" t="n">
        <v>9.25</v>
      </c>
      <c r="M434" s="5">
        <f>K434*J434</f>
        <v/>
      </c>
      <c r="N434" s="8">
        <f>(L434-K434)*J434</f>
        <v/>
      </c>
      <c r="O434" s="8" t="n">
        <v>2326.75</v>
      </c>
      <c r="P434" s="7">
        <f>O434/M434*100</f>
        <v/>
      </c>
      <c r="Q434" s="9" t="n">
        <v>0.538</v>
      </c>
      <c r="R434" s="11" t="inlineStr">
        <is>
          <t>2026_Q3</t>
        </is>
      </c>
    </row>
    <row r="435">
      <c r="A435" s="11" t="inlineStr">
        <is>
          <t>2026-08-17</t>
        </is>
      </c>
      <c r="B435" s="11" t="inlineStr">
        <is>
          <t>VOLTAS</t>
        </is>
      </c>
      <c r="C435" s="11" t="inlineStr">
        <is>
          <t>PE</t>
        </is>
      </c>
      <c r="D435" s="11" t="inlineStr">
        <is>
          <t>mid</t>
        </is>
      </c>
      <c r="E435" s="12" t="n">
        <v>51.3</v>
      </c>
      <c r="F435" s="12" t="n">
        <v>87.59999999999999</v>
      </c>
      <c r="G435" s="12" t="n">
        <v>18.7</v>
      </c>
      <c r="H435" s="11" t="inlineStr">
        <is>
          <t>2026-08-25</t>
        </is>
      </c>
      <c r="I435" s="13" t="n">
        <v>1300</v>
      </c>
      <c r="J435" s="5" t="n">
        <v>375</v>
      </c>
      <c r="K435" s="14" t="n">
        <v>21.1</v>
      </c>
      <c r="L435" s="14" t="n">
        <v>47.9</v>
      </c>
      <c r="M435" s="5">
        <f>K435*J435</f>
        <v/>
      </c>
      <c r="N435" s="8">
        <f>(L435-K435)*J435</f>
        <v/>
      </c>
      <c r="O435" s="8" t="n">
        <v>9447.24</v>
      </c>
      <c r="P435" s="7">
        <f>O435/M435*100</f>
        <v/>
      </c>
      <c r="Q435" s="9" t="n">
        <v>4.665</v>
      </c>
      <c r="R435" s="11" t="inlineStr">
        <is>
          <t>2026_Q3</t>
        </is>
      </c>
    </row>
  </sheetData>
  <autoFilter ref="A1:R4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6" customWidth="1" min="4" max="4"/>
    <col width="8" customWidth="1" min="5" max="5"/>
    <col width="11" customWidth="1" min="6" max="6"/>
    <col width="38" customWidth="1" min="7" max="7"/>
    <col width="14" customWidth="1" min="8" max="8"/>
    <col width="16" customWidth="1" min="9" max="9"/>
    <col width="13" customWidth="1" min="10" max="10"/>
    <col width="15" customWidth="1" min="11" max="11"/>
    <col width="62" customWidth="1" min="12" max="12"/>
  </cols>
  <sheetData>
    <row r="1" ht="32" customHeight="1">
      <c r="A1" s="3" t="inlineStr">
        <is>
          <t>Opened</t>
        </is>
      </c>
      <c r="B1" s="3" t="inlineStr">
        <is>
          <t>Symbol</t>
        </is>
      </c>
      <c r="C1" s="3" t="inlineStr">
        <is>
          <t>Contract</t>
        </is>
      </c>
      <c r="D1" s="3" t="inlineStr">
        <is>
          <t>Side</t>
        </is>
      </c>
      <c r="E1" s="3" t="inlineStr">
        <is>
          <t>Lot</t>
        </is>
      </c>
      <c r="F1" s="3" t="inlineStr">
        <is>
          <t>Entry price</t>
        </is>
      </c>
      <c r="G1" s="3" t="inlineStr">
        <is>
          <t>Status</t>
        </is>
      </c>
      <c r="H1" s="3" t="inlineStr">
        <is>
          <t>Exit price / last mark</t>
        </is>
      </c>
      <c r="I1" s="3" t="inlineStr">
        <is>
          <t>Price time</t>
        </is>
      </c>
      <c r="J1" s="3" t="inlineStr">
        <is>
          <t>Gross P&amp;L Rs</t>
        </is>
      </c>
      <c r="K1" s="3" t="inlineStr">
        <is>
          <t>Net P&amp;L Rs (ledger)</t>
        </is>
      </c>
      <c r="L1" s="3" t="inlineStr">
        <is>
          <t>Note</t>
        </is>
      </c>
    </row>
    <row r="2">
      <c r="A2" s="11" t="inlineStr">
        <is>
          <t>2026-10-15 15:17</t>
        </is>
      </c>
      <c r="B2" s="11" t="inlineStr">
        <is>
          <t>BHEL</t>
        </is>
      </c>
      <c r="C2" s="11" t="inlineStr">
        <is>
          <t>BHEL26OCT410PE</t>
        </is>
      </c>
      <c r="D2" s="11" t="inlineStr">
        <is>
          <t>PE</t>
        </is>
      </c>
      <c r="E2" s="11" t="n">
        <v>2625</v>
      </c>
      <c r="F2" s="14" t="n">
        <v>2.25</v>
      </c>
      <c r="G2" s="11" t="inlineStr">
        <is>
          <t>Closed 2026-10-15 15:20</t>
        </is>
      </c>
      <c r="H2" s="14" t="n">
        <v>2.2</v>
      </c>
      <c r="I2" s="11" t="inlineStr">
        <is>
          <t>2026-10-15 15:20</t>
        </is>
      </c>
      <c r="J2" s="8">
        <f>(H2-F2)*E2</f>
        <v/>
      </c>
      <c r="K2" s="8" t="n">
        <v>-192.21</v>
      </c>
      <c r="L2" s="11" t="inlineStr">
        <is>
          <t>Sold at 15:20, as the rule says</t>
        </is>
      </c>
    </row>
    <row r="3">
      <c r="A3" s="11" t="inlineStr">
        <is>
          <t>2026-10-16 09:15</t>
        </is>
      </c>
      <c r="B3" s="11" t="inlineStr">
        <is>
          <t>NESTLEIND</t>
        </is>
      </c>
      <c r="C3" s="11" t="inlineStr">
        <is>
          <t>NESTLEIND26OCT1250PE</t>
        </is>
      </c>
      <c r="D3" s="11" t="inlineStr">
        <is>
          <t>PE</t>
        </is>
      </c>
      <c r="E3" s="11" t="n">
        <v>500</v>
      </c>
      <c r="F3" s="14" t="n">
        <v>14.5</v>
      </c>
      <c r="G3" s="11" t="inlineStr">
        <is>
          <t>Open (missed 15:20, to be sold Mon 19 Oct)</t>
        </is>
      </c>
      <c r="H3" s="14" t="n">
        <v>18.65</v>
      </c>
      <c r="I3" s="11" t="inlineStr">
        <is>
          <t>2026-10-16 11:21</t>
        </is>
      </c>
      <c r="J3" s="8">
        <f>(H3-F3)*E3</f>
        <v/>
      </c>
      <c r="K3" s="8" t="n">
        <v>2006.62</v>
      </c>
      <c r="L3" s="11" t="inlineStr">
        <is>
          <t>Excluded from the v10 review; mark is stale (last save Fri 16 Oct 11:21)</t>
        </is>
      </c>
    </row>
    <row r="4">
      <c r="A4" s="11" t="inlineStr">
        <is>
          <t>2026-10-16 09:15</t>
        </is>
      </c>
      <c r="B4" s="11" t="inlineStr">
        <is>
          <t>INDIANB</t>
        </is>
      </c>
      <c r="C4" s="11" t="inlineStr">
        <is>
          <t>INDIANB26OCT810PE</t>
        </is>
      </c>
      <c r="D4" s="11" t="inlineStr">
        <is>
          <t>PE</t>
        </is>
      </c>
      <c r="E4" s="11" t="n">
        <v>1000</v>
      </c>
      <c r="F4" s="14" t="n">
        <v>5.95</v>
      </c>
      <c r="G4" s="11" t="inlineStr">
        <is>
          <t>Open (missed 15:20, to be sold Mon 19 Oct)</t>
        </is>
      </c>
      <c r="H4" s="14" t="n">
        <v>2.5</v>
      </c>
      <c r="I4" s="11" t="inlineStr">
        <is>
          <t>2026-10-16 11:21</t>
        </is>
      </c>
      <c r="J4" s="8">
        <f>(H4-F4)*E4</f>
        <v/>
      </c>
      <c r="K4" s="8" t="n">
        <v>-3504.68</v>
      </c>
      <c r="L4" s="11" t="inlineStr">
        <is>
          <t>Excluded from the v10 review; mark is stale (last save Fri 16 Oct 11:21)</t>
        </is>
      </c>
    </row>
    <row r="5">
      <c r="A5" s="11" t="inlineStr">
        <is>
          <t>2026-10-16 09:15</t>
        </is>
      </c>
      <c r="B5" s="11" t="inlineStr">
        <is>
          <t>POLYCAB</t>
        </is>
      </c>
      <c r="C5" s="11" t="inlineStr">
        <is>
          <t>POLYCAB26OCT7700PE</t>
        </is>
      </c>
      <c r="D5" s="11" t="inlineStr">
        <is>
          <t>PE</t>
        </is>
      </c>
      <c r="E5" s="11" t="n">
        <v>125</v>
      </c>
      <c r="F5" s="14" t="n">
        <v>62.15</v>
      </c>
      <c r="G5" s="11" t="inlineStr">
        <is>
          <t>Open (missed 15:20, to be sold Mon 19 Oct)</t>
        </is>
      </c>
      <c r="H5" s="14" t="n">
        <v>49.25</v>
      </c>
      <c r="I5" s="11" t="inlineStr">
        <is>
          <t>2026-10-16 11:21</t>
        </is>
      </c>
      <c r="J5" s="8">
        <f>(H5-F5)*E5</f>
        <v/>
      </c>
      <c r="K5" s="8" t="n">
        <v>-1675.02</v>
      </c>
      <c r="L5" s="11" t="inlineStr">
        <is>
          <t>Excluded from the v10 review; mark is stale (last save Fri 16 Oct 11:21)</t>
        </is>
      </c>
    </row>
    <row r="6">
      <c r="A6" s="11" t="inlineStr">
        <is>
          <t>2026-10-16 09:15</t>
        </is>
      </c>
      <c r="B6" s="11" t="inlineStr">
        <is>
          <t>PERSISTENT</t>
        </is>
      </c>
      <c r="C6" s="11" t="inlineStr">
        <is>
          <t>PERSISTENT26OCT5900CE</t>
        </is>
      </c>
      <c r="D6" s="11" t="inlineStr">
        <is>
          <t>CE</t>
        </is>
      </c>
      <c r="E6" s="11" t="n">
        <v>125</v>
      </c>
      <c r="F6" s="14" t="n">
        <v>49.45</v>
      </c>
      <c r="G6" s="11" t="inlineStr">
        <is>
          <t>Open (missed 15:20, to be sold Mon 19 Oct)</t>
        </is>
      </c>
      <c r="H6" s="14" t="n">
        <v>40.4</v>
      </c>
      <c r="I6" s="11" t="inlineStr">
        <is>
          <t>2026-10-16 11:21</t>
        </is>
      </c>
      <c r="J6" s="8">
        <f>(H6-F6)*E6</f>
        <v/>
      </c>
      <c r="K6" s="8" t="n">
        <v>-1190.95</v>
      </c>
      <c r="L6" s="11" t="inlineStr">
        <is>
          <t>Excluded from the v10 review; mark is stale (last save Fri 16 Oct 11:21)</t>
        </is>
      </c>
    </row>
    <row r="7">
      <c r="A7" s="11" t="inlineStr">
        <is>
          <t>2026-10-16 09:15</t>
        </is>
      </c>
      <c r="B7" s="11" t="inlineStr">
        <is>
          <t>TECHM</t>
        </is>
      </c>
      <c r="C7" s="11" t="inlineStr">
        <is>
          <t>TECHM26OCT1620PE</t>
        </is>
      </c>
      <c r="D7" s="11" t="inlineStr">
        <is>
          <t>PE</t>
        </is>
      </c>
      <c r="E7" s="11" t="n">
        <v>600</v>
      </c>
      <c r="F7" s="14" t="n">
        <v>12.2</v>
      </c>
      <c r="G7" s="11" t="inlineStr">
        <is>
          <t>Open (missed 15:20, to be sold Mon 19 Oct)</t>
        </is>
      </c>
      <c r="H7" s="14" t="n">
        <v>3.65</v>
      </c>
      <c r="I7" s="11" t="inlineStr">
        <is>
          <t>2026-10-16 11:21</t>
        </is>
      </c>
      <c r="J7" s="8">
        <f>(H7-F7)*E7</f>
        <v/>
      </c>
      <c r="K7" s="8" t="n">
        <v>-5184.71</v>
      </c>
      <c r="L7" s="11" t="inlineStr">
        <is>
          <t>Excluded from the v10 review; mark is stale (last save Fri 16 Oct 11:21)</t>
        </is>
      </c>
    </row>
    <row r="8">
      <c r="A8" s="11" t="inlineStr">
        <is>
          <t>2026-10-16 09:15</t>
        </is>
      </c>
      <c r="B8" s="11" t="inlineStr">
        <is>
          <t>ANGELONE</t>
        </is>
      </c>
      <c r="C8" s="11" t="inlineStr">
        <is>
          <t>ANGELONE26OCT300PE</t>
        </is>
      </c>
      <c r="D8" s="11" t="inlineStr">
        <is>
          <t>PE</t>
        </is>
      </c>
      <c r="E8" s="11" t="n">
        <v>2500</v>
      </c>
      <c r="F8" s="14" t="n">
        <v>2.6</v>
      </c>
      <c r="G8" s="11" t="inlineStr">
        <is>
          <t>Open (missed 15:20, to be sold Mon 19 Oct)</t>
        </is>
      </c>
      <c r="H8" s="14" t="n">
        <v>5.35</v>
      </c>
      <c r="I8" s="11" t="inlineStr">
        <is>
          <t>2026-10-16 11:21</t>
        </is>
      </c>
      <c r="J8" s="8">
        <f>(H8-F8)*E8</f>
        <v/>
      </c>
      <c r="K8" s="8" t="n">
        <v>6799.18</v>
      </c>
      <c r="L8" s="11" t="inlineStr">
        <is>
          <t>Excluded from the v10 review; mark is stale (last save Fri 16 Oct 11:21)</t>
        </is>
      </c>
    </row>
    <row r="9">
      <c r="A9" s="11" t="inlineStr">
        <is>
          <t>2026-10-16 09:15</t>
        </is>
      </c>
      <c r="B9" s="11" t="inlineStr">
        <is>
          <t>JIOFIN</t>
        </is>
      </c>
      <c r="C9" s="11" t="inlineStr">
        <is>
          <t>JIOFIN26OCT220CE</t>
        </is>
      </c>
      <c r="D9" s="11" t="inlineStr">
        <is>
          <t>CE</t>
        </is>
      </c>
      <c r="E9" s="11" t="n">
        <v>2350</v>
      </c>
      <c r="F9" s="14" t="n">
        <v>3.03</v>
      </c>
      <c r="G9" s="11" t="inlineStr">
        <is>
          <t>Open (missed 15:20, to be sold Mon 19 Oct)</t>
        </is>
      </c>
      <c r="H9" s="14" t="n">
        <v>2.76</v>
      </c>
      <c r="I9" s="11" t="inlineStr">
        <is>
          <t>2026-10-16 11:21</t>
        </is>
      </c>
      <c r="J9" s="8">
        <f>(H9-F9)*E9</f>
        <v/>
      </c>
      <c r="K9" s="8" t="n">
        <v>-697.37</v>
      </c>
      <c r="L9" s="11" t="inlineStr">
        <is>
          <t>Excluded from the v10 review; mark is stale (last save Fri 16 Oct 11:21)</t>
        </is>
      </c>
    </row>
    <row r="10">
      <c r="A10" s="11" t="inlineStr">
        <is>
          <t>2026-10-16 09:15</t>
        </is>
      </c>
      <c r="B10" s="11" t="inlineStr">
        <is>
          <t>LTF</t>
        </is>
      </c>
      <c r="C10" s="11" t="inlineStr">
        <is>
          <t>LTF26OCT245PE</t>
        </is>
      </c>
      <c r="D10" s="11" t="inlineStr">
        <is>
          <t>PE</t>
        </is>
      </c>
      <c r="E10" s="11" t="n">
        <v>2250</v>
      </c>
      <c r="F10" s="14" t="n">
        <v>3.55</v>
      </c>
      <c r="G10" s="11" t="inlineStr">
        <is>
          <t>Open (missed 15:20, to be sold Mon 19 Oct)</t>
        </is>
      </c>
      <c r="H10" s="14" t="n">
        <v>2.05</v>
      </c>
      <c r="I10" s="11" t="inlineStr">
        <is>
          <t>2026-10-16 11:21</t>
        </is>
      </c>
      <c r="J10" s="8">
        <f>(H10-F10)*E10</f>
        <v/>
      </c>
      <c r="K10" s="8" t="n">
        <v>-3434.66</v>
      </c>
      <c r="L10" s="11" t="inlineStr">
        <is>
          <t>Excluded from the v10 review; mark is stale (last save Fri 16 Oct 11:21)</t>
        </is>
      </c>
    </row>
    <row r="12">
      <c r="A12" s="4" t="inlineStr">
        <is>
          <t>Total</t>
        </is>
      </c>
      <c r="J12" s="15">
        <f>SUM(J2:J10)</f>
        <v/>
      </c>
      <c r="K12" s="15">
        <f>SUM(K2:K10)</f>
        <v/>
      </c>
    </row>
    <row r="14">
      <c r="A14" s="2" t="inlineStr">
        <is>
          <t>Source: paper_ledger.json on the paper-state branch, last saved 2026-10-16 11:21 IST. Open marks are the best bid at that time, not today's prices. Expiry 27 Oct 2026.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The rule (S1 v10, strategies/S1_v10_results_day_fade_paper.md)</t>
        </is>
      </c>
    </row>
    <row r="2">
      <c r="A2" s="17" t="inlineStr">
        <is>
          <t>Signal: a results filing; day 0 = the first full session after it. Strong = net profit YoY &gt; +10 %, QoQ &gt; 0, revenue YoY &gt; 0 -&gt; buy a put. Weak = net profit YoY &lt; -10 %, QoQ &lt; 0 -&gt; buy a call. Anything else: no trade.</t>
        </is>
      </c>
    </row>
    <row r="3">
      <c r="A3" s="17" t="inlineStr">
        <is>
          <t>Trade: 1 lot, current monthly expiry (next one if fewer than 2 sessions are left), from the strike nearest the previous close walking away from the money to the first liquid strike with a lot at Rs 600-8,000 and a premium of at least Rs 2.</t>
        </is>
      </c>
    </row>
    <row r="4">
      <c r="A4" s="17" t="inlineStr">
        <is>
          <t>Exit: strictly the same day. Live: the first poll from 15:20 at the best bid. Backtest: day 0's close minus one tick. No stop, no overnight hold.</t>
        </is>
      </c>
    </row>
    <row r="5">
      <c r="A5" s="17" t="inlineStr">
        <is>
          <t>Decision of 2026-10-17: the same-day exit is strict for every fade trade; the carried-trade rule (-20 % stop, 25 % trail, T-1) was retired.</t>
        </is>
      </c>
    </row>
    <row r="6">
      <c r="A6" s="17" t="inlineStr"/>
    </row>
    <row r="7">
      <c r="A7" s="16" t="inlineStr">
        <is>
          <t>How to read the backtest sheet</t>
        </is>
      </c>
    </row>
    <row r="8">
      <c r="A8" s="17" t="inlineStr">
        <is>
          <t>Net P&amp;L is after charges (server/charges.py, post-April-2026) and slippage by AMFI category (large 1 %, mid 2 %, small 3 % per side). Net P&amp;L Rs is a value from the backtest; premium, gross P&amp;L and net % are formulas.</t>
        </is>
      </c>
    </row>
    <row r="9">
      <c r="A9" s="17" t="inlineStr">
        <is>
          <t>Entry is day 0's open plus one tick. The live system buys at the ask at the first poll that fits, minutes after 09:15, which is later and dearer.</t>
        </is>
      </c>
    </row>
    <row r="10">
      <c r="A10" s="17" t="inlineStr">
        <is>
          <t>With entry at the day's VWAP plus one tick instead, the same-day exit is negative (-14.9 % mean, t -12.8): the result depends on the entry price.</t>
        </is>
      </c>
    </row>
    <row r="11">
      <c r="A11" s="17" t="inlineStr">
        <is>
          <t>Liquidity test: the live walk needs a two-sided quote and a spread of 10 % or less; history has no order book, so it is 50 or more contracts on day 0.</t>
        </is>
      </c>
    </row>
    <row r="12">
      <c r="A12" s="17" t="inlineStr">
        <is>
          <t>Descriptive only. Not out of sample: 2025-26 is the holdout S1 v8 already used and the window where the fade pattern was seen (S1 v9).</t>
        </is>
      </c>
    </row>
    <row r="13">
      <c r="A13" s="17" t="inlineStr">
        <is>
          <t>No rule changes follow from it. The live paper trades are the only fresh evidence; review at 30 closed trades or 6 weeks.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2026-10-17T10:09:47Z</dcterms:created>
  <dcterms:modified xsi:type="dcterms:W3CDTF">2026-10-17T10:09:48Z</dcterms:modified>
</cp:coreProperties>
</file>